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FICINA\Desktop\Punto de Venta\"/>
    </mc:Choice>
  </mc:AlternateContent>
  <xr:revisionPtr revIDLastSave="0" documentId="13_ncr:1_{264C5850-6A86-42F9-A163-15E7F1D35701}" xr6:coauthVersionLast="47" xr6:coauthVersionMax="47" xr10:uidLastSave="{00000000-0000-0000-0000-000000000000}"/>
  <bookViews>
    <workbookView xWindow="-120" yWindow="-120" windowWidth="21840" windowHeight="13140" firstSheet="7" activeTab="7" xr2:uid="{4F2C50A8-90C0-45B0-B02E-11B9717C60A2}"/>
  </bookViews>
  <sheets>
    <sheet name="SETTINGS" sheetId="1" r:id="rId1"/>
    <sheet name="SECCIONES" sheetId="4" r:id="rId2"/>
    <sheet name="MESAS" sheetId="5" r:id="rId3"/>
    <sheet name="CLASES" sheetId="6" r:id="rId4"/>
    <sheet name="CLASES PDV" sheetId="7" r:id="rId5"/>
    <sheet name="FORM_PAGO" sheetId="8" r:id="rId6"/>
    <sheet name="USUARIOS" sheetId="3" r:id="rId7"/>
    <sheet name="PUNTO DE VENTA" sheetId="2" r:id="rId8"/>
    <sheet name="CUENTA" sheetId="9" r:id="rId9"/>
    <sheet name="PLATILLOS" sheetId="10" r:id="rId10"/>
    <sheet name="COMENTARIOS" sheetId="11" r:id="rId11"/>
    <sheet name="HISTORIAL PDV" sheetId="12" r:id="rId12"/>
    <sheet name="VENTAS" sheetId="13" r:id="rId1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7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8" i="1"/>
  <c r="A2" i="2"/>
</calcChain>
</file>

<file path=xl/sharedStrings.xml><?xml version="1.0" encoding="utf-8"?>
<sst xmlns="http://schemas.openxmlformats.org/spreadsheetml/2006/main" count="530" uniqueCount="206">
  <si>
    <t>ID</t>
  </si>
  <si>
    <t>USUARIO</t>
  </si>
  <si>
    <t>CONTRASEÑA</t>
  </si>
  <si>
    <t>RANGO</t>
  </si>
  <si>
    <t>AJUSTE</t>
  </si>
  <si>
    <t>VALOR</t>
  </si>
  <si>
    <t>SU</t>
  </si>
  <si>
    <t>SUDO</t>
  </si>
  <si>
    <t>SUDOSU</t>
  </si>
  <si>
    <t>CONTRASEÑA UNIVERSAL</t>
  </si>
  <si>
    <t>AQXw8ZJlj8</t>
  </si>
  <si>
    <t>NOMBRE RESTAURANTE</t>
  </si>
  <si>
    <t>CITY WINGS</t>
  </si>
  <si>
    <t>ID PRODUCTO INV</t>
  </si>
  <si>
    <t>ID PRODUCTO PDV</t>
  </si>
  <si>
    <t>ID USUARIOS</t>
  </si>
  <si>
    <t>ID PROVEEDORES</t>
  </si>
  <si>
    <t>ID MOVIMIENTO INV</t>
  </si>
  <si>
    <t>ID MOV PROD PDV</t>
  </si>
  <si>
    <t>ID CORTE DIARIO</t>
  </si>
  <si>
    <t>ID CORTE SEMANAL</t>
  </si>
  <si>
    <t>ID CORTE MENUSAL</t>
  </si>
  <si>
    <t>ID REGISTRO GASTOS</t>
  </si>
  <si>
    <t>ID REGISTRO COMPRAS</t>
  </si>
  <si>
    <t>AJUSTES</t>
  </si>
  <si>
    <t>INVENTARIO</t>
  </si>
  <si>
    <t>PDV</t>
  </si>
  <si>
    <t>UTILIDADES</t>
  </si>
  <si>
    <t>USUARIOS</t>
  </si>
  <si>
    <t>MESAS</t>
  </si>
  <si>
    <t>INVENTARIO1</t>
  </si>
  <si>
    <t>TICKETS</t>
  </si>
  <si>
    <t>VENTAS</t>
  </si>
  <si>
    <t>INGRESAR</t>
  </si>
  <si>
    <t>PRODUCTOS</t>
  </si>
  <si>
    <t>PROODUCTOS</t>
  </si>
  <si>
    <t>MOVIMIENTOS2</t>
  </si>
  <si>
    <t>PROVEEDORES</t>
  </si>
  <si>
    <t>HISTORIAL2</t>
  </si>
  <si>
    <t>EDITAR INVENTARIO</t>
  </si>
  <si>
    <t>VENTAS3</t>
  </si>
  <si>
    <t>GASTOS</t>
  </si>
  <si>
    <t>COMPRAS</t>
  </si>
  <si>
    <t>VENTAS4</t>
  </si>
  <si>
    <t>UTILIDADES4</t>
  </si>
  <si>
    <t>EDITAR HISTORIAL</t>
  </si>
  <si>
    <t>EDITAR HISTRORIAL</t>
  </si>
  <si>
    <t>PDV3</t>
  </si>
  <si>
    <t>PLATILLOS</t>
  </si>
  <si>
    <t>HISTORIAL3</t>
  </si>
  <si>
    <t>CIERRE</t>
  </si>
  <si>
    <t>BT11</t>
  </si>
  <si>
    <t>BT1Usuario</t>
  </si>
  <si>
    <t>BT1Administrador</t>
  </si>
  <si>
    <t>BT1SuperUsuario</t>
  </si>
  <si>
    <t>BT1Seccion</t>
  </si>
  <si>
    <t>BT1Mesas</t>
  </si>
  <si>
    <t>BT1Clase</t>
  </si>
  <si>
    <t>BT1ClasePDV</t>
  </si>
  <si>
    <t>BT12</t>
  </si>
  <si>
    <t>BT13</t>
  </si>
  <si>
    <t>BT14</t>
  </si>
  <si>
    <t>BT15</t>
  </si>
  <si>
    <t>BT16</t>
  </si>
  <si>
    <t>BT17</t>
  </si>
  <si>
    <t>BT18</t>
  </si>
  <si>
    <t>BT19</t>
  </si>
  <si>
    <t>BT110</t>
  </si>
  <si>
    <t>BT111</t>
  </si>
  <si>
    <t>BT112</t>
  </si>
  <si>
    <t>BT113</t>
  </si>
  <si>
    <t>BT1Usuario2</t>
  </si>
  <si>
    <t>BT1FormPago</t>
  </si>
  <si>
    <t>BT2Eliminar</t>
  </si>
  <si>
    <t>BT3Edicion</t>
  </si>
  <si>
    <t>BT3Actualizar</t>
  </si>
  <si>
    <t>BT3Agregar</t>
  </si>
  <si>
    <t>BT3Eliminar</t>
  </si>
  <si>
    <t>BT3Imprimir</t>
  </si>
  <si>
    <t>BT3Agregar2</t>
  </si>
  <si>
    <t>BT3Actualizar2</t>
  </si>
  <si>
    <t>BT3Eliminar2</t>
  </si>
  <si>
    <t>BT3Edicion2</t>
  </si>
  <si>
    <t>BT3Actualizar3</t>
  </si>
  <si>
    <t>BT3Eliminar3</t>
  </si>
  <si>
    <t>BT4Edicion11</t>
  </si>
  <si>
    <t>BT4Edicion12</t>
  </si>
  <si>
    <t>BT4Actualizar11</t>
  </si>
  <si>
    <t>BT4Eliminar11</t>
  </si>
  <si>
    <t>BT4Actualizar12</t>
  </si>
  <si>
    <t>BT4Eliminar12</t>
  </si>
  <si>
    <t>BT4Edicion2</t>
  </si>
  <si>
    <t>BT4Actualizar2</t>
  </si>
  <si>
    <t>BT4Eliminar2</t>
  </si>
  <si>
    <t>BT4Edicion3</t>
  </si>
  <si>
    <t>BT4Actualizra3</t>
  </si>
  <si>
    <t>BT4Eliminar3</t>
  </si>
  <si>
    <t>BT4Generar</t>
  </si>
  <si>
    <t>BT4Generar2</t>
  </si>
  <si>
    <t>ACTUAL</t>
  </si>
  <si>
    <t>RANGO USUARIO</t>
  </si>
  <si>
    <t>ISAAC</t>
  </si>
  <si>
    <t>mesas1</t>
  </si>
  <si>
    <t>ADMINISTRADOR</t>
  </si>
  <si>
    <t>Admin1</t>
  </si>
  <si>
    <t>CANCELAR VENTA</t>
  </si>
  <si>
    <t>SECCION</t>
  </si>
  <si>
    <t>MESA</t>
  </si>
  <si>
    <t>ESTADO</t>
  </si>
  <si>
    <t>MS1</t>
  </si>
  <si>
    <t>MS2</t>
  </si>
  <si>
    <t>MS3</t>
  </si>
  <si>
    <t>MS4</t>
  </si>
  <si>
    <t>MS5</t>
  </si>
  <si>
    <t>MS6</t>
  </si>
  <si>
    <t>MS7</t>
  </si>
  <si>
    <t>MS8</t>
  </si>
  <si>
    <t>MS9</t>
  </si>
  <si>
    <t>MS10</t>
  </si>
  <si>
    <t>MS11</t>
  </si>
  <si>
    <t>MS12</t>
  </si>
  <si>
    <t>MS13</t>
  </si>
  <si>
    <t>MS14</t>
  </si>
  <si>
    <t>MS15</t>
  </si>
  <si>
    <t>MS16</t>
  </si>
  <si>
    <t>MS17</t>
  </si>
  <si>
    <t>MS18</t>
  </si>
  <si>
    <t>MS19</t>
  </si>
  <si>
    <t>MS20</t>
  </si>
  <si>
    <t>MS21</t>
  </si>
  <si>
    <t>MS22</t>
  </si>
  <si>
    <t>MS23</t>
  </si>
  <si>
    <t>MS24</t>
  </si>
  <si>
    <t>MS25</t>
  </si>
  <si>
    <t>MS26</t>
  </si>
  <si>
    <t>MS27</t>
  </si>
  <si>
    <t>MS28</t>
  </si>
  <si>
    <t>MS29</t>
  </si>
  <si>
    <t>MS30</t>
  </si>
  <si>
    <t>COMIDA</t>
  </si>
  <si>
    <t>BEBIDA</t>
  </si>
  <si>
    <t>POSTRE</t>
  </si>
  <si>
    <t>Mesa 2</t>
  </si>
  <si>
    <t>Mesa 1</t>
  </si>
  <si>
    <t>CLASES PDV</t>
  </si>
  <si>
    <t>CLASES</t>
  </si>
  <si>
    <t>PAPAS</t>
  </si>
  <si>
    <t>FORMATO DE PAGO</t>
  </si>
  <si>
    <t>EFECTIVO</t>
  </si>
  <si>
    <t>TARJETA</t>
  </si>
  <si>
    <t>CORTECIA</t>
  </si>
  <si>
    <t>PRODUCTO</t>
  </si>
  <si>
    <t>CANTIDAD</t>
  </si>
  <si>
    <t xml:space="preserve">TOTAL </t>
  </si>
  <si>
    <t>COMENTARIOS</t>
  </si>
  <si>
    <t>PRECIO</t>
  </si>
  <si>
    <t>PLATILLO</t>
  </si>
  <si>
    <t>CLAVE</t>
  </si>
  <si>
    <t>CLASE</t>
  </si>
  <si>
    <t>$ DE VENTA</t>
  </si>
  <si>
    <t>IMAGEN</t>
  </si>
  <si>
    <t>Hamburguesa Hawaiana</t>
  </si>
  <si>
    <t>CW-001</t>
  </si>
  <si>
    <t>CW-002</t>
  </si>
  <si>
    <t>Hot Dog</t>
  </si>
  <si>
    <t>CW-003</t>
  </si>
  <si>
    <t>TERRASA</t>
  </si>
  <si>
    <t>INTERIOR</t>
  </si>
  <si>
    <t>PEDIDO</t>
  </si>
  <si>
    <t>COMENTARIO</t>
  </si>
  <si>
    <t>Hamburguesa Sencilla</t>
  </si>
  <si>
    <t>Sin Mayonesa</t>
  </si>
  <si>
    <t>Sin Queso</t>
  </si>
  <si>
    <t>Sin Jitomate</t>
  </si>
  <si>
    <t>Sin Salsa</t>
  </si>
  <si>
    <t>Salsa De Chocolate</t>
  </si>
  <si>
    <t>IMPRESO</t>
  </si>
  <si>
    <t>CONTADOR</t>
  </si>
  <si>
    <t xml:space="preserve">CLAVE </t>
  </si>
  <si>
    <t xml:space="preserve">PRECIO </t>
  </si>
  <si>
    <t>TOTAL</t>
  </si>
  <si>
    <t>FECHA</t>
  </si>
  <si>
    <t>FOLIO DE VENTA</t>
  </si>
  <si>
    <t xml:space="preserve">ID </t>
  </si>
  <si>
    <t>FOLIO</t>
  </si>
  <si>
    <t xml:space="preserve">CREADO POR </t>
  </si>
  <si>
    <t>CLIENTE</t>
  </si>
  <si>
    <t>CAMARERO/CAJERO</t>
  </si>
  <si>
    <t>HORA</t>
  </si>
  <si>
    <t xml:space="preserve">IVA </t>
  </si>
  <si>
    <t xml:space="preserve">DESCUENTO </t>
  </si>
  <si>
    <t>PROPINA</t>
  </si>
  <si>
    <t>ID VENTAS</t>
  </si>
  <si>
    <t>TX FOLIO VENTAS</t>
  </si>
  <si>
    <t>CWVN-</t>
  </si>
  <si>
    <t>*CWVN-1*</t>
  </si>
  <si>
    <t>Pancrasio</t>
  </si>
  <si>
    <t>*CWVN-2*</t>
  </si>
  <si>
    <t>Anacleto</t>
  </si>
  <si>
    <t>*CWVN-3*</t>
  </si>
  <si>
    <t>Agripino</t>
  </si>
  <si>
    <t>Sin Mayonesa, Sin Jitomate, Sin Queso</t>
  </si>
  <si>
    <t>*CWVN-4*</t>
  </si>
  <si>
    <t>Papas A La Francesa</t>
  </si>
  <si>
    <t>CW-004</t>
  </si>
  <si>
    <t>BT DE IMPRECION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</si>
</sst>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;[Red]\-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u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0" fillId="4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9" xfId="0" applyBorder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4" fillId="0" borderId="5" xfId="0" applyFont="1" applyBorder="1" applyAlignment="1">
      <alignment horizontal="center" vertical="center"/>
    </xf>
    <xf numFmtId="8" fontId="0" fillId="0" borderId="8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9" fontId="0" fillId="0" borderId="1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12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CE4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5</xdr:row>
      <xdr:rowOff>123825</xdr:rowOff>
    </xdr:from>
    <xdr:to>
      <xdr:col>15</xdr:col>
      <xdr:colOff>638176</xdr:colOff>
      <xdr:row>21</xdr:row>
      <xdr:rowOff>19050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23826" y="885825"/>
          <a:ext cx="11944350" cy="2943225"/>
        </a:xfrm>
        <a:prstGeom prst="rect">
          <a:avLst/>
        </a:prstGeom>
        <a:solidFill>
          <a:srgbClr val="FCE4D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 u="sng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11</xdr:row>
          <xdr:rowOff>28575</xdr:rowOff>
        </xdr:from>
        <xdr:to>
          <xdr:col>5</xdr:col>
          <xdr:colOff>57150</xdr:colOff>
          <xdr:row>13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6</xdr:row>
          <xdr:rowOff>161925</xdr:rowOff>
        </xdr:from>
        <xdr:to>
          <xdr:col>5</xdr:col>
          <xdr:colOff>295275</xdr:colOff>
          <xdr:row>8</xdr:row>
          <xdr:rowOff>28575</xdr:rowOff>
        </xdr:to>
        <xdr:sp macro="" textlink="">
          <xdr:nvSpPr>
            <xdr:cNvPr id="2055" name="Label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USUARIO: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6</xdr:row>
          <xdr:rowOff>152400</xdr:rowOff>
        </xdr:from>
        <xdr:to>
          <xdr:col>7</xdr:col>
          <xdr:colOff>47625</xdr:colOff>
          <xdr:row>7</xdr:row>
          <xdr:rowOff>180975</xdr:rowOff>
        </xdr:to>
        <xdr:sp macro="" textlink="">
          <xdr:nvSpPr>
            <xdr:cNvPr id="2056" name="TextBox1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6</xdr:row>
          <xdr:rowOff>161925</xdr:rowOff>
        </xdr:from>
        <xdr:to>
          <xdr:col>8</xdr:col>
          <xdr:colOff>57150</xdr:colOff>
          <xdr:row>8</xdr:row>
          <xdr:rowOff>28575</xdr:rowOff>
        </xdr:to>
        <xdr:sp macro="" textlink="">
          <xdr:nvSpPr>
            <xdr:cNvPr id="2057" name="Label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RANGO:</a:t>
              </a:r>
            </a:p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11</xdr:row>
          <xdr:rowOff>38100</xdr:rowOff>
        </xdr:from>
        <xdr:to>
          <xdr:col>7</xdr:col>
          <xdr:colOff>209550</xdr:colOff>
          <xdr:row>13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INVENTARIO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676275</xdr:colOff>
          <xdr:row>6</xdr:row>
          <xdr:rowOff>152400</xdr:rowOff>
        </xdr:from>
        <xdr:to>
          <xdr:col>9</xdr:col>
          <xdr:colOff>504825</xdr:colOff>
          <xdr:row>7</xdr:row>
          <xdr:rowOff>180975</xdr:rowOff>
        </xdr:to>
        <xdr:sp macro="" textlink="">
          <xdr:nvSpPr>
            <xdr:cNvPr id="2060" name="TextBox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11</xdr:row>
          <xdr:rowOff>38100</xdr:rowOff>
        </xdr:from>
        <xdr:to>
          <xdr:col>9</xdr:col>
          <xdr:colOff>361950</xdr:colOff>
          <xdr:row>13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PUNTO DE 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11</xdr:row>
          <xdr:rowOff>38100</xdr:rowOff>
        </xdr:from>
        <xdr:to>
          <xdr:col>11</xdr:col>
          <xdr:colOff>514350</xdr:colOff>
          <xdr:row>13</xdr:row>
          <xdr:rowOff>161925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7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UTILIDADES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6</xdr:row>
          <xdr:rowOff>161925</xdr:rowOff>
        </xdr:from>
        <xdr:to>
          <xdr:col>10</xdr:col>
          <xdr:colOff>666750</xdr:colOff>
          <xdr:row>7</xdr:row>
          <xdr:rowOff>171450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F6A1813-C22B-4936-8F11-55969DEF3651}" name="Tabla2" displayName="Tabla2" ref="A1:B17" totalsRowShown="0" headerRowDxfId="122" dataDxfId="120" headerRowBorderDxfId="121" tableBorderDxfId="119" totalsRowBorderDxfId="118">
  <autoFilter ref="A1:B17" xr:uid="{EF6A1813-C22B-4936-8F11-55969DEF3651}"/>
  <tableColumns count="2">
    <tableColumn id="1" xr3:uid="{69270083-858A-48A0-9832-8899A30E48D9}" name="AJUSTE" dataDxfId="117"/>
    <tableColumn id="2" xr3:uid="{3834A110-CBB7-41E1-80A6-9FCB62BAD7BE}" name="VALOR" dataDxfId="11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406D2D-099A-4B3F-9EA9-E37330EA7AA0}" name="TabSu" displayName="TabSu" ref="D2:E78" totalsRowShown="0" headerRowDxfId="115" dataDxfId="114">
  <autoFilter ref="D2:E78" xr:uid="{C1406D2D-099A-4B3F-9EA9-E37330EA7AA0}"/>
  <tableColumns count="2">
    <tableColumn id="1" xr3:uid="{527EBFBD-2CC1-4B89-BB8D-FC6E9BE4F74D}" name="AJUSTE" dataDxfId="113"/>
    <tableColumn id="2" xr3:uid="{A9F51F4C-F945-4FD3-8BC3-4429522590FB}" name="VALOR" dataDxfId="11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BCC440F-6C39-469B-B847-9CEA561F74D3}" name="TabSudo" displayName="TabSudo" ref="G2:H78" totalsRowShown="0">
  <autoFilter ref="G2:H78" xr:uid="{5BCC440F-6C39-469B-B847-9CEA561F74D3}"/>
  <tableColumns count="2">
    <tableColumn id="1" xr3:uid="{B1D2E703-0C31-4314-AF12-91684E5D095D}" name="AJUSTE" dataDxfId="111"/>
    <tableColumn id="2" xr3:uid="{3BF0BFFE-92AE-4F52-9783-D7698407B8A8}" name="VALOR" dataDxfId="11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0E925E-8353-4A20-9889-B3DB9E028D1D}" name="TabSudoSu" displayName="TabSudoSu" ref="J2:K78" totalsRowShown="0">
  <autoFilter ref="J2:K78" xr:uid="{C70E925E-8353-4A20-9889-B3DB9E028D1D}"/>
  <tableColumns count="2">
    <tableColumn id="1" xr3:uid="{EE828385-EBE8-4B80-A164-D603DBB365EA}" name="AJUSTE" dataDxfId="109"/>
    <tableColumn id="2" xr3:uid="{8EB52795-2666-489F-85CA-E734BC3CCA34}" name="VALOR" dataDxfId="10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B02498-0669-47C3-B883-199891099457}" name="TabActual" displayName="TabActual" ref="M2:N78" totalsRowShown="0">
  <autoFilter ref="M2:N78" xr:uid="{BBB02498-0669-47C3-B883-199891099457}"/>
  <tableColumns count="2">
    <tableColumn id="1" xr3:uid="{CFA5E6B5-E091-46F1-97C7-BA8AA45E0EBD}" name="AJUSTE" dataDxfId="107"/>
    <tableColumn id="2" xr3:uid="{B42FCEBB-EC8D-4CA4-86DF-3F89783CDDFD}" name="VALOR" dataDxfId="106">
      <calculatedColumnFormula>IF($B$4="SU",TabSu[[#This Row],[VALOR]],IF($B$4="SUDO",TabSudo[[#This Row],[VALOR]],IF($B$4="SUDOSU",TabSudoSu[[#This Row],[VALOR]],"")))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5E9625B-17EA-429C-AEF1-53DFEBAA84E9}" name="TabComentario" displayName="TabComentario" ref="A20:A21" totalsRowShown="0" headerRowDxfId="105" dataDxfId="104">
  <autoFilter ref="A20:A21" xr:uid="{F5E9625B-17EA-429C-AEF1-53DFEBAA84E9}"/>
  <tableColumns count="1">
    <tableColumn id="1" xr3:uid="{9D254F0A-BA59-4569-9612-32CFAE4468F5}" name="COMENTARIO" dataDxfId="10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18D771-1783-4530-96DF-F119ECAC3556}" name="Tabla22" displayName="Tabla22" ref="A24:B28" totalsRowShown="0" headerRowDxfId="102" headerRowBorderDxfId="101" tableBorderDxfId="100" totalsRowBorderDxfId="99">
  <autoFilter ref="A24:B28" xr:uid="{7218D771-1783-4530-96DF-F119ECAC3556}"/>
  <tableColumns count="2">
    <tableColumn id="1" xr3:uid="{AD956CB9-CE4E-43FA-9132-C9501A125B6E}" name="AJUSTE" dataDxfId="98"/>
    <tableColumn id="2" xr3:uid="{4994ABEA-8C65-4B55-964E-8D9D90EAA622}" name="VALOR" dataDxfId="97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38AC2FF-D010-4212-BD61-513B7E186886}" name="TabSeccion" displayName="TabSeccion" ref="B1:B5" totalsRowShown="0" headerRowDxfId="96" dataDxfId="95">
  <autoFilter ref="B1:B5" xr:uid="{F38AC2FF-D010-4212-BD61-513B7E186886}"/>
  <tableColumns count="1">
    <tableColumn id="1" xr3:uid="{F182A258-D054-4797-B17B-9502E426D932}" name="SECCION" dataDxfId="94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66B154-918E-4AE3-9851-2122445FFD1D}" name="TabMesas" displayName="TabMesas" ref="A1:D32" totalsRowShown="0" headerRowDxfId="93" dataDxfId="91" headerRowBorderDxfId="92" tableBorderDxfId="90" totalsRowBorderDxfId="89">
  <autoFilter ref="A1:D32" xr:uid="{0766B154-918E-4AE3-9851-2122445FFD1D}"/>
  <tableColumns count="4">
    <tableColumn id="1" xr3:uid="{605CA654-AC74-474A-A195-4813D230DA3E}" name="ID" dataDxfId="88"/>
    <tableColumn id="2" xr3:uid="{CFF5A39A-EDB2-4AD3-820E-E91C0578BA13}" name="MESA" dataDxfId="87"/>
    <tableColumn id="3" xr3:uid="{795E1ADD-A3AC-4112-AAE6-9CB82D95FADC}" name="SECCION" dataDxfId="86"/>
    <tableColumn id="4" xr3:uid="{45D594CF-F9C7-4809-A985-24FF44A4D0B0}" name="ESTADO" dataDxfId="85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90CDEC-DFD1-4940-9443-7E71EC671521}" name="TabClases" displayName="TabClases" ref="B1:B6" totalsRowShown="0" headerRowDxfId="84" dataDxfId="83">
  <autoFilter ref="B1:B6" xr:uid="{F990CDEC-DFD1-4940-9443-7E71EC671521}"/>
  <tableColumns count="1">
    <tableColumn id="1" xr3:uid="{62933F5B-0F00-4246-831D-F3E0022CE9F4}" name="CLASES" dataDxfId="82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4928EF3-38B2-4479-B310-A4D0BFB49CBD}" name="TabClasesPDV" displayName="TabClasesPDV" ref="B1:C6" totalsRowShown="0" headerRowDxfId="81" dataDxfId="79" headerRowBorderDxfId="80" tableBorderDxfId="78" totalsRowBorderDxfId="77">
  <autoFilter ref="B1:C6" xr:uid="{94928EF3-38B2-4479-B310-A4D0BFB49CBD}"/>
  <tableColumns count="2">
    <tableColumn id="1" xr3:uid="{9D9F2C9D-9B75-4630-AF8F-64B949887505}" name="CLASES PDV" dataDxfId="76"/>
    <tableColumn id="2" xr3:uid="{8236E723-5961-4687-82D6-4D98B92CF625}" name="BT DE IMPRECION" dataDxfId="75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72EC07-AED6-41B5-8DB7-D73BF77289B3}" name="TabFormPago" displayName="TabFormPago" ref="B1:B5" totalsRowShown="0" headerRowDxfId="74" dataDxfId="73">
  <autoFilter ref="B1:B5" xr:uid="{7972EC07-AED6-41B5-8DB7-D73BF77289B3}"/>
  <tableColumns count="1">
    <tableColumn id="1" xr3:uid="{283D1760-B0BA-4599-86CB-3B8B644CF027}" name="FORMATO DE PAGO" dataDxfId="72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75A347-F68D-47C0-B70B-A1D2DF34263B}" name="BD_USUARIOS" displayName="BD_USUARIOS" ref="B2:E6" totalsRowShown="0" headerRowDxfId="71" dataDxfId="69" headerRowBorderDxfId="70" tableBorderDxfId="68" totalsRowBorderDxfId="67">
  <autoFilter ref="B2:E6" xr:uid="{7175A347-F68D-47C0-B70B-A1D2DF34263B}"/>
  <tableColumns count="4">
    <tableColumn id="1" xr3:uid="{28A159EE-854D-4066-9E76-90F2D1D0792B}" name="ID" dataDxfId="66"/>
    <tableColumn id="2" xr3:uid="{69156FF8-A2BF-487D-9946-41B351FF2D87}" name="USUARIO" dataDxfId="65"/>
    <tableColumn id="3" xr3:uid="{E255AA7F-FEE1-44DD-ABBC-905DABF457F4}" name="CONTRASEÑA" dataDxfId="64"/>
    <tableColumn id="4" xr3:uid="{678F034B-1BB0-4796-8BC3-45BCCC8F9906}" name="RANGO" dataDxfId="63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649500C-F712-44F4-AB7A-3275ADFA61AF}" name="BD_Cuenta" displayName="BD_Cuenta" ref="A1:I3" totalsRowShown="0" headerRowDxfId="62" dataDxfId="60" headerRowBorderDxfId="61" tableBorderDxfId="59" totalsRowBorderDxfId="58">
  <autoFilter ref="A1:I3" xr:uid="{D649500C-F712-44F4-AB7A-3275ADFA61AF}"/>
  <tableColumns count="9">
    <tableColumn id="1" xr3:uid="{2FA78E10-9DB4-464F-A61E-9B274C21060B}" name="ID" dataDxfId="57"/>
    <tableColumn id="2" xr3:uid="{32AB783D-DFB4-471E-B036-E25539C4BAFC}" name="MESA" dataDxfId="56"/>
    <tableColumn id="3" xr3:uid="{56CBC36E-F5D7-44E1-8945-59F9091E05BA}" name="PRODUCTO" dataDxfId="55"/>
    <tableColumn id="4" xr3:uid="{C3B566DD-AD8B-4125-BC1C-07D0C118CEEE}" name="CLAVE" dataDxfId="54"/>
    <tableColumn id="5" xr3:uid="{2E4C8CCB-059D-45EF-9EE4-9BE6E9706607}" name="PRECIO" dataDxfId="53"/>
    <tableColumn id="6" xr3:uid="{602C8D90-F750-4F58-8422-47D90C6EE264}" name="CANTIDAD" dataDxfId="52"/>
    <tableColumn id="7" xr3:uid="{0A11805A-1613-4FD6-AE4C-2271F1A9339D}" name="TOTAL " dataDxfId="51"/>
    <tableColumn id="9" xr3:uid="{3782E96F-5BE9-4E29-A9EB-41400073FC48}" name="IMPRESO"/>
    <tableColumn id="8" xr3:uid="{5B705C27-8E41-457C-BE3A-A1803D9A4A4F}" name="COMENTARIOS" dataDxfId="50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46964F0-C66F-4C68-9F0D-A86BD0F0A197}" name="TabContadorCuenta" displayName="TabContadorCuenta" ref="K1:K2" totalsRowShown="0" headerRowDxfId="49" dataDxfId="48">
  <autoFilter ref="K1:K2" xr:uid="{A46964F0-C66F-4C68-9F0D-A86BD0F0A197}"/>
  <tableColumns count="1">
    <tableColumn id="1" xr3:uid="{06F390E9-33B9-437E-AD45-F308E170936E}" name="CONTADOR" dataDxfId="47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3AEEA3D-304C-4EF6-A312-6C9A88EECCE5}" name="Tabla13" displayName="Tabla13" ref="A1:G6" totalsRowShown="0" headerRowDxfId="46" dataDxfId="44" headerRowBorderDxfId="45" tableBorderDxfId="43" totalsRowBorderDxfId="42">
  <autoFilter ref="A1:G6" xr:uid="{73AEEA3D-304C-4EF6-A312-6C9A88EECCE5}"/>
  <tableColumns count="7">
    <tableColumn id="1" xr3:uid="{4D20710F-469F-4D05-AD8D-E921D2CD1B78}" name="ID" dataDxfId="41"/>
    <tableColumn id="2" xr3:uid="{61EDF0D3-5D7C-427E-839E-0DE9EF2BC2F6}" name="PLATILLO" dataDxfId="40"/>
    <tableColumn id="3" xr3:uid="{478A8837-117D-41E3-B23D-EC0B42BC6D91}" name="CLAVE" dataDxfId="39"/>
    <tableColumn id="4" xr3:uid="{62605BDE-84FE-4F14-BB45-BD48B5425CFC}" name="CLASE" dataDxfId="38"/>
    <tableColumn id="5" xr3:uid="{62DA3B96-E8DA-45C1-9579-6E377B1D5E11}" name="$ DE VENTA" dataDxfId="37"/>
    <tableColumn id="6" xr3:uid="{23D94B09-29EC-48A9-A640-4F01DC465B56}" name="COMENTARIOS" dataDxfId="36"/>
    <tableColumn id="7" xr3:uid="{C0C20A92-31BE-4D14-A408-D0FF9EB801A3}" name="IMAGEN" dataDxfId="35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9FF6C-7341-42B0-AAFB-F169BE59779B}" name="BD_Comentarios" displayName="BD_Comentarios" ref="B1:B7" totalsRowShown="0" headerRowDxfId="34" dataDxfId="33">
  <autoFilter ref="B1:B7" xr:uid="{8E19FF6C-7341-42B0-AAFB-F169BE59779B}"/>
  <tableColumns count="1">
    <tableColumn id="1" xr3:uid="{A4F3233B-EF41-4740-A1BB-2BC6790BA4C6}" name="COMENTARIO" dataDxfId="32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77772A1-AC3C-4866-850C-54B72594DD25}" name="BD_HistorialPDV" displayName="BD_HistorialPDV" ref="A1:J12" totalsRowShown="0" headerRowDxfId="31" dataDxfId="29" headerRowBorderDxfId="30" tableBorderDxfId="28" totalsRowBorderDxfId="27">
  <autoFilter ref="A1:J12" xr:uid="{677772A1-AC3C-4866-850C-54B72594DD25}"/>
  <tableColumns count="10">
    <tableColumn id="1" xr3:uid="{D0BF9688-980B-4554-B4B9-1AF3AF3D972C}" name="ID" dataDxfId="26"/>
    <tableColumn id="2" xr3:uid="{EB0361EF-26C0-4ED0-9C18-7B1DB34BDBD4}" name="FOLIO DE VENTA" dataDxfId="25"/>
    <tableColumn id="3" xr3:uid="{F0D925C9-1DDA-44F2-96A1-1E447012FDFD}" name="FORMATO DE PAGO" dataDxfId="24"/>
    <tableColumn id="4" xr3:uid="{AD385CA8-5385-46EA-9D0D-FA87F834CDB4}" name="PRODUCTO" dataDxfId="23"/>
    <tableColumn id="5" xr3:uid="{1FECBAB1-B254-472A-9161-B0BEB2298372}" name="CLAVE " dataDxfId="22"/>
    <tableColumn id="6" xr3:uid="{B4715134-9164-4408-B23F-FA048D5FEFD5}" name="PRECIO " dataDxfId="21"/>
    <tableColumn id="7" xr3:uid="{7E8FDEDE-D0A6-4D8F-8FB2-571AB9411346}" name="CANTIDAD" dataDxfId="20"/>
    <tableColumn id="8" xr3:uid="{AF478DF0-6815-429B-BCD9-06FD241F5D3E}" name="TOTAL" dataDxfId="19"/>
    <tableColumn id="9" xr3:uid="{F726B108-4694-4480-9DB1-3EC332802171}" name="COMENTARIO" dataDxfId="18"/>
    <tableColumn id="10" xr3:uid="{2140E103-5751-4A43-A33C-9083C29007FD}" name="FECHA" dataDxfId="17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1D2A573-A06D-4944-8138-AE920E035489}" name="BD_Ventas" displayName="BD_Ventas" ref="A1:M7" totalsRowShown="0" headerRowDxfId="16" headerRowBorderDxfId="15" tableBorderDxfId="14" totalsRowBorderDxfId="13">
  <autoFilter ref="A1:M7" xr:uid="{21D2A573-A06D-4944-8138-AE920E035489}"/>
  <tableColumns count="13">
    <tableColumn id="1" xr3:uid="{21C259A5-4484-4337-895A-705915365229}" name="ID " dataDxfId="12"/>
    <tableColumn id="2" xr3:uid="{1596DDCE-50E2-4D72-AF0A-8EEBE3352A32}" name="FOLIO" dataDxfId="11"/>
    <tableColumn id="3" xr3:uid="{CEC4ED26-CCC0-4DE1-80DB-0F272D1362FD}" name="CREADO POR " dataDxfId="10"/>
    <tableColumn id="4" xr3:uid="{99B91174-8C09-47EE-8470-927FE9EF4110}" name="FORMATO DE PAGO" dataDxfId="9"/>
    <tableColumn id="5" xr3:uid="{24A5F24A-9E47-4610-870B-4FE9A41895C8}" name="CLIENTE" dataDxfId="8"/>
    <tableColumn id="6" xr3:uid="{48699B9B-6E89-40C5-9084-E68EE123FB5A}" name="TOTAL" dataDxfId="7"/>
    <tableColumn id="7" xr3:uid="{75CD1374-5E8D-43B4-8A50-A5E1B5D440A8}" name="CAMARERO/CAJERO" dataDxfId="6"/>
    <tableColumn id="8" xr3:uid="{CC0C0811-FACB-4CA6-8ED9-4BC5FE2E3884}" name="FECHA" dataDxfId="5"/>
    <tableColumn id="9" xr3:uid="{A52ECC95-2B87-4908-908A-23ACF756E0E0}" name="HORA" dataDxfId="4"/>
    <tableColumn id="10" xr3:uid="{990BB5D9-8D1C-47FA-8D88-2CD1EF23CCE7}" name="ESTADO" dataDxfId="3"/>
    <tableColumn id="11" xr3:uid="{1EC9219C-F372-40C4-B217-39ABB4A0B2E6}" name="IVA " dataDxfId="2"/>
    <tableColumn id="12" xr3:uid="{01C869B9-09A1-4ACC-B292-A7BA95010B46}" name="DESCUENTO " dataDxfId="1"/>
    <tableColumn id="13" xr3:uid="{D85FB00F-5FA8-4F93-B0C1-0E5E3A8E2C87}" name="PROPINA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02496-87F6-4962-B6B4-A5450B524E00}">
  <sheetPr codeName="Hoja2">
    <tabColor theme="0" tint="-0.499984740745262"/>
  </sheetPr>
  <dimension ref="A1:O80"/>
  <sheetViews>
    <sheetView topLeftCell="A5" workbookViewId="0">
      <selection activeCell="C21" sqref="C21"/>
    </sheetView>
  </sheetViews>
  <sheetFormatPr baseColWidth="10" defaultColWidth="0" defaultRowHeight="15" zeroHeight="1" x14ac:dyDescent="0.25"/>
  <cols>
    <col min="1" max="1" width="23.7109375" style="1" bestFit="1" customWidth="1"/>
    <col min="2" max="2" width="12" style="1" customWidth="1"/>
    <col min="3" max="3" width="11.42578125" customWidth="1"/>
    <col min="4" max="4" width="21" style="1" bestFit="1" customWidth="1"/>
    <col min="5" max="5" width="12" style="1" customWidth="1"/>
    <col min="6" max="6" width="11.42578125" customWidth="1"/>
    <col min="7" max="7" width="19" style="1" bestFit="1" customWidth="1"/>
    <col min="8" max="8" width="12" style="1" customWidth="1"/>
    <col min="9" max="9" width="11.42578125" customWidth="1"/>
    <col min="10" max="10" width="19" style="1" bestFit="1" customWidth="1"/>
    <col min="11" max="11" width="12" style="1" customWidth="1"/>
    <col min="12" max="12" width="11.42578125" customWidth="1"/>
    <col min="13" max="13" width="19" bestFit="1" customWidth="1"/>
    <col min="14" max="15" width="11.42578125" customWidth="1"/>
    <col min="16" max="16384" width="11.42578125" hidden="1"/>
  </cols>
  <sheetData>
    <row r="1" spans="1:14" x14ac:dyDescent="0.25">
      <c r="A1" s="2" t="s">
        <v>4</v>
      </c>
      <c r="B1" s="4" t="s">
        <v>5</v>
      </c>
      <c r="D1" s="29" t="s">
        <v>6</v>
      </c>
      <c r="E1" s="29"/>
      <c r="G1" s="30" t="s">
        <v>7</v>
      </c>
      <c r="H1" s="30"/>
      <c r="J1" s="30" t="s">
        <v>8</v>
      </c>
      <c r="K1" s="30"/>
      <c r="M1" s="30" t="s">
        <v>99</v>
      </c>
      <c r="N1" s="30"/>
    </row>
    <row r="2" spans="1:14" x14ac:dyDescent="0.25">
      <c r="A2" s="5"/>
      <c r="B2" s="7"/>
      <c r="D2" s="6" t="s">
        <v>4</v>
      </c>
      <c r="E2" s="6" t="s">
        <v>5</v>
      </c>
      <c r="G2" s="6" t="s">
        <v>4</v>
      </c>
      <c r="H2" s="6" t="s">
        <v>5</v>
      </c>
      <c r="J2" s="6" t="s">
        <v>4</v>
      </c>
      <c r="K2" s="6" t="s">
        <v>5</v>
      </c>
      <c r="M2" s="6" t="s">
        <v>4</v>
      </c>
      <c r="N2" s="6" t="s">
        <v>5</v>
      </c>
    </row>
    <row r="3" spans="1:14" x14ac:dyDescent="0.25">
      <c r="A3" s="8" t="s">
        <v>9</v>
      </c>
      <c r="B3" s="10" t="s">
        <v>10</v>
      </c>
      <c r="D3" s="6"/>
      <c r="E3" s="6"/>
      <c r="G3" s="6"/>
      <c r="H3" s="6"/>
      <c r="J3" s="6"/>
      <c r="K3" s="6"/>
      <c r="M3" s="6"/>
      <c r="N3" s="6">
        <f>IF($B$4="SU",TabSu[[#This Row],[VALOR]],IF($B$4="SUDO",TabSudo[[#This Row],[VALOR]],IF($B$4="SUDOSU",TabSudoSu[[#This Row],[VALOR]],"")))</f>
        <v>0</v>
      </c>
    </row>
    <row r="4" spans="1:14" x14ac:dyDescent="0.25">
      <c r="A4" s="8" t="s">
        <v>100</v>
      </c>
      <c r="B4" s="10" t="s">
        <v>8</v>
      </c>
      <c r="D4" s="13" t="s">
        <v>24</v>
      </c>
      <c r="E4" s="13">
        <v>0</v>
      </c>
      <c r="G4" s="13" t="s">
        <v>24</v>
      </c>
      <c r="H4" s="13">
        <v>1</v>
      </c>
      <c r="J4" s="13" t="s">
        <v>24</v>
      </c>
      <c r="K4" s="13">
        <v>1</v>
      </c>
      <c r="M4" s="13" t="s">
        <v>24</v>
      </c>
      <c r="N4" s="13">
        <f>IF($B$4="SU",TabSu[[#This Row],[VALOR]],IF($B$4="SUDO",TabSudo[[#This Row],[VALOR]],IF($B$4="SUDOSU",TabSudoSu[[#This Row],[VALOR]],"")))</f>
        <v>1</v>
      </c>
    </row>
    <row r="5" spans="1:14" x14ac:dyDescent="0.25">
      <c r="A5" s="8" t="s">
        <v>11</v>
      </c>
      <c r="B5" s="10" t="s">
        <v>12</v>
      </c>
      <c r="D5" s="13" t="s">
        <v>25</v>
      </c>
      <c r="E5" s="13">
        <v>0</v>
      </c>
      <c r="G5" s="13" t="s">
        <v>25</v>
      </c>
      <c r="H5" s="13">
        <v>1</v>
      </c>
      <c r="J5" s="13" t="s">
        <v>25</v>
      </c>
      <c r="K5" s="13">
        <v>1</v>
      </c>
      <c r="M5" s="13" t="s">
        <v>25</v>
      </c>
      <c r="N5" s="13">
        <f>IF($B$4="SU",TabSu[[#This Row],[VALOR]],IF($B$4="SUDO",TabSudo[[#This Row],[VALOR]],IF($B$4="SUDOSU",TabSudoSu[[#This Row],[VALOR]],"")))</f>
        <v>1</v>
      </c>
    </row>
    <row r="6" spans="1:14" x14ac:dyDescent="0.25">
      <c r="A6" s="8" t="s">
        <v>13</v>
      </c>
      <c r="B6" s="10">
        <v>0</v>
      </c>
      <c r="D6" s="13" t="s">
        <v>26</v>
      </c>
      <c r="E6" s="13">
        <v>1</v>
      </c>
      <c r="G6" s="13" t="s">
        <v>26</v>
      </c>
      <c r="H6" s="13">
        <v>1</v>
      </c>
      <c r="J6" s="13" t="s">
        <v>26</v>
      </c>
      <c r="K6" s="13">
        <v>1</v>
      </c>
      <c r="M6" s="13" t="s">
        <v>26</v>
      </c>
      <c r="N6" s="13">
        <f>IF($B$4="SU",TabSu[[#This Row],[VALOR]],IF($B$4="SUDO",TabSudo[[#This Row],[VALOR]],IF($B$4="SUDOSU",TabSudoSu[[#This Row],[VALOR]],"")))</f>
        <v>1</v>
      </c>
    </row>
    <row r="7" spans="1:14" x14ac:dyDescent="0.25">
      <c r="A7" s="8" t="s">
        <v>14</v>
      </c>
      <c r="B7" s="10">
        <v>4</v>
      </c>
      <c r="D7" s="13" t="s">
        <v>27</v>
      </c>
      <c r="E7" s="13">
        <v>0</v>
      </c>
      <c r="G7" s="13" t="s">
        <v>27</v>
      </c>
      <c r="H7" s="13">
        <v>1</v>
      </c>
      <c r="J7" s="13" t="s">
        <v>27</v>
      </c>
      <c r="K7" s="13">
        <v>1</v>
      </c>
      <c r="M7" s="13" t="s">
        <v>27</v>
      </c>
      <c r="N7" s="13">
        <f>IF($B$4="SU",TabSu[[#This Row],[VALOR]],IF($B$4="SUDO",TabSudo[[#This Row],[VALOR]],IF($B$4="SUDOSU",TabSudoSu[[#This Row],[VALOR]],"")))</f>
        <v>1</v>
      </c>
    </row>
    <row r="8" spans="1:14" x14ac:dyDescent="0.25">
      <c r="A8" s="8" t="s">
        <v>15</v>
      </c>
      <c r="B8" s="10">
        <v>4</v>
      </c>
      <c r="D8" s="6" t="s">
        <v>28</v>
      </c>
      <c r="E8" s="6">
        <v>0</v>
      </c>
      <c r="G8" s="6" t="s">
        <v>28</v>
      </c>
      <c r="H8" s="6">
        <v>1</v>
      </c>
      <c r="J8" s="6" t="s">
        <v>28</v>
      </c>
      <c r="K8" s="6">
        <v>1</v>
      </c>
      <c r="M8" s="6" t="s">
        <v>28</v>
      </c>
      <c r="N8" s="6">
        <f>IF($B$4="SU",TabSu[[#This Row],[VALOR]],IF($B$4="SUDO",TabSudo[[#This Row],[VALOR]],IF($B$4="SUDOSU",TabSudoSu[[#This Row],[VALOR]],"")))</f>
        <v>1</v>
      </c>
    </row>
    <row r="9" spans="1:14" x14ac:dyDescent="0.25">
      <c r="A9" s="8" t="s">
        <v>16</v>
      </c>
      <c r="B9" s="10">
        <v>0</v>
      </c>
      <c r="C9" s="12"/>
      <c r="D9" s="6" t="s">
        <v>29</v>
      </c>
      <c r="E9" s="6">
        <v>0</v>
      </c>
      <c r="G9" s="6" t="s">
        <v>29</v>
      </c>
      <c r="H9" s="6">
        <v>1</v>
      </c>
      <c r="J9" s="6" t="s">
        <v>29</v>
      </c>
      <c r="K9" s="6">
        <v>1</v>
      </c>
      <c r="M9" s="6" t="s">
        <v>29</v>
      </c>
      <c r="N9" s="6">
        <f>IF($B$4="SU",TabSu[[#This Row],[VALOR]],IF($B$4="SUDO",TabSudo[[#This Row],[VALOR]],IF($B$4="SUDOSU",TabSudoSu[[#This Row],[VALOR]],"")))</f>
        <v>1</v>
      </c>
    </row>
    <row r="10" spans="1:14" x14ac:dyDescent="0.25">
      <c r="A10" s="8" t="s">
        <v>17</v>
      </c>
      <c r="B10" s="10">
        <v>0</v>
      </c>
      <c r="C10" s="12"/>
      <c r="D10" s="6" t="s">
        <v>30</v>
      </c>
      <c r="E10" s="6">
        <v>0</v>
      </c>
      <c r="G10" s="6" t="s">
        <v>30</v>
      </c>
      <c r="H10" s="6">
        <v>1</v>
      </c>
      <c r="J10" s="6" t="s">
        <v>30</v>
      </c>
      <c r="K10" s="6">
        <v>1</v>
      </c>
      <c r="M10" s="6" t="s">
        <v>30</v>
      </c>
      <c r="N10" s="6">
        <f>IF($B$4="SU",TabSu[[#This Row],[VALOR]],IF($B$4="SUDO",TabSudo[[#This Row],[VALOR]],IF($B$4="SUDOSU",TabSudoSu[[#This Row],[VALOR]],"")))</f>
        <v>1</v>
      </c>
    </row>
    <row r="11" spans="1:14" x14ac:dyDescent="0.25">
      <c r="A11" s="8" t="s">
        <v>18</v>
      </c>
      <c r="B11" s="10">
        <v>9</v>
      </c>
      <c r="D11" s="6" t="s">
        <v>31</v>
      </c>
      <c r="E11" s="6">
        <v>0</v>
      </c>
      <c r="G11" s="6" t="s">
        <v>31</v>
      </c>
      <c r="H11" s="6">
        <v>1</v>
      </c>
      <c r="J11" s="6" t="s">
        <v>31</v>
      </c>
      <c r="K11" s="6">
        <v>1</v>
      </c>
      <c r="M11" s="6" t="s">
        <v>31</v>
      </c>
      <c r="N11" s="6">
        <f>IF($B$4="SU",TabSu[[#This Row],[VALOR]],IF($B$4="SUDO",TabSudo[[#This Row],[VALOR]],IF($B$4="SUDOSU",TabSudoSu[[#This Row],[VALOR]],"")))</f>
        <v>1</v>
      </c>
    </row>
    <row r="12" spans="1:14" x14ac:dyDescent="0.25">
      <c r="A12" s="8" t="s">
        <v>19</v>
      </c>
      <c r="B12" s="10">
        <v>0</v>
      </c>
      <c r="D12" s="6" t="s">
        <v>32</v>
      </c>
      <c r="E12" s="6">
        <v>0</v>
      </c>
      <c r="G12" s="6" t="s">
        <v>32</v>
      </c>
      <c r="H12" s="6">
        <v>1</v>
      </c>
      <c r="J12" s="6" t="s">
        <v>32</v>
      </c>
      <c r="K12" s="6">
        <v>1</v>
      </c>
      <c r="M12" s="6" t="s">
        <v>32</v>
      </c>
      <c r="N12" s="6">
        <f>IF($B$4="SU",TabSu[[#This Row],[VALOR]],IF($B$4="SUDO",TabSudo[[#This Row],[VALOR]],IF($B$4="SUDOSU",TabSudoSu[[#This Row],[VALOR]],"")))</f>
        <v>1</v>
      </c>
    </row>
    <row r="13" spans="1:14" x14ac:dyDescent="0.25">
      <c r="A13" s="8" t="s">
        <v>20</v>
      </c>
      <c r="B13" s="10">
        <v>0</v>
      </c>
      <c r="D13" s="6" t="s">
        <v>33</v>
      </c>
      <c r="E13" s="6">
        <v>0</v>
      </c>
      <c r="G13" s="6" t="s">
        <v>33</v>
      </c>
      <c r="H13" s="6">
        <v>1</v>
      </c>
      <c r="J13" s="6" t="s">
        <v>33</v>
      </c>
      <c r="K13" s="6">
        <v>1</v>
      </c>
      <c r="M13" s="6" t="s">
        <v>33</v>
      </c>
      <c r="N13" s="6">
        <f>IF($B$4="SU",TabSu[[#This Row],[VALOR]],IF($B$4="SUDO",TabSudo[[#This Row],[VALOR]],IF($B$4="SUDOSU",TabSudoSu[[#This Row],[VALOR]],"")))</f>
        <v>1</v>
      </c>
    </row>
    <row r="14" spans="1:14" x14ac:dyDescent="0.25">
      <c r="A14" s="8" t="s">
        <v>21</v>
      </c>
      <c r="B14" s="10">
        <v>0</v>
      </c>
      <c r="D14" s="6" t="s">
        <v>34</v>
      </c>
      <c r="E14" s="6">
        <v>0</v>
      </c>
      <c r="G14" s="6" t="s">
        <v>35</v>
      </c>
      <c r="H14" s="6">
        <v>1</v>
      </c>
      <c r="J14" s="6" t="s">
        <v>34</v>
      </c>
      <c r="K14" s="6">
        <v>1</v>
      </c>
      <c r="M14" s="6" t="s">
        <v>34</v>
      </c>
      <c r="N14" s="6">
        <f>IF($B$4="SU",TabSu[[#This Row],[VALOR]],IF($B$4="SUDO",TabSudo[[#This Row],[VALOR]],IF($B$4="SUDOSU",TabSudoSu[[#This Row],[VALOR]],"")))</f>
        <v>1</v>
      </c>
    </row>
    <row r="15" spans="1:14" x14ac:dyDescent="0.25">
      <c r="A15" s="8" t="s">
        <v>22</v>
      </c>
      <c r="B15" s="10">
        <v>0</v>
      </c>
      <c r="D15" s="6" t="s">
        <v>36</v>
      </c>
      <c r="E15" s="6">
        <v>0</v>
      </c>
      <c r="G15" s="6" t="s">
        <v>36</v>
      </c>
      <c r="H15" s="6">
        <v>1</v>
      </c>
      <c r="J15" s="6" t="s">
        <v>36</v>
      </c>
      <c r="K15" s="6">
        <v>1</v>
      </c>
      <c r="M15" s="6" t="s">
        <v>36</v>
      </c>
      <c r="N15" s="6">
        <f>IF($B$4="SU",TabSu[[#This Row],[VALOR]],IF($B$4="SUDO",TabSudo[[#This Row],[VALOR]],IF($B$4="SUDOSU",TabSudoSu[[#This Row],[VALOR]],"")))</f>
        <v>1</v>
      </c>
    </row>
    <row r="16" spans="1:14" x14ac:dyDescent="0.25">
      <c r="A16" s="8" t="s">
        <v>23</v>
      </c>
      <c r="B16" s="10">
        <v>0</v>
      </c>
      <c r="D16" s="6" t="s">
        <v>37</v>
      </c>
      <c r="E16" s="6">
        <v>0</v>
      </c>
      <c r="G16" s="6" t="s">
        <v>37</v>
      </c>
      <c r="H16" s="6">
        <v>1</v>
      </c>
      <c r="J16" s="6" t="s">
        <v>37</v>
      </c>
      <c r="K16" s="6">
        <v>1</v>
      </c>
      <c r="M16" s="6" t="s">
        <v>37</v>
      </c>
      <c r="N16" s="6">
        <f>IF($B$4="SU",TabSu[[#This Row],[VALOR]],IF($B$4="SUDO",TabSudo[[#This Row],[VALOR]],IF($B$4="SUDOSU",TabSudoSu[[#This Row],[VALOR]],"")))</f>
        <v>1</v>
      </c>
    </row>
    <row r="17" spans="1:14" x14ac:dyDescent="0.25">
      <c r="A17" s="8"/>
      <c r="B17" s="10"/>
      <c r="D17" s="6" t="s">
        <v>38</v>
      </c>
      <c r="E17" s="6">
        <v>0</v>
      </c>
      <c r="G17" s="6" t="s">
        <v>38</v>
      </c>
      <c r="H17" s="6">
        <v>1</v>
      </c>
      <c r="J17" s="6" t="s">
        <v>38</v>
      </c>
      <c r="K17" s="6">
        <v>1</v>
      </c>
      <c r="M17" s="6" t="s">
        <v>38</v>
      </c>
      <c r="N17" s="6">
        <f>IF($B$4="SU",TabSu[[#This Row],[VALOR]],IF($B$4="SUDO",TabSudo[[#This Row],[VALOR]],IF($B$4="SUDOSU",TabSudoSu[[#This Row],[VALOR]],"")))</f>
        <v>1</v>
      </c>
    </row>
    <row r="18" spans="1:14" x14ac:dyDescent="0.25">
      <c r="D18" s="14" t="s">
        <v>39</v>
      </c>
      <c r="E18" s="14">
        <v>0</v>
      </c>
      <c r="G18" s="14" t="s">
        <v>39</v>
      </c>
      <c r="H18" s="14">
        <v>0</v>
      </c>
      <c r="J18" s="14" t="s">
        <v>39</v>
      </c>
      <c r="K18" s="14">
        <v>1</v>
      </c>
      <c r="M18" s="14" t="s">
        <v>39</v>
      </c>
      <c r="N18" s="14">
        <f>IF($B$4="SU",TabSu[[#This Row],[VALOR]],IF($B$4="SUDO",TabSudo[[#This Row],[VALOR]],IF($B$4="SUDOSU",TabSudoSu[[#This Row],[VALOR]],"")))</f>
        <v>1</v>
      </c>
    </row>
    <row r="19" spans="1:14" x14ac:dyDescent="0.25">
      <c r="D19" s="6" t="s">
        <v>47</v>
      </c>
      <c r="E19" s="6">
        <v>1</v>
      </c>
      <c r="G19" s="6" t="s">
        <v>47</v>
      </c>
      <c r="H19" s="6">
        <v>1</v>
      </c>
      <c r="J19" s="6" t="s">
        <v>47</v>
      </c>
      <c r="K19" s="6">
        <v>1</v>
      </c>
      <c r="M19" s="6" t="s">
        <v>47</v>
      </c>
      <c r="N19" s="6">
        <f>IF($B$4="SU",TabSu[[#This Row],[VALOR]],IF($B$4="SUDO",TabSudo[[#This Row],[VALOR]],IF($B$4="SUDOSU",TabSudoSu[[#This Row],[VALOR]],"")))</f>
        <v>1</v>
      </c>
    </row>
    <row r="20" spans="1:14" x14ac:dyDescent="0.25">
      <c r="A20" s="1" t="s">
        <v>169</v>
      </c>
      <c r="D20" s="6" t="s">
        <v>48</v>
      </c>
      <c r="E20" s="6">
        <v>1</v>
      </c>
      <c r="G20" s="6" t="s">
        <v>48</v>
      </c>
      <c r="H20" s="6">
        <v>1</v>
      </c>
      <c r="J20" s="1" t="s">
        <v>48</v>
      </c>
      <c r="K20" s="6">
        <v>1</v>
      </c>
      <c r="M20" s="1" t="s">
        <v>48</v>
      </c>
      <c r="N20" s="6">
        <f>IF($B$4="SU",TabSu[[#This Row],[VALOR]],IF($B$4="SUDO",TabSudo[[#This Row],[VALOR]],IF($B$4="SUDOSU",TabSudoSu[[#This Row],[VALOR]],"")))</f>
        <v>1</v>
      </c>
    </row>
    <row r="21" spans="1:14" x14ac:dyDescent="0.25">
      <c r="D21" s="6" t="s">
        <v>49</v>
      </c>
      <c r="E21" s="6">
        <v>1</v>
      </c>
      <c r="G21" s="6" t="s">
        <v>49</v>
      </c>
      <c r="H21" s="6">
        <v>1</v>
      </c>
      <c r="J21" s="6" t="s">
        <v>49</v>
      </c>
      <c r="K21" s="6">
        <v>1</v>
      </c>
      <c r="M21" s="6" t="s">
        <v>49</v>
      </c>
      <c r="N21" s="6">
        <f>IF($B$4="SU",TabSu[[#This Row],[VALOR]],IF($B$4="SUDO",TabSudo[[#This Row],[VALOR]],IF($B$4="SUDOSU",TabSudoSu[[#This Row],[VALOR]],"")))</f>
        <v>1</v>
      </c>
    </row>
    <row r="22" spans="1:14" x14ac:dyDescent="0.25">
      <c r="D22" s="6" t="s">
        <v>50</v>
      </c>
      <c r="E22" s="6">
        <v>1</v>
      </c>
      <c r="G22" s="6" t="s">
        <v>50</v>
      </c>
      <c r="H22" s="6">
        <v>1</v>
      </c>
      <c r="J22" s="6" t="s">
        <v>50</v>
      </c>
      <c r="K22" s="6">
        <v>1</v>
      </c>
      <c r="M22" s="6" t="s">
        <v>50</v>
      </c>
      <c r="N22" s="6">
        <f>IF($B$4="SU",TabSu[[#This Row],[VALOR]],IF($B$4="SUDO",TabSudo[[#This Row],[VALOR]],IF($B$4="SUDOSU",TabSudoSu[[#This Row],[VALOR]],"")))</f>
        <v>1</v>
      </c>
    </row>
    <row r="23" spans="1:14" x14ac:dyDescent="0.25">
      <c r="D23" s="13" t="s">
        <v>40</v>
      </c>
      <c r="E23" s="13">
        <v>0</v>
      </c>
      <c r="G23" s="13" t="s">
        <v>40</v>
      </c>
      <c r="H23" s="13">
        <v>1</v>
      </c>
      <c r="J23" s="13" t="s">
        <v>40</v>
      </c>
      <c r="K23" s="13">
        <v>1</v>
      </c>
      <c r="M23" s="13" t="s">
        <v>40</v>
      </c>
      <c r="N23" s="13">
        <f>IF($B$4="SU",TabSu[[#This Row],[VALOR]],IF($B$4="SUDO",TabSudo[[#This Row],[VALOR]],IF($B$4="SUDOSU",TabSudoSu[[#This Row],[VALOR]],"")))</f>
        <v>1</v>
      </c>
    </row>
    <row r="24" spans="1:14" x14ac:dyDescent="0.25">
      <c r="A24" s="2" t="s">
        <v>4</v>
      </c>
      <c r="B24" s="4" t="s">
        <v>5</v>
      </c>
      <c r="D24" s="14" t="s">
        <v>45</v>
      </c>
      <c r="E24" s="14">
        <v>0</v>
      </c>
      <c r="G24" s="14" t="s">
        <v>45</v>
      </c>
      <c r="H24" s="14">
        <v>0</v>
      </c>
      <c r="J24" s="14" t="s">
        <v>46</v>
      </c>
      <c r="K24" s="14">
        <v>1</v>
      </c>
      <c r="M24" s="14" t="s">
        <v>46</v>
      </c>
      <c r="N24" s="14">
        <f>IF($B$4="SU",TabSu[[#This Row],[VALOR]],IF($B$4="SUDO",TabSudo[[#This Row],[VALOR]],IF($B$4="SUDOSU",TabSudoSu[[#This Row],[VALOR]],"")))</f>
        <v>1</v>
      </c>
    </row>
    <row r="25" spans="1:14" x14ac:dyDescent="0.25">
      <c r="A25" s="24"/>
      <c r="B25" s="7"/>
      <c r="D25" s="6" t="s">
        <v>43</v>
      </c>
      <c r="E25" s="6">
        <v>0</v>
      </c>
      <c r="G25" s="6" t="s">
        <v>43</v>
      </c>
      <c r="H25" s="6">
        <v>1</v>
      </c>
      <c r="J25" s="6" t="s">
        <v>43</v>
      </c>
      <c r="K25" s="6">
        <v>1</v>
      </c>
      <c r="M25" s="6" t="s">
        <v>43</v>
      </c>
      <c r="N25" s="6">
        <f>IF($B$4="SU",TabSu[[#This Row],[VALOR]],IF($B$4="SUDO",TabSudo[[#This Row],[VALOR]],IF($B$4="SUDOSU",TabSudoSu[[#This Row],[VALOR]],"")))</f>
        <v>1</v>
      </c>
    </row>
    <row r="26" spans="1:14" x14ac:dyDescent="0.25">
      <c r="A26" s="8" t="s">
        <v>192</v>
      </c>
      <c r="B26" s="10">
        <v>4</v>
      </c>
      <c r="D26" s="6" t="s">
        <v>41</v>
      </c>
      <c r="E26" s="6">
        <v>0</v>
      </c>
      <c r="G26" s="6" t="s">
        <v>41</v>
      </c>
      <c r="H26" s="6">
        <v>1</v>
      </c>
      <c r="J26" s="6" t="s">
        <v>41</v>
      </c>
      <c r="K26" s="6">
        <v>1</v>
      </c>
      <c r="M26" s="6" t="s">
        <v>41</v>
      </c>
      <c r="N26" s="6">
        <f>IF($B$4="SU",TabSu[[#This Row],[VALOR]],IF($B$4="SUDO",TabSudo[[#This Row],[VALOR]],IF($B$4="SUDOSU",TabSudoSu[[#This Row],[VALOR]],"")))</f>
        <v>1</v>
      </c>
    </row>
    <row r="27" spans="1:14" x14ac:dyDescent="0.25">
      <c r="A27" s="5" t="s">
        <v>193</v>
      </c>
      <c r="B27" s="10" t="s">
        <v>194</v>
      </c>
      <c r="D27" s="6" t="s">
        <v>42</v>
      </c>
      <c r="E27" s="6">
        <v>0</v>
      </c>
      <c r="G27" s="6" t="s">
        <v>42</v>
      </c>
      <c r="H27" s="6">
        <v>1</v>
      </c>
      <c r="J27" s="6" t="s">
        <v>42</v>
      </c>
      <c r="K27" s="6">
        <v>1</v>
      </c>
      <c r="M27" s="6" t="s">
        <v>42</v>
      </c>
      <c r="N27" s="6">
        <f>IF($B$4="SU",TabSu[[#This Row],[VALOR]],IF($B$4="SUDO",TabSudo[[#This Row],[VALOR]],IF($B$4="SUDOSU",TabSudoSu[[#This Row],[VALOR]],"")))</f>
        <v>1</v>
      </c>
    </row>
    <row r="28" spans="1:14" x14ac:dyDescent="0.25">
      <c r="A28" s="8"/>
      <c r="B28" s="10"/>
      <c r="D28" s="6" t="s">
        <v>44</v>
      </c>
      <c r="E28" s="6">
        <v>1</v>
      </c>
      <c r="G28" s="6" t="s">
        <v>44</v>
      </c>
      <c r="H28" s="6">
        <v>1</v>
      </c>
      <c r="J28" s="6" t="s">
        <v>44</v>
      </c>
      <c r="K28" s="6">
        <v>1</v>
      </c>
      <c r="M28" s="6" t="s">
        <v>44</v>
      </c>
      <c r="N28" s="6">
        <f>IF($B$4="SU",TabSu[[#This Row],[VALOR]],IF($B$4="SUDO",TabSudo[[#This Row],[VALOR]],IF($B$4="SUDOSU",TabSudoSu[[#This Row],[VALOR]],"")))</f>
        <v>1</v>
      </c>
    </row>
    <row r="29" spans="1:14" x14ac:dyDescent="0.25">
      <c r="B29" s="11"/>
      <c r="D29" s="15" t="s">
        <v>52</v>
      </c>
      <c r="E29" s="15">
        <v>0</v>
      </c>
      <c r="G29" s="15" t="s">
        <v>52</v>
      </c>
      <c r="H29" s="15">
        <v>0</v>
      </c>
      <c r="J29" s="15" t="s">
        <v>52</v>
      </c>
      <c r="K29" s="15">
        <v>1</v>
      </c>
      <c r="M29" s="15" t="s">
        <v>52</v>
      </c>
      <c r="N29" s="15">
        <f>IF($B$4="SU",TabSu[[#This Row],[VALOR]],IF($B$4="SUDO",TabSudo[[#This Row],[VALOR]],IF($B$4="SUDOSU",TabSudoSu[[#This Row],[VALOR]],"")))</f>
        <v>1</v>
      </c>
    </row>
    <row r="30" spans="1:14" x14ac:dyDescent="0.25">
      <c r="D30" s="15" t="s">
        <v>53</v>
      </c>
      <c r="E30" s="15">
        <v>0</v>
      </c>
      <c r="G30" s="15" t="s">
        <v>53</v>
      </c>
      <c r="H30" s="15">
        <v>0</v>
      </c>
      <c r="J30" s="15" t="s">
        <v>53</v>
      </c>
      <c r="K30" s="15">
        <v>1</v>
      </c>
      <c r="M30" s="15" t="s">
        <v>53</v>
      </c>
      <c r="N30" s="15">
        <f>IF($B$4="SU",TabSu[[#This Row],[VALOR]],IF($B$4="SUDO",TabSudo[[#This Row],[VALOR]],IF($B$4="SUDOSU",TabSudoSu[[#This Row],[VALOR]],"")))</f>
        <v>1</v>
      </c>
    </row>
    <row r="31" spans="1:14" x14ac:dyDescent="0.25">
      <c r="D31" s="15" t="s">
        <v>54</v>
      </c>
      <c r="E31" s="15">
        <v>0</v>
      </c>
      <c r="G31" s="15" t="s">
        <v>54</v>
      </c>
      <c r="H31" s="15">
        <v>0</v>
      </c>
      <c r="J31" s="15" t="s">
        <v>54</v>
      </c>
      <c r="K31" s="15">
        <v>1</v>
      </c>
      <c r="M31" s="15" t="s">
        <v>54</v>
      </c>
      <c r="N31" s="15">
        <f>IF($B$4="SU",TabSu[[#This Row],[VALOR]],IF($B$4="SUDO",TabSudo[[#This Row],[VALOR]],IF($B$4="SUDOSU",TabSudoSu[[#This Row],[VALOR]],"")))</f>
        <v>1</v>
      </c>
    </row>
    <row r="32" spans="1:14" x14ac:dyDescent="0.25">
      <c r="D32" s="15" t="s">
        <v>55</v>
      </c>
      <c r="E32" s="15">
        <v>0</v>
      </c>
      <c r="G32" s="15" t="s">
        <v>55</v>
      </c>
      <c r="H32" s="15">
        <v>1</v>
      </c>
      <c r="J32" s="15" t="s">
        <v>55</v>
      </c>
      <c r="K32" s="15">
        <v>1</v>
      </c>
      <c r="M32" s="15" t="s">
        <v>55</v>
      </c>
      <c r="N32" s="15">
        <f>IF($B$4="SU",TabSu[[#This Row],[VALOR]],IF($B$4="SUDO",TabSudo[[#This Row],[VALOR]],IF($B$4="SUDOSU",TabSudoSu[[#This Row],[VALOR]],"")))</f>
        <v>1</v>
      </c>
    </row>
    <row r="33" spans="4:14" x14ac:dyDescent="0.25">
      <c r="D33" s="15" t="s">
        <v>56</v>
      </c>
      <c r="E33" s="15">
        <v>0</v>
      </c>
      <c r="G33" s="15" t="s">
        <v>56</v>
      </c>
      <c r="H33" s="15">
        <v>1</v>
      </c>
      <c r="J33" s="15" t="s">
        <v>56</v>
      </c>
      <c r="K33" s="15">
        <v>1</v>
      </c>
      <c r="M33" s="15" t="s">
        <v>56</v>
      </c>
      <c r="N33" s="15">
        <f>IF($B$4="SU",TabSu[[#This Row],[VALOR]],IF($B$4="SUDO",TabSudo[[#This Row],[VALOR]],IF($B$4="SUDOSU",TabSudoSu[[#This Row],[VALOR]],"")))</f>
        <v>1</v>
      </c>
    </row>
    <row r="34" spans="4:14" x14ac:dyDescent="0.25">
      <c r="D34" s="15" t="s">
        <v>57</v>
      </c>
      <c r="E34" s="15">
        <v>0</v>
      </c>
      <c r="G34" s="15" t="s">
        <v>57</v>
      </c>
      <c r="H34" s="15">
        <v>1</v>
      </c>
      <c r="J34" s="15" t="s">
        <v>57</v>
      </c>
      <c r="K34" s="15">
        <v>1</v>
      </c>
      <c r="M34" s="15" t="s">
        <v>57</v>
      </c>
      <c r="N34" s="15">
        <f>IF($B$4="SU",TabSu[[#This Row],[VALOR]],IF($B$4="SUDO",TabSudo[[#This Row],[VALOR]],IF($B$4="SUDOSU",TabSudoSu[[#This Row],[VALOR]],"")))</f>
        <v>1</v>
      </c>
    </row>
    <row r="35" spans="4:14" x14ac:dyDescent="0.25">
      <c r="D35" s="15" t="s">
        <v>58</v>
      </c>
      <c r="E35" s="15">
        <v>0</v>
      </c>
      <c r="G35" s="15" t="s">
        <v>58</v>
      </c>
      <c r="H35" s="15">
        <v>1</v>
      </c>
      <c r="J35" s="15" t="s">
        <v>58</v>
      </c>
      <c r="K35" s="15">
        <v>1</v>
      </c>
      <c r="M35" s="15" t="s">
        <v>58</v>
      </c>
      <c r="N35" s="15">
        <f>IF($B$4="SU",TabSu[[#This Row],[VALOR]],IF($B$4="SUDO",TabSudo[[#This Row],[VALOR]],IF($B$4="SUDOSU",TabSudoSu[[#This Row],[VALOR]],"")))</f>
        <v>1</v>
      </c>
    </row>
    <row r="36" spans="4:14" x14ac:dyDescent="0.25">
      <c r="D36" s="15" t="s">
        <v>51</v>
      </c>
      <c r="E36" s="15">
        <v>0</v>
      </c>
      <c r="G36" s="15" t="s">
        <v>51</v>
      </c>
      <c r="H36" s="15">
        <v>1</v>
      </c>
      <c r="J36" s="15" t="s">
        <v>51</v>
      </c>
      <c r="K36" s="15">
        <v>1</v>
      </c>
      <c r="M36" s="15" t="s">
        <v>51</v>
      </c>
      <c r="N36" s="15">
        <f>IF($B$4="SU",TabSu[[#This Row],[VALOR]],IF($B$4="SUDO",TabSudo[[#This Row],[VALOR]],IF($B$4="SUDOSU",TabSudoSu[[#This Row],[VALOR]],"")))</f>
        <v>1</v>
      </c>
    </row>
    <row r="37" spans="4:14" x14ac:dyDescent="0.25">
      <c r="D37" s="15" t="s">
        <v>59</v>
      </c>
      <c r="E37" s="15">
        <v>0</v>
      </c>
      <c r="G37" s="15" t="s">
        <v>59</v>
      </c>
      <c r="H37" s="15">
        <v>0</v>
      </c>
      <c r="J37" s="15" t="s">
        <v>59</v>
      </c>
      <c r="K37" s="15">
        <v>1</v>
      </c>
      <c r="M37" s="15" t="s">
        <v>59</v>
      </c>
      <c r="N37" s="15">
        <f>IF($B$4="SU",TabSu[[#This Row],[VALOR]],IF($B$4="SUDO",TabSudo[[#This Row],[VALOR]],IF($B$4="SUDOSU",TabSudoSu[[#This Row],[VALOR]],"")))</f>
        <v>1</v>
      </c>
    </row>
    <row r="38" spans="4:14" x14ac:dyDescent="0.25">
      <c r="D38" s="15" t="s">
        <v>60</v>
      </c>
      <c r="E38" s="15">
        <v>0</v>
      </c>
      <c r="G38" s="15" t="s">
        <v>60</v>
      </c>
      <c r="H38" s="15">
        <v>0</v>
      </c>
      <c r="J38" s="15" t="s">
        <v>60</v>
      </c>
      <c r="K38" s="15">
        <v>1</v>
      </c>
      <c r="M38" s="15" t="s">
        <v>60</v>
      </c>
      <c r="N38" s="15">
        <f>IF($B$4="SU",TabSu[[#This Row],[VALOR]],IF($B$4="SUDO",TabSudo[[#This Row],[VALOR]],IF($B$4="SUDOSU",TabSudoSu[[#This Row],[VALOR]],"")))</f>
        <v>1</v>
      </c>
    </row>
    <row r="39" spans="4:14" x14ac:dyDescent="0.25">
      <c r="D39" s="15" t="s">
        <v>61</v>
      </c>
      <c r="E39" s="15">
        <v>0</v>
      </c>
      <c r="G39" s="15" t="s">
        <v>61</v>
      </c>
      <c r="H39" s="15">
        <v>0</v>
      </c>
      <c r="J39" s="15" t="s">
        <v>61</v>
      </c>
      <c r="K39" s="15">
        <v>1</v>
      </c>
      <c r="M39" s="15" t="s">
        <v>61</v>
      </c>
      <c r="N39" s="15">
        <f>IF($B$4="SU",TabSu[[#This Row],[VALOR]],IF($B$4="SUDO",TabSudo[[#This Row],[VALOR]],IF($B$4="SUDOSU",TabSudoSu[[#This Row],[VALOR]],"")))</f>
        <v>1</v>
      </c>
    </row>
    <row r="40" spans="4:14" x14ac:dyDescent="0.25">
      <c r="D40" s="15" t="s">
        <v>62</v>
      </c>
      <c r="E40" s="15">
        <v>0</v>
      </c>
      <c r="G40" s="15" t="s">
        <v>62</v>
      </c>
      <c r="H40" s="15">
        <v>0</v>
      </c>
      <c r="J40" s="15" t="s">
        <v>62</v>
      </c>
      <c r="K40" s="15">
        <v>1</v>
      </c>
      <c r="M40" s="15" t="s">
        <v>62</v>
      </c>
      <c r="N40" s="15">
        <f>IF($B$4="SU",TabSu[[#This Row],[VALOR]],IF($B$4="SUDO",TabSudo[[#This Row],[VALOR]],IF($B$4="SUDOSU",TabSudoSu[[#This Row],[VALOR]],"")))</f>
        <v>1</v>
      </c>
    </row>
    <row r="41" spans="4:14" x14ac:dyDescent="0.25">
      <c r="D41" s="15" t="s">
        <v>63</v>
      </c>
      <c r="E41" s="15">
        <v>0</v>
      </c>
      <c r="G41" s="15" t="s">
        <v>63</v>
      </c>
      <c r="H41" s="15">
        <v>0</v>
      </c>
      <c r="J41" s="15" t="s">
        <v>63</v>
      </c>
      <c r="K41" s="15">
        <v>1</v>
      </c>
      <c r="M41" s="15" t="s">
        <v>63</v>
      </c>
      <c r="N41" s="15">
        <f>IF($B$4="SU",TabSu[[#This Row],[VALOR]],IF($B$4="SUDO",TabSudo[[#This Row],[VALOR]],IF($B$4="SUDOSU",TabSudoSu[[#This Row],[VALOR]],"")))</f>
        <v>1</v>
      </c>
    </row>
    <row r="42" spans="4:14" x14ac:dyDescent="0.25">
      <c r="D42" s="15" t="s">
        <v>64</v>
      </c>
      <c r="E42" s="15">
        <v>0</v>
      </c>
      <c r="G42" s="15" t="s">
        <v>64</v>
      </c>
      <c r="H42" s="15">
        <v>0</v>
      </c>
      <c r="J42" s="15" t="s">
        <v>64</v>
      </c>
      <c r="K42" s="15">
        <v>1</v>
      </c>
      <c r="M42" s="15" t="s">
        <v>64</v>
      </c>
      <c r="N42" s="15">
        <f>IF($B$4="SU",TabSu[[#This Row],[VALOR]],IF($B$4="SUDO",TabSudo[[#This Row],[VALOR]],IF($B$4="SUDOSU",TabSudoSu[[#This Row],[VALOR]],"")))</f>
        <v>1</v>
      </c>
    </row>
    <row r="43" spans="4:14" x14ac:dyDescent="0.25">
      <c r="D43" s="15" t="s">
        <v>65</v>
      </c>
      <c r="E43" s="15">
        <v>0</v>
      </c>
      <c r="G43" s="15" t="s">
        <v>65</v>
      </c>
      <c r="H43" s="15">
        <v>0</v>
      </c>
      <c r="J43" s="15" t="s">
        <v>65</v>
      </c>
      <c r="K43" s="15">
        <v>1</v>
      </c>
      <c r="M43" s="15" t="s">
        <v>65</v>
      </c>
      <c r="N43" s="15">
        <f>IF($B$4="SU",TabSu[[#This Row],[VALOR]],IF($B$4="SUDO",TabSudo[[#This Row],[VALOR]],IF($B$4="SUDOSU",TabSudoSu[[#This Row],[VALOR]],"")))</f>
        <v>1</v>
      </c>
    </row>
    <row r="44" spans="4:14" x14ac:dyDescent="0.25">
      <c r="D44" s="15" t="s">
        <v>66</v>
      </c>
      <c r="E44" s="15">
        <v>0</v>
      </c>
      <c r="G44" s="15" t="s">
        <v>66</v>
      </c>
      <c r="H44" s="15">
        <v>0</v>
      </c>
      <c r="J44" s="15" t="s">
        <v>66</v>
      </c>
      <c r="K44" s="15">
        <v>1</v>
      </c>
      <c r="M44" s="15" t="s">
        <v>66</v>
      </c>
      <c r="N44" s="15">
        <f>IF($B$4="SU",TabSu[[#This Row],[VALOR]],IF($B$4="SUDO",TabSudo[[#This Row],[VALOR]],IF($B$4="SUDOSU",TabSudoSu[[#This Row],[VALOR]],"")))</f>
        <v>1</v>
      </c>
    </row>
    <row r="45" spans="4:14" x14ac:dyDescent="0.25">
      <c r="D45" s="15" t="s">
        <v>67</v>
      </c>
      <c r="E45" s="15">
        <v>0</v>
      </c>
      <c r="G45" s="15" t="s">
        <v>67</v>
      </c>
      <c r="H45" s="15">
        <v>0</v>
      </c>
      <c r="J45" s="15" t="s">
        <v>67</v>
      </c>
      <c r="K45" s="15">
        <v>1</v>
      </c>
      <c r="M45" s="15" t="s">
        <v>67</v>
      </c>
      <c r="N45" s="15">
        <f>IF($B$4="SU",TabSu[[#This Row],[VALOR]],IF($B$4="SUDO",TabSudo[[#This Row],[VALOR]],IF($B$4="SUDOSU",TabSudoSu[[#This Row],[VALOR]],"")))</f>
        <v>1</v>
      </c>
    </row>
    <row r="46" spans="4:14" x14ac:dyDescent="0.25">
      <c r="D46" s="15" t="s">
        <v>68</v>
      </c>
      <c r="E46" s="15">
        <v>0</v>
      </c>
      <c r="G46" s="15" t="s">
        <v>68</v>
      </c>
      <c r="H46" s="15">
        <v>0</v>
      </c>
      <c r="J46" s="15" t="s">
        <v>68</v>
      </c>
      <c r="K46" s="15">
        <v>1</v>
      </c>
      <c r="M46" s="15" t="s">
        <v>68</v>
      </c>
      <c r="N46" s="15">
        <f>IF($B$4="SU",TabSu[[#This Row],[VALOR]],IF($B$4="SUDO",TabSudo[[#This Row],[VALOR]],IF($B$4="SUDOSU",TabSudoSu[[#This Row],[VALOR]],"")))</f>
        <v>1</v>
      </c>
    </row>
    <row r="47" spans="4:14" x14ac:dyDescent="0.25">
      <c r="D47" s="15" t="s">
        <v>69</v>
      </c>
      <c r="E47" s="15">
        <v>0</v>
      </c>
      <c r="G47" s="15" t="s">
        <v>69</v>
      </c>
      <c r="H47" s="15">
        <v>0</v>
      </c>
      <c r="J47" s="15" t="s">
        <v>69</v>
      </c>
      <c r="K47" s="15">
        <v>1</v>
      </c>
      <c r="M47" s="15" t="s">
        <v>69</v>
      </c>
      <c r="N47" s="15">
        <f>IF($B$4="SU",TabSu[[#This Row],[VALOR]],IF($B$4="SUDO",TabSudo[[#This Row],[VALOR]],IF($B$4="SUDOSU",TabSudoSu[[#This Row],[VALOR]],"")))</f>
        <v>1</v>
      </c>
    </row>
    <row r="48" spans="4:14" x14ac:dyDescent="0.25">
      <c r="D48" s="15" t="s">
        <v>70</v>
      </c>
      <c r="E48" s="15">
        <v>0</v>
      </c>
      <c r="G48" s="15" t="s">
        <v>70</v>
      </c>
      <c r="H48" s="15">
        <v>0</v>
      </c>
      <c r="J48" s="15" t="s">
        <v>70</v>
      </c>
      <c r="K48" s="15">
        <v>1</v>
      </c>
      <c r="M48" s="15" t="s">
        <v>70</v>
      </c>
      <c r="N48" s="15">
        <f>IF($B$4="SU",TabSu[[#This Row],[VALOR]],IF($B$4="SUDO",TabSudo[[#This Row],[VALOR]],IF($B$4="SUDOSU",TabSudoSu[[#This Row],[VALOR]],"")))</f>
        <v>1</v>
      </c>
    </row>
    <row r="49" spans="4:14" x14ac:dyDescent="0.25">
      <c r="D49" s="15" t="s">
        <v>72</v>
      </c>
      <c r="E49" s="15">
        <v>0</v>
      </c>
      <c r="G49" s="15" t="s">
        <v>72</v>
      </c>
      <c r="H49" s="15">
        <v>1</v>
      </c>
      <c r="J49" s="15" t="s">
        <v>72</v>
      </c>
      <c r="K49" s="15">
        <v>1</v>
      </c>
      <c r="M49" s="15" t="s">
        <v>72</v>
      </c>
      <c r="N49" s="15">
        <f>IF($B$4="SU",TabSu[[#This Row],[VALOR]],IF($B$4="SUDO",TabSudo[[#This Row],[VALOR]],IF($B$4="SUDOSU",TabSudoSu[[#This Row],[VALOR]],"")))</f>
        <v>1</v>
      </c>
    </row>
    <row r="50" spans="4:14" x14ac:dyDescent="0.25">
      <c r="D50" s="15" t="s">
        <v>71</v>
      </c>
      <c r="E50" s="15">
        <v>0</v>
      </c>
      <c r="G50" s="15" t="s">
        <v>71</v>
      </c>
      <c r="H50" s="15">
        <v>0</v>
      </c>
      <c r="J50" s="15" t="s">
        <v>71</v>
      </c>
      <c r="K50" s="15">
        <v>1</v>
      </c>
      <c r="M50" s="15" t="s">
        <v>71</v>
      </c>
      <c r="N50" s="15">
        <f>IF($B$4="SU",TabSu[[#This Row],[VALOR]],IF($B$4="SUDO",TabSudo[[#This Row],[VALOR]],IF($B$4="SUDOSU",TabSudoSu[[#This Row],[VALOR]],"")))</f>
        <v>1</v>
      </c>
    </row>
    <row r="51" spans="4:14" x14ac:dyDescent="0.25">
      <c r="D51" s="15" t="s">
        <v>73</v>
      </c>
      <c r="E51" s="15">
        <v>0</v>
      </c>
      <c r="G51" s="15" t="s">
        <v>73</v>
      </c>
      <c r="H51" s="15">
        <v>1</v>
      </c>
      <c r="J51" s="15" t="s">
        <v>73</v>
      </c>
      <c r="K51" s="15">
        <v>1</v>
      </c>
      <c r="M51" s="15" t="s">
        <v>73</v>
      </c>
      <c r="N51" s="15">
        <f>IF($B$4="SU",TabSu[[#This Row],[VALOR]],IF($B$4="SUDO",TabSudo[[#This Row],[VALOR]],IF($B$4="SUDOSU",TabSudoSu[[#This Row],[VALOR]],"")))</f>
        <v>1</v>
      </c>
    </row>
    <row r="52" spans="4:14" x14ac:dyDescent="0.25">
      <c r="D52" s="15" t="s">
        <v>74</v>
      </c>
      <c r="E52" s="15">
        <v>0</v>
      </c>
      <c r="G52" s="15" t="s">
        <v>74</v>
      </c>
      <c r="H52" s="15">
        <v>1</v>
      </c>
      <c r="J52" s="15" t="s">
        <v>74</v>
      </c>
      <c r="K52" s="15">
        <v>1</v>
      </c>
      <c r="M52" s="15" t="s">
        <v>74</v>
      </c>
      <c r="N52" s="15">
        <f>IF($B$4="SU",TabSu[[#This Row],[VALOR]],IF($B$4="SUDO",TabSudo[[#This Row],[VALOR]],IF($B$4="SUDOSU",TabSudoSu[[#This Row],[VALOR]],"")))</f>
        <v>1</v>
      </c>
    </row>
    <row r="53" spans="4:14" x14ac:dyDescent="0.25">
      <c r="D53" s="15" t="s">
        <v>76</v>
      </c>
      <c r="E53" s="15">
        <v>0</v>
      </c>
      <c r="G53" s="15" t="s">
        <v>76</v>
      </c>
      <c r="H53" s="15">
        <v>1</v>
      </c>
      <c r="J53" s="15" t="s">
        <v>76</v>
      </c>
      <c r="K53" s="15">
        <v>1</v>
      </c>
      <c r="M53" s="15" t="s">
        <v>76</v>
      </c>
      <c r="N53" s="15">
        <f>IF($B$4="SU",TabSu[[#This Row],[VALOR]],IF($B$4="SUDO",TabSudo[[#This Row],[VALOR]],IF($B$4="SUDOSU",TabSudoSu[[#This Row],[VALOR]],"")))</f>
        <v>1</v>
      </c>
    </row>
    <row r="54" spans="4:14" x14ac:dyDescent="0.25">
      <c r="D54" s="15" t="s">
        <v>75</v>
      </c>
      <c r="E54" s="15">
        <v>0</v>
      </c>
      <c r="G54" s="15" t="s">
        <v>75</v>
      </c>
      <c r="H54" s="15">
        <v>1</v>
      </c>
      <c r="J54" s="15" t="s">
        <v>75</v>
      </c>
      <c r="K54" s="15">
        <v>1</v>
      </c>
      <c r="M54" s="15" t="s">
        <v>75</v>
      </c>
      <c r="N54" s="15">
        <f>IF($B$4="SU",TabSu[[#This Row],[VALOR]],IF($B$4="SUDO",TabSudo[[#This Row],[VALOR]],IF($B$4="SUDOSU",TabSudoSu[[#This Row],[VALOR]],"")))</f>
        <v>1</v>
      </c>
    </row>
    <row r="55" spans="4:14" x14ac:dyDescent="0.25">
      <c r="D55" s="15" t="s">
        <v>77</v>
      </c>
      <c r="E55" s="15">
        <v>0</v>
      </c>
      <c r="G55" s="15" t="s">
        <v>77</v>
      </c>
      <c r="H55" s="15">
        <v>1</v>
      </c>
      <c r="J55" s="15" t="s">
        <v>77</v>
      </c>
      <c r="K55" s="15">
        <v>1</v>
      </c>
      <c r="M55" s="15" t="s">
        <v>77</v>
      </c>
      <c r="N55" s="15">
        <f>IF($B$4="SU",TabSu[[#This Row],[VALOR]],IF($B$4="SUDO",TabSudo[[#This Row],[VALOR]],IF($B$4="SUDOSU",TabSudoSu[[#This Row],[VALOR]],"")))</f>
        <v>1</v>
      </c>
    </row>
    <row r="56" spans="4:14" x14ac:dyDescent="0.25">
      <c r="D56" s="15" t="s">
        <v>78</v>
      </c>
      <c r="E56" s="15">
        <v>0</v>
      </c>
      <c r="G56" s="15" t="s">
        <v>78</v>
      </c>
      <c r="H56" s="15">
        <v>1</v>
      </c>
      <c r="J56" s="15" t="s">
        <v>78</v>
      </c>
      <c r="K56" s="15">
        <v>1</v>
      </c>
      <c r="M56" s="15" t="s">
        <v>78</v>
      </c>
      <c r="N56" s="15">
        <f>IF($B$4="SU",TabSu[[#This Row],[VALOR]],IF($B$4="SUDO",TabSudo[[#This Row],[VALOR]],IF($B$4="SUDOSU",TabSudoSu[[#This Row],[VALOR]],"")))</f>
        <v>1</v>
      </c>
    </row>
    <row r="57" spans="4:14" x14ac:dyDescent="0.25">
      <c r="D57" s="15" t="s">
        <v>79</v>
      </c>
      <c r="E57" s="15">
        <v>0</v>
      </c>
      <c r="G57" s="15" t="s">
        <v>79</v>
      </c>
      <c r="H57" s="15">
        <v>1</v>
      </c>
      <c r="J57" s="15" t="s">
        <v>79</v>
      </c>
      <c r="K57" s="15">
        <v>1</v>
      </c>
      <c r="M57" s="15" t="s">
        <v>79</v>
      </c>
      <c r="N57" s="15">
        <f>IF($B$4="SU",TabSu[[#This Row],[VALOR]],IF($B$4="SUDO",TabSudo[[#This Row],[VALOR]],IF($B$4="SUDOSU",TabSudoSu[[#This Row],[VALOR]],"")))</f>
        <v>1</v>
      </c>
    </row>
    <row r="58" spans="4:14" x14ac:dyDescent="0.25">
      <c r="D58" s="15" t="s">
        <v>80</v>
      </c>
      <c r="E58" s="15">
        <v>0</v>
      </c>
      <c r="G58" s="15" t="s">
        <v>80</v>
      </c>
      <c r="H58" s="15">
        <v>1</v>
      </c>
      <c r="J58" s="15" t="s">
        <v>80</v>
      </c>
      <c r="K58" s="15">
        <v>1</v>
      </c>
      <c r="M58" s="15" t="s">
        <v>80</v>
      </c>
      <c r="N58" s="15">
        <f>IF($B$4="SU",TabSu[[#This Row],[VALOR]],IF($B$4="SUDO",TabSudo[[#This Row],[VALOR]],IF($B$4="SUDOSU",TabSudoSu[[#This Row],[VALOR]],"")))</f>
        <v>1</v>
      </c>
    </row>
    <row r="59" spans="4:14" x14ac:dyDescent="0.25">
      <c r="D59" s="15" t="s">
        <v>81</v>
      </c>
      <c r="E59" s="15">
        <v>0</v>
      </c>
      <c r="G59" s="15" t="s">
        <v>81</v>
      </c>
      <c r="H59" s="15">
        <v>1</v>
      </c>
      <c r="J59" s="15" t="s">
        <v>81</v>
      </c>
      <c r="K59" s="15">
        <v>1</v>
      </c>
      <c r="M59" s="15" t="s">
        <v>81</v>
      </c>
      <c r="N59" s="15">
        <f>IF($B$4="SU",TabSu[[#This Row],[VALOR]],IF($B$4="SUDO",TabSudo[[#This Row],[VALOR]],IF($B$4="SUDOSU",TabSudoSu[[#This Row],[VALOR]],"")))</f>
        <v>1</v>
      </c>
    </row>
    <row r="60" spans="4:14" x14ac:dyDescent="0.25">
      <c r="D60" s="16" t="s">
        <v>82</v>
      </c>
      <c r="E60" s="15">
        <v>0</v>
      </c>
      <c r="G60" s="15" t="s">
        <v>82</v>
      </c>
      <c r="H60" s="15">
        <v>1</v>
      </c>
      <c r="J60" s="15" t="s">
        <v>82</v>
      </c>
      <c r="K60" s="15">
        <v>1</v>
      </c>
      <c r="M60" s="15" t="s">
        <v>82</v>
      </c>
      <c r="N60" s="15">
        <f>IF($B$4="SU",TabSu[[#This Row],[VALOR]],IF($B$4="SUDO",TabSudo[[#This Row],[VALOR]],IF($B$4="SUDOSU",TabSudoSu[[#This Row],[VALOR]],"")))</f>
        <v>1</v>
      </c>
    </row>
    <row r="61" spans="4:14" x14ac:dyDescent="0.25">
      <c r="D61" s="15" t="s">
        <v>83</v>
      </c>
      <c r="E61" s="15">
        <v>0</v>
      </c>
      <c r="G61" s="15" t="s">
        <v>83</v>
      </c>
      <c r="H61" s="15">
        <v>1</v>
      </c>
      <c r="J61" s="15" t="s">
        <v>83</v>
      </c>
      <c r="K61" s="15">
        <v>1</v>
      </c>
      <c r="M61" s="15" t="s">
        <v>83</v>
      </c>
      <c r="N61" s="15">
        <f>IF($B$4="SU",TabSu[[#This Row],[VALOR]],IF($B$4="SUDO",TabSudo[[#This Row],[VALOR]],IF($B$4="SUDOSU",TabSudoSu[[#This Row],[VALOR]],"")))</f>
        <v>1</v>
      </c>
    </row>
    <row r="62" spans="4:14" x14ac:dyDescent="0.25">
      <c r="D62" s="15" t="s">
        <v>84</v>
      </c>
      <c r="E62" s="15">
        <v>0</v>
      </c>
      <c r="G62" s="15" t="s">
        <v>84</v>
      </c>
      <c r="H62" s="15">
        <v>1</v>
      </c>
      <c r="J62" s="15" t="s">
        <v>84</v>
      </c>
      <c r="K62" s="15">
        <v>1</v>
      </c>
      <c r="M62" s="15" t="s">
        <v>84</v>
      </c>
      <c r="N62" s="15">
        <f>IF($B$4="SU",TabSu[[#This Row],[VALOR]],IF($B$4="SUDO",TabSudo[[#This Row],[VALOR]],IF($B$4="SUDOSU",TabSudoSu[[#This Row],[VALOR]],"")))</f>
        <v>1</v>
      </c>
    </row>
    <row r="63" spans="4:14" x14ac:dyDescent="0.25">
      <c r="D63" s="15" t="s">
        <v>85</v>
      </c>
      <c r="E63" s="15">
        <v>0</v>
      </c>
      <c r="G63" s="15" t="s">
        <v>85</v>
      </c>
      <c r="H63" s="15">
        <v>1</v>
      </c>
      <c r="J63" s="15" t="s">
        <v>85</v>
      </c>
      <c r="K63" s="15">
        <v>1</v>
      </c>
      <c r="M63" s="15" t="s">
        <v>85</v>
      </c>
      <c r="N63" s="15">
        <f>IF($B$4="SU",TabSu[[#This Row],[VALOR]],IF($B$4="SUDO",TabSudo[[#This Row],[VALOR]],IF($B$4="SUDOSU",TabSudoSu[[#This Row],[VALOR]],"")))</f>
        <v>1</v>
      </c>
    </row>
    <row r="64" spans="4:14" x14ac:dyDescent="0.25">
      <c r="D64" s="15" t="s">
        <v>87</v>
      </c>
      <c r="E64" s="15">
        <v>0</v>
      </c>
      <c r="G64" s="15" t="s">
        <v>87</v>
      </c>
      <c r="H64" s="15">
        <v>1</v>
      </c>
      <c r="J64" s="15" t="s">
        <v>87</v>
      </c>
      <c r="K64" s="15">
        <v>1</v>
      </c>
      <c r="M64" s="15" t="s">
        <v>87</v>
      </c>
      <c r="N64" s="15">
        <f>IF($B$4="SU",TabSu[[#This Row],[VALOR]],IF($B$4="SUDO",TabSudo[[#This Row],[VALOR]],IF($B$4="SUDOSU",TabSudoSu[[#This Row],[VALOR]],"")))</f>
        <v>1</v>
      </c>
    </row>
    <row r="65" spans="4:14" x14ac:dyDescent="0.25">
      <c r="D65" s="15" t="s">
        <v>88</v>
      </c>
      <c r="E65" s="15">
        <v>0</v>
      </c>
      <c r="G65" s="15" t="s">
        <v>88</v>
      </c>
      <c r="H65" s="15">
        <v>1</v>
      </c>
      <c r="J65" s="15" t="s">
        <v>88</v>
      </c>
      <c r="K65" s="15">
        <v>1</v>
      </c>
      <c r="M65" s="15" t="s">
        <v>88</v>
      </c>
      <c r="N65" s="15">
        <f>IF($B$4="SU",TabSu[[#This Row],[VALOR]],IF($B$4="SUDO",TabSudo[[#This Row],[VALOR]],IF($B$4="SUDOSU",TabSudoSu[[#This Row],[VALOR]],"")))</f>
        <v>1</v>
      </c>
    </row>
    <row r="66" spans="4:14" x14ac:dyDescent="0.25">
      <c r="D66" s="15" t="s">
        <v>86</v>
      </c>
      <c r="E66" s="15">
        <v>0</v>
      </c>
      <c r="G66" s="15" t="s">
        <v>86</v>
      </c>
      <c r="H66" s="15">
        <v>1</v>
      </c>
      <c r="J66" s="15" t="s">
        <v>86</v>
      </c>
      <c r="K66" s="15">
        <v>1</v>
      </c>
      <c r="M66" s="15" t="s">
        <v>86</v>
      </c>
      <c r="N66" s="15">
        <f>IF($B$4="SU",TabSu[[#This Row],[VALOR]],IF($B$4="SUDO",TabSudo[[#This Row],[VALOR]],IF($B$4="SUDOSU",TabSudoSu[[#This Row],[VALOR]],"")))</f>
        <v>1</v>
      </c>
    </row>
    <row r="67" spans="4:14" x14ac:dyDescent="0.25">
      <c r="D67" s="15" t="s">
        <v>89</v>
      </c>
      <c r="E67" s="15">
        <v>0</v>
      </c>
      <c r="G67" s="15" t="s">
        <v>89</v>
      </c>
      <c r="H67" s="15">
        <v>1</v>
      </c>
      <c r="J67" s="15" t="s">
        <v>89</v>
      </c>
      <c r="K67" s="15">
        <v>1</v>
      </c>
      <c r="M67" s="15" t="s">
        <v>89</v>
      </c>
      <c r="N67" s="15">
        <f>IF($B$4="SU",TabSu[[#This Row],[VALOR]],IF($B$4="SUDO",TabSudo[[#This Row],[VALOR]],IF($B$4="SUDOSU",TabSudoSu[[#This Row],[VALOR]],"")))</f>
        <v>1</v>
      </c>
    </row>
    <row r="68" spans="4:14" x14ac:dyDescent="0.25">
      <c r="D68" s="15" t="s">
        <v>90</v>
      </c>
      <c r="E68" s="15">
        <v>0</v>
      </c>
      <c r="G68" s="15" t="s">
        <v>90</v>
      </c>
      <c r="H68" s="15">
        <v>1</v>
      </c>
      <c r="J68" s="15" t="s">
        <v>90</v>
      </c>
      <c r="K68" s="15">
        <v>1</v>
      </c>
      <c r="M68" s="15" t="s">
        <v>90</v>
      </c>
      <c r="N68" s="15">
        <f>IF($B$4="SU",TabSu[[#This Row],[VALOR]],IF($B$4="SUDO",TabSudo[[#This Row],[VALOR]],IF($B$4="SUDOSU",TabSudoSu[[#This Row],[VALOR]],"")))</f>
        <v>1</v>
      </c>
    </row>
    <row r="69" spans="4:14" x14ac:dyDescent="0.25">
      <c r="D69" s="15" t="s">
        <v>91</v>
      </c>
      <c r="E69" s="15">
        <v>0</v>
      </c>
      <c r="G69" s="15" t="s">
        <v>91</v>
      </c>
      <c r="H69" s="15">
        <v>1</v>
      </c>
      <c r="J69" s="15" t="s">
        <v>91</v>
      </c>
      <c r="K69" s="15">
        <v>1</v>
      </c>
      <c r="M69" s="15" t="s">
        <v>91</v>
      </c>
      <c r="N69" s="15">
        <f>IF($B$4="SU",TabSu[[#This Row],[VALOR]],IF($B$4="SUDO",TabSudo[[#This Row],[VALOR]],IF($B$4="SUDOSU",TabSudoSu[[#This Row],[VALOR]],"")))</f>
        <v>1</v>
      </c>
    </row>
    <row r="70" spans="4:14" x14ac:dyDescent="0.25">
      <c r="D70" s="15" t="s">
        <v>92</v>
      </c>
      <c r="E70" s="15">
        <v>0</v>
      </c>
      <c r="G70" s="15" t="s">
        <v>92</v>
      </c>
      <c r="H70" s="15">
        <v>1</v>
      </c>
      <c r="J70" s="15" t="s">
        <v>92</v>
      </c>
      <c r="K70" s="15">
        <v>1</v>
      </c>
      <c r="M70" s="15" t="s">
        <v>92</v>
      </c>
      <c r="N70" s="15">
        <f>IF($B$4="SU",TabSu[[#This Row],[VALOR]],IF($B$4="SUDO",TabSudo[[#This Row],[VALOR]],IF($B$4="SUDOSU",TabSudoSu[[#This Row],[VALOR]],"")))</f>
        <v>1</v>
      </c>
    </row>
    <row r="71" spans="4:14" x14ac:dyDescent="0.25">
      <c r="D71" s="15" t="s">
        <v>93</v>
      </c>
      <c r="E71" s="15">
        <v>0</v>
      </c>
      <c r="G71" s="15" t="s">
        <v>93</v>
      </c>
      <c r="H71" s="15">
        <v>1</v>
      </c>
      <c r="J71" s="15" t="s">
        <v>93</v>
      </c>
      <c r="K71" s="15">
        <v>1</v>
      </c>
      <c r="M71" s="15" t="s">
        <v>93</v>
      </c>
      <c r="N71" s="15">
        <f>IF($B$4="SU",TabSu[[#This Row],[VALOR]],IF($B$4="SUDO",TabSudo[[#This Row],[VALOR]],IF($B$4="SUDOSU",TabSudoSu[[#This Row],[VALOR]],"")))</f>
        <v>1</v>
      </c>
    </row>
    <row r="72" spans="4:14" x14ac:dyDescent="0.25">
      <c r="D72" s="15" t="s">
        <v>94</v>
      </c>
      <c r="E72" s="15">
        <v>0</v>
      </c>
      <c r="G72" s="15" t="s">
        <v>94</v>
      </c>
      <c r="H72" s="15">
        <v>1</v>
      </c>
      <c r="J72" s="15" t="s">
        <v>94</v>
      </c>
      <c r="K72" s="15">
        <v>1</v>
      </c>
      <c r="M72" s="15" t="s">
        <v>94</v>
      </c>
      <c r="N72" s="15">
        <f>IF($B$4="SU",TabSu[[#This Row],[VALOR]],IF($B$4="SUDO",TabSudo[[#This Row],[VALOR]],IF($B$4="SUDOSU",TabSudoSu[[#This Row],[VALOR]],"")))</f>
        <v>1</v>
      </c>
    </row>
    <row r="73" spans="4:14" x14ac:dyDescent="0.25">
      <c r="D73" s="15" t="s">
        <v>95</v>
      </c>
      <c r="E73" s="15">
        <v>0</v>
      </c>
      <c r="G73" s="15" t="s">
        <v>95</v>
      </c>
      <c r="H73" s="15">
        <v>1</v>
      </c>
      <c r="J73" s="15" t="s">
        <v>95</v>
      </c>
      <c r="K73" s="15">
        <v>1</v>
      </c>
      <c r="M73" s="15" t="s">
        <v>95</v>
      </c>
      <c r="N73" s="15">
        <f>IF($B$4="SU",TabSu[[#This Row],[VALOR]],IF($B$4="SUDO",TabSudo[[#This Row],[VALOR]],IF($B$4="SUDOSU",TabSudoSu[[#This Row],[VALOR]],"")))</f>
        <v>1</v>
      </c>
    </row>
    <row r="74" spans="4:14" x14ac:dyDescent="0.25">
      <c r="D74" s="15" t="s">
        <v>96</v>
      </c>
      <c r="E74" s="15">
        <v>0</v>
      </c>
      <c r="G74" s="15" t="s">
        <v>96</v>
      </c>
      <c r="H74" s="15">
        <v>1</v>
      </c>
      <c r="J74" s="15" t="s">
        <v>96</v>
      </c>
      <c r="K74" s="15">
        <v>1</v>
      </c>
      <c r="M74" s="15" t="s">
        <v>96</v>
      </c>
      <c r="N74" s="15">
        <f>IF($B$4="SU",TabSu[[#This Row],[VALOR]],IF($B$4="SUDO",TabSudo[[#This Row],[VALOR]],IF($B$4="SUDOSU",TabSudoSu[[#This Row],[VALOR]],"")))</f>
        <v>1</v>
      </c>
    </row>
    <row r="75" spans="4:14" x14ac:dyDescent="0.25">
      <c r="D75" s="15" t="s">
        <v>97</v>
      </c>
      <c r="E75" s="15">
        <v>0</v>
      </c>
      <c r="G75" s="15" t="s">
        <v>97</v>
      </c>
      <c r="H75" s="15">
        <v>1</v>
      </c>
      <c r="J75" s="15" t="s">
        <v>97</v>
      </c>
      <c r="K75" s="15">
        <v>1</v>
      </c>
      <c r="M75" s="15" t="s">
        <v>97</v>
      </c>
      <c r="N75" s="15">
        <f>IF($B$4="SU",TabSu[[#This Row],[VALOR]],IF($B$4="SUDO",TabSudo[[#This Row],[VALOR]],IF($B$4="SUDOSU",TabSudoSu[[#This Row],[VALOR]],"")))</f>
        <v>1</v>
      </c>
    </row>
    <row r="76" spans="4:14" x14ac:dyDescent="0.25">
      <c r="D76" s="15" t="s">
        <v>98</v>
      </c>
      <c r="E76" s="15">
        <v>0</v>
      </c>
      <c r="G76" s="15" t="s">
        <v>98</v>
      </c>
      <c r="H76" s="15">
        <v>1</v>
      </c>
      <c r="J76" s="15" t="s">
        <v>98</v>
      </c>
      <c r="K76" s="15">
        <v>1</v>
      </c>
      <c r="M76" s="15" t="s">
        <v>98</v>
      </c>
      <c r="N76" s="15">
        <f>IF($B$4="SU",TabSu[[#This Row],[VALOR]],IF($B$4="SUDO",TabSudo[[#This Row],[VALOR]],IF($B$4="SUDOSU",TabSudoSu[[#This Row],[VALOR]],"")))</f>
        <v>1</v>
      </c>
    </row>
    <row r="77" spans="4:14" x14ac:dyDescent="0.25">
      <c r="D77" s="17" t="s">
        <v>105</v>
      </c>
      <c r="E77" s="17">
        <v>0</v>
      </c>
      <c r="G77" s="17" t="s">
        <v>105</v>
      </c>
      <c r="H77" s="17">
        <v>1</v>
      </c>
      <c r="J77" s="17" t="s">
        <v>105</v>
      </c>
      <c r="K77" s="17">
        <v>1</v>
      </c>
      <c r="M77" s="17" t="s">
        <v>105</v>
      </c>
      <c r="N77" s="17">
        <f>IF($B$4="SU",TabSu[[#This Row],[VALOR]],IF($B$4="SUDO",TabSudo[[#This Row],[VALOR]],IF($B$4="SUDOSU",TabSudoSu[[#This Row],[VALOR]],"")))</f>
        <v>1</v>
      </c>
    </row>
    <row r="78" spans="4:14" x14ac:dyDescent="0.25">
      <c r="D78" s="6"/>
      <c r="E78" s="6"/>
      <c r="G78" s="6"/>
      <c r="H78" s="6"/>
      <c r="J78" s="6"/>
      <c r="K78" s="6"/>
      <c r="M78" s="6"/>
      <c r="N78" s="6">
        <f>IF($B$4="SU",TabSu[[#This Row],[VALOR]],IF($B$4="SUDO",TabSudo[[#This Row],[VALOR]],IF($B$4="SUDOSU",TabSudoSu[[#This Row],[VALOR]],"")))</f>
        <v>0</v>
      </c>
    </row>
    <row r="79" spans="4:14" x14ac:dyDescent="0.25"/>
    <row r="80" spans="4:14" x14ac:dyDescent="0.25"/>
  </sheetData>
  <mergeCells count="4">
    <mergeCell ref="D1:E1"/>
    <mergeCell ref="G1:H1"/>
    <mergeCell ref="J1:K1"/>
    <mergeCell ref="M1:N1"/>
  </mergeCells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1FE3D-33FB-4D48-93CC-795030501B6D}">
  <sheetPr codeName="Hoja4">
    <tabColor theme="0" tint="-0.499984740745262"/>
  </sheetPr>
  <dimension ref="A1:C5"/>
  <sheetViews>
    <sheetView workbookViewId="0">
      <selection activeCell="B2" sqref="B2"/>
    </sheetView>
  </sheetViews>
  <sheetFormatPr baseColWidth="10" defaultColWidth="0" defaultRowHeight="15" x14ac:dyDescent="0.25"/>
  <cols>
    <col min="1" max="1" width="11.42578125" customWidth="1"/>
    <col min="2" max="2" width="20.85546875" style="1" customWidth="1"/>
    <col min="3" max="3" width="11.42578125" customWidth="1"/>
    <col min="4" max="16384" width="11.42578125" hidden="1"/>
  </cols>
  <sheetData>
    <row r="1" spans="2:2" x14ac:dyDescent="0.25">
      <c r="B1" s="1" t="s">
        <v>106</v>
      </c>
    </row>
    <row r="3" spans="2:2" x14ac:dyDescent="0.25">
      <c r="B3" s="1" t="s">
        <v>166</v>
      </c>
    </row>
    <row r="4" spans="2:2" x14ac:dyDescent="0.25">
      <c r="B4" s="1" t="s">
        <v>167</v>
      </c>
    </row>
    <row r="5" spans="2:2" x14ac:dyDescent="0.25">
      <c r="B5" s="1" t="s">
        <v>168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54B00-414D-465D-9AA2-DF937AEBFA46}">
  <sheetPr codeName="Hoja5">
    <tabColor theme="0" tint="-0.499984740745262"/>
  </sheetPr>
  <dimension ref="A1:D34"/>
  <sheetViews>
    <sheetView workbookViewId="0">
      <selection activeCell="D11" sqref="D11"/>
    </sheetView>
  </sheetViews>
  <sheetFormatPr baseColWidth="10" defaultColWidth="0" defaultRowHeight="15" zeroHeight="1" x14ac:dyDescent="0.25"/>
  <cols>
    <col min="1" max="1" width="15.140625" style="1" customWidth="1"/>
    <col min="2" max="2" width="18.140625" style="1" customWidth="1"/>
    <col min="3" max="3" width="17.7109375" style="1" customWidth="1"/>
    <col min="4" max="4" width="18.85546875" style="1" customWidth="1"/>
    <col min="5" max="16384" width="11.42578125" hidden="1"/>
  </cols>
  <sheetData>
    <row r="1" spans="1:4" x14ac:dyDescent="0.25">
      <c r="A1" s="2" t="s">
        <v>0</v>
      </c>
      <c r="B1" s="3" t="s">
        <v>107</v>
      </c>
      <c r="C1" s="3" t="s">
        <v>106</v>
      </c>
      <c r="D1" s="4" t="s">
        <v>108</v>
      </c>
    </row>
    <row r="2" spans="1:4" x14ac:dyDescent="0.25">
      <c r="A2" s="5"/>
      <c r="B2" s="6"/>
      <c r="C2" s="6"/>
      <c r="D2" s="7">
        <v>0</v>
      </c>
    </row>
    <row r="3" spans="1:4" x14ac:dyDescent="0.25">
      <c r="A3" s="8" t="s">
        <v>109</v>
      </c>
      <c r="B3" s="9" t="s">
        <v>143</v>
      </c>
      <c r="C3" s="9" t="s">
        <v>166</v>
      </c>
      <c r="D3" s="10">
        <v>1</v>
      </c>
    </row>
    <row r="4" spans="1:4" x14ac:dyDescent="0.25">
      <c r="A4" s="8" t="s">
        <v>110</v>
      </c>
      <c r="B4" s="9" t="s">
        <v>142</v>
      </c>
      <c r="C4" s="9" t="s">
        <v>166</v>
      </c>
      <c r="D4" s="10">
        <v>0</v>
      </c>
    </row>
    <row r="5" spans="1:4" x14ac:dyDescent="0.25">
      <c r="A5" s="8" t="s">
        <v>111</v>
      </c>
      <c r="B5" s="9" t="s">
        <v>143</v>
      </c>
      <c r="C5" s="9" t="s">
        <v>167</v>
      </c>
      <c r="D5" s="10">
        <v>0</v>
      </c>
    </row>
    <row r="6" spans="1:4" x14ac:dyDescent="0.25">
      <c r="A6" s="8" t="s">
        <v>112</v>
      </c>
      <c r="B6" s="9" t="s">
        <v>142</v>
      </c>
      <c r="C6" s="9" t="s">
        <v>167</v>
      </c>
      <c r="D6" s="10">
        <v>0</v>
      </c>
    </row>
    <row r="7" spans="1:4" x14ac:dyDescent="0.25">
      <c r="A7" s="8" t="s">
        <v>113</v>
      </c>
      <c r="B7" s="9"/>
      <c r="C7" s="9"/>
      <c r="D7" s="10">
        <v>0</v>
      </c>
    </row>
    <row r="8" spans="1:4" x14ac:dyDescent="0.25">
      <c r="A8" s="8" t="s">
        <v>114</v>
      </c>
      <c r="B8" s="9"/>
      <c r="C8" s="9"/>
      <c r="D8" s="10">
        <v>0</v>
      </c>
    </row>
    <row r="9" spans="1:4" x14ac:dyDescent="0.25">
      <c r="A9" s="8" t="s">
        <v>115</v>
      </c>
      <c r="B9" s="9"/>
      <c r="C9" s="9"/>
      <c r="D9" s="10">
        <v>0</v>
      </c>
    </row>
    <row r="10" spans="1:4" x14ac:dyDescent="0.25">
      <c r="A10" s="8" t="s">
        <v>116</v>
      </c>
      <c r="B10" s="9"/>
      <c r="C10" s="9"/>
      <c r="D10" s="19">
        <v>0</v>
      </c>
    </row>
    <row r="11" spans="1:4" x14ac:dyDescent="0.25">
      <c r="A11" s="8" t="s">
        <v>117</v>
      </c>
      <c r="B11" s="9"/>
      <c r="C11" s="9"/>
      <c r="D11" s="19">
        <v>0</v>
      </c>
    </row>
    <row r="12" spans="1:4" x14ac:dyDescent="0.25">
      <c r="A12" s="8" t="s">
        <v>118</v>
      </c>
      <c r="B12" s="9"/>
      <c r="C12" s="9"/>
      <c r="D12" s="10">
        <v>0</v>
      </c>
    </row>
    <row r="13" spans="1:4" x14ac:dyDescent="0.25">
      <c r="A13" s="8" t="s">
        <v>119</v>
      </c>
      <c r="B13" s="9"/>
      <c r="C13" s="9"/>
      <c r="D13" s="10">
        <v>0</v>
      </c>
    </row>
    <row r="14" spans="1:4" x14ac:dyDescent="0.25">
      <c r="A14" s="8" t="s">
        <v>120</v>
      </c>
      <c r="B14" s="9"/>
      <c r="C14" s="9"/>
      <c r="D14" s="10">
        <v>0</v>
      </c>
    </row>
    <row r="15" spans="1:4" x14ac:dyDescent="0.25">
      <c r="A15" s="8" t="s">
        <v>121</v>
      </c>
      <c r="B15" s="9"/>
      <c r="C15" s="9"/>
      <c r="D15" s="10">
        <v>0</v>
      </c>
    </row>
    <row r="16" spans="1:4" x14ac:dyDescent="0.25">
      <c r="A16" s="8" t="s">
        <v>122</v>
      </c>
      <c r="B16" s="9"/>
      <c r="C16" s="9"/>
      <c r="D16" s="10">
        <v>0</v>
      </c>
    </row>
    <row r="17" spans="1:4" x14ac:dyDescent="0.25">
      <c r="A17" s="8" t="s">
        <v>123</v>
      </c>
      <c r="B17" s="9"/>
      <c r="C17" s="9"/>
      <c r="D17" s="10">
        <v>0</v>
      </c>
    </row>
    <row r="18" spans="1:4" x14ac:dyDescent="0.25">
      <c r="A18" s="8" t="s">
        <v>124</v>
      </c>
      <c r="B18" s="9"/>
      <c r="C18" s="9"/>
      <c r="D18" s="10">
        <v>0</v>
      </c>
    </row>
    <row r="19" spans="1:4" x14ac:dyDescent="0.25">
      <c r="A19" s="8" t="s">
        <v>125</v>
      </c>
      <c r="B19" s="9"/>
      <c r="C19" s="9"/>
      <c r="D19" s="10">
        <v>0</v>
      </c>
    </row>
    <row r="20" spans="1:4" x14ac:dyDescent="0.25">
      <c r="A20" s="8" t="s">
        <v>126</v>
      </c>
      <c r="B20" s="9"/>
      <c r="C20" s="9"/>
      <c r="D20" s="10">
        <v>0</v>
      </c>
    </row>
    <row r="21" spans="1:4" x14ac:dyDescent="0.25">
      <c r="A21" s="8" t="s">
        <v>127</v>
      </c>
      <c r="B21" s="9"/>
      <c r="C21" s="9"/>
      <c r="D21" s="10">
        <v>0</v>
      </c>
    </row>
    <row r="22" spans="1:4" x14ac:dyDescent="0.25">
      <c r="A22" s="8" t="s">
        <v>128</v>
      </c>
      <c r="B22" s="9"/>
      <c r="C22" s="9"/>
      <c r="D22" s="10">
        <v>0</v>
      </c>
    </row>
    <row r="23" spans="1:4" x14ac:dyDescent="0.25">
      <c r="A23" s="8" t="s">
        <v>129</v>
      </c>
      <c r="B23" s="9"/>
      <c r="C23" s="9"/>
      <c r="D23" s="10">
        <v>0</v>
      </c>
    </row>
    <row r="24" spans="1:4" x14ac:dyDescent="0.25">
      <c r="A24" s="8" t="s">
        <v>130</v>
      </c>
      <c r="B24" s="9"/>
      <c r="C24" s="9"/>
      <c r="D24" s="10">
        <v>0</v>
      </c>
    </row>
    <row r="25" spans="1:4" x14ac:dyDescent="0.25">
      <c r="A25" s="8" t="s">
        <v>131</v>
      </c>
      <c r="B25" s="9"/>
      <c r="C25" s="9"/>
      <c r="D25" s="10">
        <v>0</v>
      </c>
    </row>
    <row r="26" spans="1:4" x14ac:dyDescent="0.25">
      <c r="A26" s="8" t="s">
        <v>132</v>
      </c>
      <c r="B26" s="9"/>
      <c r="C26" s="9"/>
      <c r="D26" s="10">
        <v>0</v>
      </c>
    </row>
    <row r="27" spans="1:4" x14ac:dyDescent="0.25">
      <c r="A27" s="8" t="s">
        <v>133</v>
      </c>
      <c r="B27" s="9"/>
      <c r="C27" s="9"/>
      <c r="D27" s="10">
        <v>0</v>
      </c>
    </row>
    <row r="28" spans="1:4" x14ac:dyDescent="0.25">
      <c r="A28" s="8" t="s">
        <v>134</v>
      </c>
      <c r="B28" s="9"/>
      <c r="C28" s="9"/>
      <c r="D28" s="10">
        <v>0</v>
      </c>
    </row>
    <row r="29" spans="1:4" x14ac:dyDescent="0.25">
      <c r="A29" s="8" t="s">
        <v>135</v>
      </c>
      <c r="B29" s="9"/>
      <c r="C29" s="9"/>
      <c r="D29" s="10">
        <v>0</v>
      </c>
    </row>
    <row r="30" spans="1:4" x14ac:dyDescent="0.25">
      <c r="A30" s="8" t="s">
        <v>136</v>
      </c>
      <c r="B30" s="9"/>
      <c r="C30" s="9"/>
      <c r="D30" s="10">
        <v>0</v>
      </c>
    </row>
    <row r="31" spans="1:4" x14ac:dyDescent="0.25">
      <c r="A31" s="8" t="s">
        <v>137</v>
      </c>
      <c r="B31" s="9"/>
      <c r="C31" s="9"/>
      <c r="D31" s="10">
        <v>0</v>
      </c>
    </row>
    <row r="32" spans="1:4" x14ac:dyDescent="0.25">
      <c r="A32" s="8" t="s">
        <v>138</v>
      </c>
      <c r="B32" s="9"/>
      <c r="C32" s="9"/>
      <c r="D32" s="10">
        <v>0</v>
      </c>
    </row>
    <row r="33" x14ac:dyDescent="0.25"/>
    <row r="34" x14ac:dyDescent="0.25"/>
  </sheetData>
  <phoneticPr fontId="6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B890-B106-4AB3-A7C6-CC937F89E985}">
  <sheetPr codeName="Hoja6">
    <tabColor theme="0" tint="-0.499984740745262"/>
  </sheetPr>
  <dimension ref="A1:C9"/>
  <sheetViews>
    <sheetView workbookViewId="0">
      <selection activeCell="B2" sqref="B2"/>
    </sheetView>
  </sheetViews>
  <sheetFormatPr baseColWidth="10" defaultColWidth="0" defaultRowHeight="15" x14ac:dyDescent="0.25"/>
  <cols>
    <col min="1" max="1" width="11.42578125" customWidth="1"/>
    <col min="2" max="2" width="14.85546875" style="1" customWidth="1"/>
    <col min="3" max="3" width="11.42578125" customWidth="1"/>
    <col min="4" max="16384" width="11.42578125" hidden="1"/>
  </cols>
  <sheetData>
    <row r="1" spans="2:3" x14ac:dyDescent="0.25">
      <c r="B1" s="1" t="s">
        <v>145</v>
      </c>
    </row>
    <row r="3" spans="2:3" x14ac:dyDescent="0.25">
      <c r="B3" s="1" t="s">
        <v>139</v>
      </c>
    </row>
    <row r="4" spans="2:3" x14ac:dyDescent="0.25">
      <c r="B4" s="1" t="s">
        <v>140</v>
      </c>
    </row>
    <row r="5" spans="2:3" x14ac:dyDescent="0.25">
      <c r="B5" s="1" t="s">
        <v>141</v>
      </c>
    </row>
    <row r="6" spans="2:3" x14ac:dyDescent="0.25">
      <c r="B6" s="1" t="s">
        <v>146</v>
      </c>
    </row>
    <row r="9" spans="2:3" x14ac:dyDescent="0.25">
      <c r="C9" s="1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7B359-B6FF-43B4-BFA2-59D977886705}">
  <sheetPr codeName="Hoja7">
    <tabColor theme="0" tint="-0.499984740745262"/>
  </sheetPr>
  <dimension ref="A1:XFC6"/>
  <sheetViews>
    <sheetView workbookViewId="0">
      <selection activeCell="C11" sqref="C11"/>
    </sheetView>
  </sheetViews>
  <sheetFormatPr baseColWidth="10" defaultColWidth="0" defaultRowHeight="15" x14ac:dyDescent="0.25"/>
  <cols>
    <col min="1" max="1" width="11.42578125" customWidth="1"/>
    <col min="2" max="3" width="18.5703125" style="1" customWidth="1"/>
    <col min="4" max="4" width="11.42578125" customWidth="1"/>
    <col min="5" max="16383" width="11.42578125" hidden="1"/>
    <col min="16384" max="16384" width="5.28515625" hidden="1" customWidth="1"/>
  </cols>
  <sheetData>
    <row r="1" spans="2:3" x14ac:dyDescent="0.25">
      <c r="B1" s="2" t="s">
        <v>144</v>
      </c>
      <c r="C1" s="4" t="s">
        <v>205</v>
      </c>
    </row>
    <row r="2" spans="2:3" x14ac:dyDescent="0.25">
      <c r="B2" s="5"/>
      <c r="C2" s="7"/>
    </row>
    <row r="3" spans="2:3" x14ac:dyDescent="0.25">
      <c r="B3" s="5" t="s">
        <v>139</v>
      </c>
      <c r="C3" s="7">
        <v>1</v>
      </c>
    </row>
    <row r="4" spans="2:3" x14ac:dyDescent="0.25">
      <c r="B4" s="5" t="s">
        <v>140</v>
      </c>
      <c r="C4" s="7">
        <v>2</v>
      </c>
    </row>
    <row r="5" spans="2:3" x14ac:dyDescent="0.25">
      <c r="B5" s="5" t="s">
        <v>141</v>
      </c>
      <c r="C5" s="7">
        <v>1</v>
      </c>
    </row>
    <row r="6" spans="2:3" x14ac:dyDescent="0.25">
      <c r="B6" s="8" t="s">
        <v>146</v>
      </c>
      <c r="C6" s="10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33F2B-0262-47EB-989A-B9A821D9AA30}">
  <sheetPr codeName="Hoja8">
    <tabColor theme="0" tint="-0.499984740745262"/>
  </sheetPr>
  <dimension ref="A1:C9"/>
  <sheetViews>
    <sheetView workbookViewId="0">
      <selection activeCell="B1" sqref="B1:B1048576"/>
    </sheetView>
  </sheetViews>
  <sheetFormatPr baseColWidth="10" defaultColWidth="0" defaultRowHeight="15" x14ac:dyDescent="0.25"/>
  <cols>
    <col min="1" max="1" width="11.42578125" customWidth="1"/>
    <col min="2" max="2" width="20.7109375" style="1" customWidth="1"/>
    <col min="3" max="3" width="11.42578125" customWidth="1"/>
    <col min="4" max="16384" width="11.42578125" hidden="1"/>
  </cols>
  <sheetData>
    <row r="1" spans="2:3" x14ac:dyDescent="0.25">
      <c r="B1" s="1" t="s">
        <v>147</v>
      </c>
    </row>
    <row r="3" spans="2:3" x14ac:dyDescent="0.25">
      <c r="B3" s="1" t="s">
        <v>148</v>
      </c>
    </row>
    <row r="4" spans="2:3" x14ac:dyDescent="0.25">
      <c r="B4" s="1" t="s">
        <v>149</v>
      </c>
    </row>
    <row r="5" spans="2:3" x14ac:dyDescent="0.25">
      <c r="B5" s="1" t="s">
        <v>150</v>
      </c>
    </row>
    <row r="9" spans="2:3" x14ac:dyDescent="0.25">
      <c r="C9" s="1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F3FB2-2465-4BD7-BA89-C761EB6EED02}">
  <sheetPr codeName="Hoja3">
    <tabColor theme="0" tint="-0.499984740745262"/>
  </sheetPr>
  <dimension ref="A2:F14"/>
  <sheetViews>
    <sheetView workbookViewId="0">
      <selection activeCell="C14" sqref="C14"/>
    </sheetView>
  </sheetViews>
  <sheetFormatPr baseColWidth="10" defaultColWidth="0" defaultRowHeight="15" x14ac:dyDescent="0.25"/>
  <cols>
    <col min="1" max="1" width="11.42578125" customWidth="1"/>
    <col min="2" max="2" width="12" style="1" customWidth="1"/>
    <col min="3" max="3" width="13.85546875" style="1" bestFit="1" customWidth="1"/>
    <col min="4" max="4" width="17.7109375" style="1" bestFit="1" customWidth="1"/>
    <col min="5" max="5" width="12.28515625" style="1" bestFit="1" customWidth="1"/>
    <col min="6" max="6" width="12" style="1" customWidth="1"/>
    <col min="7" max="16384" width="18" hidden="1"/>
  </cols>
  <sheetData>
    <row r="2" spans="2:6" x14ac:dyDescent="0.25">
      <c r="B2" s="2" t="s">
        <v>0</v>
      </c>
      <c r="C2" s="3" t="s">
        <v>1</v>
      </c>
      <c r="D2" s="3" t="s">
        <v>2</v>
      </c>
      <c r="E2" s="4" t="s">
        <v>3</v>
      </c>
      <c r="F2"/>
    </row>
    <row r="3" spans="2:6" x14ac:dyDescent="0.25">
      <c r="B3" s="5"/>
      <c r="C3" s="6"/>
      <c r="D3" s="6"/>
      <c r="E3" s="7"/>
      <c r="F3"/>
    </row>
    <row r="4" spans="2:6" x14ac:dyDescent="0.25">
      <c r="B4" s="8">
        <v>1</v>
      </c>
      <c r="C4" s="9" t="s">
        <v>101</v>
      </c>
      <c r="D4" s="9">
        <v>1234</v>
      </c>
      <c r="E4" s="10" t="s">
        <v>8</v>
      </c>
      <c r="F4"/>
    </row>
    <row r="5" spans="2:6" x14ac:dyDescent="0.25">
      <c r="B5" s="8">
        <v>2</v>
      </c>
      <c r="C5" s="9" t="s">
        <v>29</v>
      </c>
      <c r="D5" s="9" t="s">
        <v>102</v>
      </c>
      <c r="E5" s="10" t="s">
        <v>6</v>
      </c>
    </row>
    <row r="6" spans="2:6" x14ac:dyDescent="0.25">
      <c r="B6" s="8">
        <v>3</v>
      </c>
      <c r="C6" s="9" t="s">
        <v>103</v>
      </c>
      <c r="D6" s="9" t="s">
        <v>104</v>
      </c>
      <c r="E6" s="10" t="s">
        <v>7</v>
      </c>
    </row>
    <row r="14" spans="2:6" x14ac:dyDescent="0.25">
      <c r="E14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EDCF1-DFD3-48DC-B527-8DBB01125175}">
  <sheetPr codeName="Hoja1">
    <tabColor rgb="FFFF0000"/>
  </sheetPr>
  <dimension ref="A2:P22"/>
  <sheetViews>
    <sheetView tabSelected="1" topLeftCell="A2" workbookViewId="0">
      <selection activeCell="A6" sqref="A6:P22"/>
    </sheetView>
  </sheetViews>
  <sheetFormatPr baseColWidth="10" defaultColWidth="0" defaultRowHeight="15" zeroHeight="1" x14ac:dyDescent="0.25"/>
  <cols>
    <col min="1" max="16" width="11.42578125" customWidth="1"/>
    <col min="17" max="16384" width="11.42578125" hidden="1"/>
  </cols>
  <sheetData>
    <row r="2" spans="1:16" x14ac:dyDescent="0.25">
      <c r="A2" s="32" t="str">
        <f xml:space="preserve"> "PUNTO DE VENTA Y CONTROL DE INVENTARIO: " &amp; SETTINGS!$B$5</f>
        <v>PUNTO DE VENTA Y CONTROL DE INVENTARIO: CITY WINGS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</row>
    <row r="3" spans="1:16" x14ac:dyDescent="0.25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</row>
    <row r="4" spans="1:16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</row>
    <row r="5" spans="1:16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</row>
    <row r="6" spans="1:16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</row>
    <row r="7" spans="1:16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</row>
    <row r="8" spans="1:16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</row>
    <row r="9" spans="1:16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</row>
    <row r="10" spans="1:16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</row>
    <row r="11" spans="1:16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</row>
    <row r="12" spans="1:16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</row>
    <row r="13" spans="1:16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</row>
    <row r="14" spans="1:16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</row>
    <row r="15" spans="1:16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</row>
    <row r="16" spans="1:16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</row>
    <row r="17" spans="1:16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</row>
    <row r="18" spans="1:16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</row>
    <row r="19" spans="1:16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</row>
    <row r="20" spans="1:16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</row>
    <row r="21" spans="1:16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</row>
    <row r="22" spans="1:16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</row>
  </sheetData>
  <mergeCells count="2">
    <mergeCell ref="A6:P22"/>
    <mergeCell ref="A2:P5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60" r:id="rId4" name="TextBox2">
          <controlPr defaultSize="0" autoLine="0" r:id="rId5">
            <anchor moveWithCells="1">
              <from>
                <xdr:col>7</xdr:col>
                <xdr:colOff>676275</xdr:colOff>
                <xdr:row>6</xdr:row>
                <xdr:rowOff>152400</xdr:rowOff>
              </from>
              <to>
                <xdr:col>9</xdr:col>
                <xdr:colOff>504825</xdr:colOff>
                <xdr:row>7</xdr:row>
                <xdr:rowOff>180975</xdr:rowOff>
              </to>
            </anchor>
          </controlPr>
        </control>
      </mc:Choice>
      <mc:Fallback>
        <control shapeId="2060" r:id="rId4" name="TextBox2"/>
      </mc:Fallback>
    </mc:AlternateContent>
    <mc:AlternateContent xmlns:mc="http://schemas.openxmlformats.org/markup-compatibility/2006">
      <mc:Choice Requires="x14">
        <control shapeId="2056" r:id="rId6" name="TextBox1">
          <controlPr defaultSize="0" autoLine="0" r:id="rId7">
            <anchor moveWithCells="1">
              <from>
                <xdr:col>5</xdr:col>
                <xdr:colOff>200025</xdr:colOff>
                <xdr:row>6</xdr:row>
                <xdr:rowOff>152400</xdr:rowOff>
              </from>
              <to>
                <xdr:col>7</xdr:col>
                <xdr:colOff>47625</xdr:colOff>
                <xdr:row>7</xdr:row>
                <xdr:rowOff>180975</xdr:rowOff>
              </to>
            </anchor>
          </controlPr>
        </control>
      </mc:Choice>
      <mc:Fallback>
        <control shapeId="2056" r:id="rId6" name="TextBox1"/>
      </mc:Fallback>
    </mc:AlternateContent>
    <mc:AlternateContent xmlns:mc="http://schemas.openxmlformats.org/markup-compatibility/2006">
      <mc:Choice Requires="x14">
        <control shapeId="2049" r:id="rId8" name="Button 1">
          <controlPr defaultSize="0" print="0" autoFill="0" autoPict="0" macro="[0]!MAjustes">
            <anchor moveWithCells="1" sizeWithCells="1">
              <from>
                <xdr:col>3</xdr:col>
                <xdr:colOff>257175</xdr:colOff>
                <xdr:row>11</xdr:row>
                <xdr:rowOff>28575</xdr:rowOff>
              </from>
              <to>
                <xdr:col>5</xdr:col>
                <xdr:colOff>57150</xdr:colOff>
                <xdr:row>13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9" name="Label 7">
          <controlPr defaultSize="0" autoFill="0" autoLine="0" autoPict="0">
            <anchor moveWithCells="1" sizeWithCells="1">
              <from>
                <xdr:col>4</xdr:col>
                <xdr:colOff>381000</xdr:colOff>
                <xdr:row>6</xdr:row>
                <xdr:rowOff>161925</xdr:rowOff>
              </from>
              <to>
                <xdr:col>5</xdr:col>
                <xdr:colOff>295275</xdr:colOff>
                <xdr:row>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0" name="Label 9">
          <controlPr defaultSize="0" autoFill="0" autoLine="0" autoPict="0">
            <anchor moveWithCells="1" sizeWithCells="1">
              <from>
                <xdr:col>7</xdr:col>
                <xdr:colOff>142875</xdr:colOff>
                <xdr:row>6</xdr:row>
                <xdr:rowOff>161925</xdr:rowOff>
              </from>
              <to>
                <xdr:col>8</xdr:col>
                <xdr:colOff>57150</xdr:colOff>
                <xdr:row>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1" name="Button 11">
          <controlPr defaultSize="0" print="0" autoFill="0" autoPict="0" macro="[0]!MInventario">
            <anchor moveWithCells="1" sizeWithCells="1">
              <from>
                <xdr:col>5</xdr:col>
                <xdr:colOff>409575</xdr:colOff>
                <xdr:row>11</xdr:row>
                <xdr:rowOff>38100</xdr:rowOff>
              </from>
              <to>
                <xdr:col>7</xdr:col>
                <xdr:colOff>209550</xdr:colOff>
                <xdr:row>13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2" name="Button 13">
          <controlPr defaultSize="0" print="0" autoFill="0" autoPict="0" macro="[0]!MVentas">
            <anchor moveWithCells="1" sizeWithCells="1">
              <from>
                <xdr:col>7</xdr:col>
                <xdr:colOff>561975</xdr:colOff>
                <xdr:row>11</xdr:row>
                <xdr:rowOff>38100</xdr:rowOff>
              </from>
              <to>
                <xdr:col>9</xdr:col>
                <xdr:colOff>361950</xdr:colOff>
                <xdr:row>13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3" name="Button 14">
          <controlPr defaultSize="0" print="0" autoFill="0" autoPict="0" macro="[0]!MUtilidades">
            <anchor moveWithCells="1" sizeWithCells="1">
              <from>
                <xdr:col>9</xdr:col>
                <xdr:colOff>714375</xdr:colOff>
                <xdr:row>11</xdr:row>
                <xdr:rowOff>38100</xdr:rowOff>
              </from>
              <to>
                <xdr:col>11</xdr:col>
                <xdr:colOff>514350</xdr:colOff>
                <xdr:row>13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4" name="Button 15">
          <controlPr defaultSize="0" print="0" autoFill="0" autoPict="0" macro="[0]!BTSalir">
            <anchor moveWithCells="1" sizeWithCells="1">
              <from>
                <xdr:col>9</xdr:col>
                <xdr:colOff>638175</xdr:colOff>
                <xdr:row>6</xdr:row>
                <xdr:rowOff>161925</xdr:rowOff>
              </from>
              <to>
                <xdr:col>10</xdr:col>
                <xdr:colOff>666750</xdr:colOff>
                <xdr:row>7</xdr:row>
                <xdr:rowOff>171450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35426-CCE5-4E88-8012-71DFB5922769}">
  <sheetPr codeName="Hoja9">
    <tabColor theme="1"/>
  </sheetPr>
  <dimension ref="A1:K3"/>
  <sheetViews>
    <sheetView workbookViewId="0">
      <selection activeCell="I16" sqref="I16"/>
    </sheetView>
  </sheetViews>
  <sheetFormatPr baseColWidth="10" defaultColWidth="0" defaultRowHeight="15" x14ac:dyDescent="0.25"/>
  <cols>
    <col min="1" max="2" width="11.42578125" style="1" customWidth="1"/>
    <col min="3" max="3" width="22.42578125" style="1" bestFit="1" customWidth="1"/>
    <col min="4" max="5" width="11.42578125" style="1" customWidth="1"/>
    <col min="6" max="6" width="12.42578125" style="1" customWidth="1"/>
    <col min="7" max="8" width="11.42578125" style="1" customWidth="1"/>
    <col min="9" max="9" width="27.85546875" style="1" customWidth="1"/>
    <col min="10" max="10" width="11.42578125" customWidth="1"/>
    <col min="11" max="11" width="12" customWidth="1"/>
    <col min="12" max="16384" width="11.42578125" hidden="1"/>
  </cols>
  <sheetData>
    <row r="1" spans="1:11" x14ac:dyDescent="0.25">
      <c r="A1" s="2" t="s">
        <v>0</v>
      </c>
      <c r="B1" s="3" t="s">
        <v>107</v>
      </c>
      <c r="C1" s="3" t="s">
        <v>151</v>
      </c>
      <c r="D1" s="3" t="s">
        <v>157</v>
      </c>
      <c r="E1" s="3" t="s">
        <v>155</v>
      </c>
      <c r="F1" s="3" t="s">
        <v>152</v>
      </c>
      <c r="G1" s="3" t="s">
        <v>153</v>
      </c>
      <c r="H1" s="4" t="s">
        <v>176</v>
      </c>
      <c r="I1" s="4" t="s">
        <v>154</v>
      </c>
      <c r="K1" s="1" t="s">
        <v>177</v>
      </c>
    </row>
    <row r="2" spans="1:11" x14ac:dyDescent="0.25">
      <c r="A2" s="18"/>
      <c r="B2" s="6"/>
      <c r="C2" s="6"/>
      <c r="D2" s="6"/>
      <c r="E2" s="6"/>
      <c r="F2" s="6"/>
      <c r="G2" s="6"/>
      <c r="H2" s="7"/>
      <c r="I2" s="7"/>
      <c r="K2" s="1">
        <v>0</v>
      </c>
    </row>
    <row r="3" spans="1:11" x14ac:dyDescent="0.25">
      <c r="A3" s="8"/>
      <c r="B3" s="9"/>
      <c r="C3" s="9"/>
      <c r="D3" s="9"/>
      <c r="E3" s="25"/>
      <c r="F3" s="9"/>
      <c r="G3" s="9"/>
      <c r="I3" s="10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C1065-D48A-4180-9D59-C187D4B33EB7}">
  <sheetPr codeName="Hoja10">
    <tabColor theme="1"/>
  </sheetPr>
  <dimension ref="A1:G16"/>
  <sheetViews>
    <sheetView workbookViewId="0">
      <selection activeCell="D17" sqref="D17"/>
    </sheetView>
  </sheetViews>
  <sheetFormatPr baseColWidth="10" defaultColWidth="0" defaultRowHeight="15" x14ac:dyDescent="0.25"/>
  <cols>
    <col min="1" max="1" width="11.42578125" style="1" customWidth="1"/>
    <col min="2" max="2" width="22.42578125" style="1" bestFit="1" customWidth="1"/>
    <col min="3" max="4" width="11.42578125" style="1" customWidth="1"/>
    <col min="5" max="5" width="13.28515625" style="1" customWidth="1"/>
    <col min="6" max="6" width="16.42578125" style="1" customWidth="1"/>
    <col min="7" max="7" width="79.85546875" style="1" customWidth="1"/>
    <col min="8" max="16384" width="11.42578125" hidden="1"/>
  </cols>
  <sheetData>
    <row r="1" spans="1:7" x14ac:dyDescent="0.25">
      <c r="A1" s="2" t="s">
        <v>0</v>
      </c>
      <c r="B1" s="3" t="s">
        <v>156</v>
      </c>
      <c r="C1" s="3" t="s">
        <v>157</v>
      </c>
      <c r="D1" s="3" t="s">
        <v>158</v>
      </c>
      <c r="E1" s="3" t="s">
        <v>159</v>
      </c>
      <c r="F1" s="3" t="s">
        <v>154</v>
      </c>
      <c r="G1" s="4" t="s">
        <v>160</v>
      </c>
    </row>
    <row r="2" spans="1:7" x14ac:dyDescent="0.25">
      <c r="A2" s="5"/>
      <c r="B2" s="6"/>
      <c r="C2" s="6"/>
      <c r="D2" s="6"/>
      <c r="E2" s="6"/>
      <c r="F2" s="6"/>
      <c r="G2" s="7"/>
    </row>
    <row r="3" spans="1:7" x14ac:dyDescent="0.25">
      <c r="A3" s="8">
        <v>1</v>
      </c>
      <c r="B3" s="9" t="s">
        <v>161</v>
      </c>
      <c r="C3" s="9" t="s">
        <v>162</v>
      </c>
      <c r="D3" s="9" t="s">
        <v>139</v>
      </c>
      <c r="E3" s="9">
        <v>80</v>
      </c>
      <c r="F3" s="9"/>
      <c r="G3" s="10"/>
    </row>
    <row r="4" spans="1:7" x14ac:dyDescent="0.25">
      <c r="A4" s="8">
        <v>2</v>
      </c>
      <c r="B4" s="9" t="s">
        <v>170</v>
      </c>
      <c r="C4" s="9" t="s">
        <v>163</v>
      </c>
      <c r="D4" s="9" t="s">
        <v>139</v>
      </c>
      <c r="E4" s="9">
        <v>85</v>
      </c>
      <c r="F4" s="9"/>
      <c r="G4" s="10"/>
    </row>
    <row r="5" spans="1:7" x14ac:dyDescent="0.25">
      <c r="A5" s="8">
        <v>3</v>
      </c>
      <c r="B5" s="9" t="s">
        <v>164</v>
      </c>
      <c r="C5" s="9" t="s">
        <v>165</v>
      </c>
      <c r="D5" s="9" t="s">
        <v>139</v>
      </c>
      <c r="E5" s="25">
        <v>30</v>
      </c>
      <c r="F5" s="9"/>
      <c r="G5" s="10"/>
    </row>
    <row r="6" spans="1:7" x14ac:dyDescent="0.25">
      <c r="A6" s="8">
        <v>4</v>
      </c>
      <c r="B6" s="9" t="s">
        <v>203</v>
      </c>
      <c r="C6" s="9" t="s">
        <v>204</v>
      </c>
      <c r="D6" s="9" t="s">
        <v>139</v>
      </c>
      <c r="E6" s="9">
        <v>40</v>
      </c>
      <c r="F6" s="9"/>
      <c r="G6" s="10"/>
    </row>
    <row r="8" spans="1:7" x14ac:dyDescent="0.25">
      <c r="E8" s="11"/>
      <c r="F8" s="11"/>
    </row>
    <row r="16" spans="1:7" x14ac:dyDescent="0.25">
      <c r="G16" s="1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7542-87A6-49BB-947A-F14358C98CB2}">
  <sheetPr codeName="Hoja11">
    <tabColor theme="1"/>
  </sheetPr>
  <dimension ref="A1:C10"/>
  <sheetViews>
    <sheetView workbookViewId="0">
      <selection activeCell="B16" sqref="B16"/>
    </sheetView>
  </sheetViews>
  <sheetFormatPr baseColWidth="10" defaultColWidth="0" defaultRowHeight="15" x14ac:dyDescent="0.25"/>
  <cols>
    <col min="1" max="1" width="11.42578125" customWidth="1"/>
    <col min="2" max="2" width="34.28515625" style="1" customWidth="1"/>
    <col min="3" max="3" width="11.42578125" customWidth="1"/>
    <col min="4" max="16384" width="11.42578125" hidden="1"/>
  </cols>
  <sheetData>
    <row r="1" spans="2:2" x14ac:dyDescent="0.25">
      <c r="B1" s="1" t="s">
        <v>169</v>
      </c>
    </row>
    <row r="3" spans="2:2" x14ac:dyDescent="0.25">
      <c r="B3" s="1" t="s">
        <v>171</v>
      </c>
    </row>
    <row r="4" spans="2:2" x14ac:dyDescent="0.25">
      <c r="B4" s="1" t="s">
        <v>172</v>
      </c>
    </row>
    <row r="5" spans="2:2" x14ac:dyDescent="0.25">
      <c r="B5" s="1" t="s">
        <v>173</v>
      </c>
    </row>
    <row r="6" spans="2:2" x14ac:dyDescent="0.25">
      <c r="B6" s="1" t="s">
        <v>174</v>
      </c>
    </row>
    <row r="7" spans="2:2" x14ac:dyDescent="0.25">
      <c r="B7" s="1" t="s">
        <v>175</v>
      </c>
    </row>
    <row r="9" spans="2:2" x14ac:dyDescent="0.25">
      <c r="B9" s="11"/>
    </row>
    <row r="10" spans="2:2" x14ac:dyDescent="0.25">
      <c r="B10" s="1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B3E54-E420-413F-9FFE-06A3120F6C75}">
  <sheetPr codeName="Hoja12">
    <tabColor theme="1"/>
  </sheetPr>
  <dimension ref="A1:J12"/>
  <sheetViews>
    <sheetView workbookViewId="0">
      <selection activeCell="I15" sqref="I15"/>
    </sheetView>
  </sheetViews>
  <sheetFormatPr baseColWidth="10" defaultRowHeight="15" x14ac:dyDescent="0.25"/>
  <cols>
    <col min="1" max="1" width="11.42578125" style="1"/>
    <col min="2" max="2" width="17.5703125" style="1" customWidth="1"/>
    <col min="3" max="3" width="20.7109375" style="1" customWidth="1"/>
    <col min="4" max="4" width="22.42578125" style="1" bestFit="1" customWidth="1"/>
    <col min="5" max="6" width="11.42578125" style="1"/>
    <col min="7" max="7" width="12.42578125" style="1" customWidth="1"/>
    <col min="8" max="8" width="11.42578125" style="1"/>
    <col min="9" max="9" width="34.140625" style="1" customWidth="1"/>
    <col min="10" max="10" width="11.42578125" style="1"/>
  </cols>
  <sheetData>
    <row r="1" spans="1:10" x14ac:dyDescent="0.25">
      <c r="A1" s="2" t="s">
        <v>0</v>
      </c>
      <c r="B1" s="3" t="s">
        <v>182</v>
      </c>
      <c r="C1" s="3" t="s">
        <v>147</v>
      </c>
      <c r="D1" s="3" t="s">
        <v>151</v>
      </c>
      <c r="E1" s="3" t="s">
        <v>178</v>
      </c>
      <c r="F1" s="3" t="s">
        <v>179</v>
      </c>
      <c r="G1" s="3" t="s">
        <v>152</v>
      </c>
      <c r="H1" s="3" t="s">
        <v>180</v>
      </c>
      <c r="I1" s="3" t="s">
        <v>169</v>
      </c>
      <c r="J1" s="4" t="s">
        <v>181</v>
      </c>
    </row>
    <row r="2" spans="1:10" x14ac:dyDescent="0.25">
      <c r="A2" s="5"/>
      <c r="B2" s="6"/>
      <c r="C2" s="6"/>
      <c r="D2" s="6"/>
      <c r="E2" s="6"/>
      <c r="F2" s="6"/>
      <c r="G2" s="6"/>
      <c r="H2" s="6"/>
      <c r="I2" s="6"/>
      <c r="J2" s="7"/>
    </row>
    <row r="3" spans="1:10" x14ac:dyDescent="0.25">
      <c r="A3" s="5">
        <v>9</v>
      </c>
      <c r="B3" s="6" t="s">
        <v>202</v>
      </c>
      <c r="C3" s="6" t="s">
        <v>148</v>
      </c>
      <c r="D3" s="6" t="s">
        <v>170</v>
      </c>
      <c r="E3" s="6" t="s">
        <v>163</v>
      </c>
      <c r="F3" s="6">
        <v>85</v>
      </c>
      <c r="G3" s="6">
        <v>1</v>
      </c>
      <c r="H3" s="6">
        <v>85</v>
      </c>
      <c r="I3" s="6"/>
      <c r="J3" s="28">
        <v>45034</v>
      </c>
    </row>
    <row r="4" spans="1:10" x14ac:dyDescent="0.25">
      <c r="A4" s="5">
        <v>8</v>
      </c>
      <c r="B4" s="6" t="s">
        <v>202</v>
      </c>
      <c r="C4" s="6" t="s">
        <v>148</v>
      </c>
      <c r="D4" s="6" t="s">
        <v>161</v>
      </c>
      <c r="E4" s="6" t="s">
        <v>162</v>
      </c>
      <c r="F4" s="6">
        <v>80</v>
      </c>
      <c r="G4" s="6">
        <v>2</v>
      </c>
      <c r="H4" s="6">
        <v>160</v>
      </c>
      <c r="I4" s="6" t="s">
        <v>201</v>
      </c>
      <c r="J4" s="28">
        <v>45034</v>
      </c>
    </row>
    <row r="5" spans="1:10" x14ac:dyDescent="0.25">
      <c r="A5" s="5">
        <v>7</v>
      </c>
      <c r="B5" s="6" t="s">
        <v>199</v>
      </c>
      <c r="C5" s="6" t="s">
        <v>148</v>
      </c>
      <c r="D5" s="6" t="s">
        <v>161</v>
      </c>
      <c r="E5" s="6" t="s">
        <v>162</v>
      </c>
      <c r="F5" s="6">
        <v>80</v>
      </c>
      <c r="G5" s="6">
        <v>1</v>
      </c>
      <c r="H5" s="6">
        <v>80</v>
      </c>
      <c r="I5" s="6"/>
      <c r="J5" s="28">
        <v>45034</v>
      </c>
    </row>
    <row r="6" spans="1:10" x14ac:dyDescent="0.25">
      <c r="A6" s="5">
        <v>6</v>
      </c>
      <c r="B6" s="6" t="s">
        <v>197</v>
      </c>
      <c r="C6" s="6" t="s">
        <v>149</v>
      </c>
      <c r="D6" s="6" t="s">
        <v>161</v>
      </c>
      <c r="E6" s="6" t="s">
        <v>162</v>
      </c>
      <c r="F6" s="6">
        <v>80</v>
      </c>
      <c r="G6" s="6">
        <v>2</v>
      </c>
      <c r="H6" s="6">
        <v>160</v>
      </c>
      <c r="I6" s="6" t="s">
        <v>171</v>
      </c>
      <c r="J6" s="28">
        <v>45034</v>
      </c>
    </row>
    <row r="7" spans="1:10" x14ac:dyDescent="0.25">
      <c r="A7" s="5">
        <v>5</v>
      </c>
      <c r="B7" s="6" t="s">
        <v>197</v>
      </c>
      <c r="C7" s="6" t="s">
        <v>149</v>
      </c>
      <c r="D7" s="6" t="s">
        <v>170</v>
      </c>
      <c r="E7" s="6" t="s">
        <v>163</v>
      </c>
      <c r="F7" s="6">
        <v>85</v>
      </c>
      <c r="G7" s="6">
        <v>2</v>
      </c>
      <c r="H7" s="6">
        <v>170</v>
      </c>
      <c r="I7" s="6" t="s">
        <v>173</v>
      </c>
      <c r="J7" s="28">
        <v>45034</v>
      </c>
    </row>
    <row r="8" spans="1:10" x14ac:dyDescent="0.25">
      <c r="A8" s="5">
        <v>4</v>
      </c>
      <c r="B8" s="6" t="s">
        <v>197</v>
      </c>
      <c r="C8" s="6" t="s">
        <v>149</v>
      </c>
      <c r="D8" s="6" t="s">
        <v>164</v>
      </c>
      <c r="E8" s="6" t="s">
        <v>165</v>
      </c>
      <c r="F8" s="6">
        <v>25</v>
      </c>
      <c r="G8" s="6">
        <v>2</v>
      </c>
      <c r="H8" s="6">
        <v>50</v>
      </c>
      <c r="I8" s="6" t="s">
        <v>174</v>
      </c>
      <c r="J8" s="28">
        <v>45034</v>
      </c>
    </row>
    <row r="9" spans="1:10" x14ac:dyDescent="0.25">
      <c r="A9" s="5">
        <v>3</v>
      </c>
      <c r="B9" s="6" t="s">
        <v>195</v>
      </c>
      <c r="C9" s="6" t="s">
        <v>148</v>
      </c>
      <c r="D9" s="6" t="s">
        <v>164</v>
      </c>
      <c r="E9" s="6" t="s">
        <v>165</v>
      </c>
      <c r="F9" s="6">
        <v>25</v>
      </c>
      <c r="G9" s="6">
        <v>1</v>
      </c>
      <c r="H9" s="6">
        <v>25</v>
      </c>
      <c r="I9" s="6" t="s">
        <v>174</v>
      </c>
      <c r="J9" s="28">
        <v>45034</v>
      </c>
    </row>
    <row r="10" spans="1:10" x14ac:dyDescent="0.25">
      <c r="A10" s="5">
        <v>2</v>
      </c>
      <c r="B10" s="6" t="s">
        <v>195</v>
      </c>
      <c r="C10" s="6" t="s">
        <v>148</v>
      </c>
      <c r="D10" s="6" t="s">
        <v>170</v>
      </c>
      <c r="E10" s="6" t="s">
        <v>163</v>
      </c>
      <c r="F10" s="6">
        <v>85</v>
      </c>
      <c r="G10" s="6">
        <v>1</v>
      </c>
      <c r="H10" s="6">
        <v>85</v>
      </c>
      <c r="I10" s="6" t="s">
        <v>173</v>
      </c>
      <c r="J10" s="28">
        <v>45034</v>
      </c>
    </row>
    <row r="11" spans="1:10" x14ac:dyDescent="0.25">
      <c r="A11" s="5">
        <v>1</v>
      </c>
      <c r="B11" s="6" t="s">
        <v>195</v>
      </c>
      <c r="C11" s="6" t="s">
        <v>148</v>
      </c>
      <c r="D11" s="6" t="s">
        <v>161</v>
      </c>
      <c r="E11" s="6" t="s">
        <v>162</v>
      </c>
      <c r="F11" s="6">
        <v>80</v>
      </c>
      <c r="G11" s="6">
        <v>1</v>
      </c>
      <c r="H11" s="6">
        <v>80</v>
      </c>
      <c r="I11" s="6" t="s">
        <v>171</v>
      </c>
      <c r="J11" s="28">
        <v>45034</v>
      </c>
    </row>
    <row r="12" spans="1:10" x14ac:dyDescent="0.25">
      <c r="A12" s="8"/>
      <c r="B12" s="9"/>
      <c r="C12" s="9"/>
      <c r="D12" s="9"/>
      <c r="E12" s="9"/>
      <c r="F12" s="9"/>
      <c r="G12" s="9"/>
      <c r="H12" s="9"/>
      <c r="I12" s="9"/>
      <c r="J12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09934-B78D-4A92-B5CF-9EA668B7D976}">
  <sheetPr codeName="Hoja13">
    <tabColor theme="1"/>
  </sheetPr>
  <dimension ref="A1:M23"/>
  <sheetViews>
    <sheetView workbookViewId="0">
      <selection activeCell="F17" sqref="F17"/>
    </sheetView>
  </sheetViews>
  <sheetFormatPr baseColWidth="10" defaultColWidth="0" defaultRowHeight="15" x14ac:dyDescent="0.25"/>
  <cols>
    <col min="1" max="1" width="11.42578125" style="1" customWidth="1"/>
    <col min="2" max="2" width="15.42578125" style="1" bestFit="1" customWidth="1"/>
    <col min="3" max="3" width="18.42578125" style="1" bestFit="1" customWidth="1"/>
    <col min="4" max="4" width="20.7109375" style="1" customWidth="1"/>
    <col min="5" max="6" width="11.42578125" style="1" customWidth="1"/>
    <col min="7" max="7" width="21" style="1" customWidth="1"/>
    <col min="8" max="8" width="20.42578125" style="1" customWidth="1"/>
    <col min="9" max="9" width="13.140625" style="1" bestFit="1" customWidth="1"/>
    <col min="10" max="10" width="11.42578125" style="1" customWidth="1"/>
    <col min="11" max="11" width="11.42578125" customWidth="1"/>
    <col min="12" max="12" width="14.28515625" customWidth="1"/>
    <col min="13" max="13" width="11.42578125" customWidth="1"/>
    <col min="14" max="16384" width="11.42578125" hidden="1"/>
  </cols>
  <sheetData>
    <row r="1" spans="1:13" x14ac:dyDescent="0.25">
      <c r="A1" s="2" t="s">
        <v>183</v>
      </c>
      <c r="B1" s="3" t="s">
        <v>184</v>
      </c>
      <c r="C1" s="3" t="s">
        <v>185</v>
      </c>
      <c r="D1" s="3" t="s">
        <v>147</v>
      </c>
      <c r="E1" s="3" t="s">
        <v>186</v>
      </c>
      <c r="F1" s="3" t="s">
        <v>180</v>
      </c>
      <c r="G1" s="3" t="s">
        <v>187</v>
      </c>
      <c r="H1" s="3" t="s">
        <v>181</v>
      </c>
      <c r="I1" s="3" t="s">
        <v>188</v>
      </c>
      <c r="J1" s="3" t="s">
        <v>108</v>
      </c>
      <c r="K1" s="3" t="s">
        <v>189</v>
      </c>
      <c r="L1" s="3" t="s">
        <v>190</v>
      </c>
      <c r="M1" s="4" t="s">
        <v>191</v>
      </c>
    </row>
    <row r="2" spans="1:13" x14ac:dyDescent="0.25">
      <c r="A2" s="5"/>
      <c r="B2" s="6"/>
      <c r="C2" s="6"/>
      <c r="D2" s="6"/>
      <c r="E2" s="6"/>
      <c r="F2" s="6"/>
      <c r="G2" s="6"/>
      <c r="H2" s="6"/>
      <c r="I2" s="6"/>
      <c r="J2" s="6"/>
      <c r="K2" s="21"/>
      <c r="L2" s="21"/>
      <c r="M2" s="22"/>
    </row>
    <row r="3" spans="1:13" x14ac:dyDescent="0.25">
      <c r="A3" s="5">
        <v>4</v>
      </c>
      <c r="B3" s="6" t="s">
        <v>202</v>
      </c>
      <c r="C3" s="6" t="s">
        <v>101</v>
      </c>
      <c r="D3" s="6" t="s">
        <v>148</v>
      </c>
      <c r="E3" s="6"/>
      <c r="F3" s="6">
        <v>245</v>
      </c>
      <c r="G3" s="6" t="s">
        <v>101</v>
      </c>
      <c r="H3" s="26">
        <v>45034</v>
      </c>
      <c r="I3" s="27">
        <v>0.63982638888888888</v>
      </c>
      <c r="J3" s="6" t="s">
        <v>148</v>
      </c>
      <c r="K3" s="21">
        <v>0</v>
      </c>
      <c r="L3" s="21">
        <v>0</v>
      </c>
      <c r="M3" s="22">
        <v>0</v>
      </c>
    </row>
    <row r="4" spans="1:13" x14ac:dyDescent="0.25">
      <c r="A4" s="5">
        <v>3</v>
      </c>
      <c r="B4" s="6" t="s">
        <v>199</v>
      </c>
      <c r="C4" s="6" t="s">
        <v>101</v>
      </c>
      <c r="D4" s="6" t="s">
        <v>148</v>
      </c>
      <c r="E4" s="6" t="s">
        <v>200</v>
      </c>
      <c r="F4" s="6">
        <v>80</v>
      </c>
      <c r="G4" s="6" t="s">
        <v>101</v>
      </c>
      <c r="H4" s="26">
        <v>45034</v>
      </c>
      <c r="I4" s="27">
        <v>0.6315277777777778</v>
      </c>
      <c r="J4" s="6" t="s">
        <v>148</v>
      </c>
      <c r="K4" s="21">
        <v>0</v>
      </c>
      <c r="L4" s="21">
        <v>0</v>
      </c>
      <c r="M4" s="22">
        <v>0</v>
      </c>
    </row>
    <row r="5" spans="1:13" x14ac:dyDescent="0.25">
      <c r="A5" s="5">
        <v>2</v>
      </c>
      <c r="B5" s="6" t="s">
        <v>197</v>
      </c>
      <c r="C5" s="6" t="s">
        <v>101</v>
      </c>
      <c r="D5" s="6" t="s">
        <v>149</v>
      </c>
      <c r="E5" s="6" t="s">
        <v>198</v>
      </c>
      <c r="F5" s="6">
        <v>380</v>
      </c>
      <c r="G5" s="6" t="s">
        <v>101</v>
      </c>
      <c r="H5" s="26">
        <v>45034</v>
      </c>
      <c r="I5" s="27">
        <v>0.58100694444444445</v>
      </c>
      <c r="J5" s="6" t="s">
        <v>149</v>
      </c>
      <c r="K5" s="21">
        <v>0</v>
      </c>
      <c r="L5" s="21">
        <v>0</v>
      </c>
      <c r="M5" s="22">
        <v>0</v>
      </c>
    </row>
    <row r="6" spans="1:13" x14ac:dyDescent="0.25">
      <c r="A6" s="5">
        <v>1</v>
      </c>
      <c r="B6" s="6" t="s">
        <v>195</v>
      </c>
      <c r="C6" s="6" t="s">
        <v>101</v>
      </c>
      <c r="D6" s="6" t="s">
        <v>148</v>
      </c>
      <c r="E6" s="6" t="s">
        <v>196</v>
      </c>
      <c r="F6" s="6">
        <v>190</v>
      </c>
      <c r="G6" s="6" t="s">
        <v>101</v>
      </c>
      <c r="H6" s="26">
        <v>45034</v>
      </c>
      <c r="I6" s="27">
        <v>0.57371527777777775</v>
      </c>
      <c r="J6" s="6" t="s">
        <v>148</v>
      </c>
      <c r="K6" s="21">
        <v>0</v>
      </c>
      <c r="L6" s="21">
        <v>0</v>
      </c>
      <c r="M6" s="22">
        <v>0</v>
      </c>
    </row>
    <row r="7" spans="1:13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23"/>
      <c r="L7" s="23"/>
      <c r="M7" s="20"/>
    </row>
    <row r="11" spans="1:13" x14ac:dyDescent="0.25">
      <c r="C11" s="11"/>
    </row>
    <row r="23" spans="9:9" x14ac:dyDescent="0.25">
      <c r="I23" s="1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SETTINGS</vt:lpstr>
      <vt:lpstr>SECCIONES</vt:lpstr>
      <vt:lpstr>MESAS</vt:lpstr>
      <vt:lpstr>CLASES</vt:lpstr>
      <vt:lpstr>CLASES PDV</vt:lpstr>
      <vt:lpstr>FORM_PAGO</vt:lpstr>
      <vt:lpstr>USUARIOS</vt:lpstr>
      <vt:lpstr>PUNTO DE VENTA</vt:lpstr>
      <vt:lpstr>CUENTA</vt:lpstr>
      <vt:lpstr>PLATILLOS</vt:lpstr>
      <vt:lpstr>COMENTARIOS</vt:lpstr>
      <vt:lpstr>HISTORIAL PDV</vt:lpstr>
      <vt:lpstr>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OFICINA</dc:creator>
  <cp:lastModifiedBy>OFICINA</cp:lastModifiedBy>
  <dcterms:created xsi:type="dcterms:W3CDTF">2023-03-22T17:26:23Z</dcterms:created>
  <dcterms:modified xsi:type="dcterms:W3CDTF">2023-06-14T18:54:05Z</dcterms:modified>
</cp:coreProperties>
</file>