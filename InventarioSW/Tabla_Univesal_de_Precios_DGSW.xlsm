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ICINA\Documents\DESIN GLASS\InventarioSW\"/>
    </mc:Choice>
  </mc:AlternateContent>
  <xr:revisionPtr revIDLastSave="0" documentId="13_ncr:1_{BCD8E073-37AF-4C02-9370-1548EF63DCD9}" xr6:coauthVersionLast="47" xr6:coauthVersionMax="47" xr10:uidLastSave="{00000000-0000-0000-0000-000000000000}"/>
  <bookViews>
    <workbookView xWindow="-120" yWindow="-120" windowWidth="21840" windowHeight="13140" activeTab="1" xr2:uid="{C1707F9A-555B-415E-B155-72C3465EE3C3}"/>
  </bookViews>
  <sheets>
    <sheet name="TABLA DGSW PRECIOS" sheetId="5" r:id="rId1"/>
    <sheet name="TABLA DE PRECIOS" sheetId="1" r:id="rId2"/>
    <sheet name="PRODUCTOS" sheetId="2" state="hidden" r:id="rId3"/>
    <sheet name="PRECIOS" sheetId="3" r:id="rId4"/>
  </sheets>
  <externalReferences>
    <externalReference r:id="rId5"/>
  </externalReferences>
  <definedNames>
    <definedName name="DatosExternos_1" localSheetId="1" hidden="1">'TABLA DE PRECIOS'!$A$5:$B$11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9" i="1" l="1"/>
  <c r="G210" i="1"/>
  <c r="K210" i="1" s="1"/>
  <c r="P210" i="1" s="1"/>
  <c r="G211" i="1"/>
  <c r="G212" i="1"/>
  <c r="K212" i="1" s="1"/>
  <c r="P212" i="1" s="1"/>
  <c r="G213" i="1"/>
  <c r="H209" i="1"/>
  <c r="H210" i="1"/>
  <c r="H211" i="1"/>
  <c r="H212" i="1"/>
  <c r="H213" i="1"/>
  <c r="J209" i="1"/>
  <c r="J210" i="1"/>
  <c r="J211" i="1"/>
  <c r="J212" i="1"/>
  <c r="J213" i="1"/>
  <c r="K209" i="1"/>
  <c r="P209" i="1" s="1"/>
  <c r="K211" i="1"/>
  <c r="P211" i="1" s="1"/>
  <c r="K213" i="1"/>
  <c r="P213" i="1" s="1"/>
  <c r="L209" i="1"/>
  <c r="L210" i="1"/>
  <c r="L211" i="1"/>
  <c r="L212" i="1"/>
  <c r="L213" i="1"/>
  <c r="M209" i="1"/>
  <c r="M210" i="1"/>
  <c r="M211" i="1"/>
  <c r="M212" i="1"/>
  <c r="M213" i="1"/>
  <c r="N209" i="1"/>
  <c r="N210" i="1"/>
  <c r="N211" i="1"/>
  <c r="N212" i="1"/>
  <c r="N213" i="1"/>
  <c r="R209" i="1"/>
  <c r="R210" i="1"/>
  <c r="R211" i="1"/>
  <c r="R212" i="1"/>
  <c r="R213" i="1"/>
  <c r="K199" i="2"/>
  <c r="J199" i="2"/>
  <c r="I199" i="2"/>
  <c r="B199" i="2"/>
  <c r="K198" i="2"/>
  <c r="J198" i="2"/>
  <c r="I198" i="2"/>
  <c r="B198" i="2"/>
  <c r="K197" i="2"/>
  <c r="J197" i="2"/>
  <c r="I197" i="2"/>
  <c r="B197" i="2"/>
  <c r="K196" i="2"/>
  <c r="J196" i="2"/>
  <c r="I196" i="2"/>
  <c r="B196" i="2"/>
  <c r="K195" i="2"/>
  <c r="J195" i="2"/>
  <c r="I195" i="2"/>
  <c r="B195" i="2"/>
  <c r="K194" i="2"/>
  <c r="J194" i="2"/>
  <c r="I194" i="2"/>
  <c r="B194" i="2"/>
  <c r="K193" i="2"/>
  <c r="J193" i="2"/>
  <c r="I193" i="2"/>
  <c r="B193" i="2"/>
  <c r="K192" i="2"/>
  <c r="J192" i="2"/>
  <c r="I192" i="2"/>
  <c r="B192" i="2"/>
  <c r="K191" i="2"/>
  <c r="J191" i="2"/>
  <c r="I191" i="2"/>
  <c r="B191" i="2"/>
  <c r="K190" i="2"/>
  <c r="J190" i="2"/>
  <c r="I190" i="2"/>
  <c r="B190" i="2"/>
  <c r="K189" i="2"/>
  <c r="J189" i="2"/>
  <c r="I189" i="2"/>
  <c r="B189" i="2"/>
  <c r="K188" i="2"/>
  <c r="J188" i="2"/>
  <c r="I188" i="2"/>
  <c r="B188" i="2"/>
  <c r="K187" i="2"/>
  <c r="J187" i="2"/>
  <c r="I187" i="2"/>
  <c r="B187" i="2"/>
  <c r="K186" i="2"/>
  <c r="J186" i="2"/>
  <c r="I186" i="2"/>
  <c r="B186" i="2"/>
  <c r="K185" i="2"/>
  <c r="J185" i="2"/>
  <c r="I185" i="2"/>
  <c r="B185" i="2"/>
  <c r="K184" i="2"/>
  <c r="J184" i="2"/>
  <c r="I184" i="2"/>
  <c r="B184" i="2"/>
  <c r="K183" i="2"/>
  <c r="J183" i="2"/>
  <c r="I183" i="2"/>
  <c r="B183" i="2"/>
  <c r="K182" i="2"/>
  <c r="J182" i="2"/>
  <c r="I182" i="2"/>
  <c r="B182" i="2"/>
  <c r="K181" i="2"/>
  <c r="J181" i="2"/>
  <c r="I181" i="2"/>
  <c r="B181" i="2"/>
  <c r="K180" i="2"/>
  <c r="J180" i="2"/>
  <c r="I180" i="2"/>
  <c r="B180" i="2"/>
  <c r="K179" i="2"/>
  <c r="J179" i="2"/>
  <c r="I179" i="2"/>
  <c r="B179" i="2"/>
  <c r="K178" i="2"/>
  <c r="J178" i="2"/>
  <c r="I178" i="2"/>
  <c r="B178" i="2"/>
  <c r="K177" i="2"/>
  <c r="J177" i="2"/>
  <c r="I177" i="2"/>
  <c r="B177" i="2"/>
  <c r="K176" i="2"/>
  <c r="J176" i="2"/>
  <c r="I176" i="2"/>
  <c r="B176" i="2"/>
  <c r="K175" i="2"/>
  <c r="J175" i="2"/>
  <c r="I175" i="2"/>
  <c r="B175" i="2"/>
  <c r="K174" i="2"/>
  <c r="J174" i="2"/>
  <c r="I174" i="2"/>
  <c r="B174" i="2"/>
  <c r="K173" i="2"/>
  <c r="J173" i="2"/>
  <c r="I173" i="2"/>
  <c r="B173" i="2"/>
  <c r="K172" i="2"/>
  <c r="J172" i="2"/>
  <c r="I172" i="2"/>
  <c r="B172" i="2"/>
  <c r="K171" i="2"/>
  <c r="J171" i="2"/>
  <c r="I171" i="2"/>
  <c r="B171" i="2"/>
  <c r="K170" i="2"/>
  <c r="J170" i="2"/>
  <c r="I170" i="2"/>
  <c r="B170" i="2"/>
  <c r="K169" i="2"/>
  <c r="J169" i="2"/>
  <c r="I169" i="2"/>
  <c r="B169" i="2"/>
  <c r="K168" i="2"/>
  <c r="J168" i="2"/>
  <c r="I168" i="2"/>
  <c r="B168" i="2"/>
  <c r="K167" i="2"/>
  <c r="J167" i="2"/>
  <c r="I167" i="2"/>
  <c r="B167" i="2"/>
  <c r="K166" i="2"/>
  <c r="J166" i="2"/>
  <c r="I166" i="2"/>
  <c r="B166" i="2"/>
  <c r="K165" i="2"/>
  <c r="J165" i="2"/>
  <c r="I165" i="2"/>
  <c r="B165" i="2"/>
  <c r="K164" i="2"/>
  <c r="J164" i="2"/>
  <c r="I164" i="2"/>
  <c r="B164" i="2"/>
  <c r="K163" i="2"/>
  <c r="J163" i="2"/>
  <c r="I163" i="2"/>
  <c r="B163" i="2"/>
  <c r="K162" i="2"/>
  <c r="J162" i="2"/>
  <c r="I162" i="2"/>
  <c r="B162" i="2"/>
  <c r="K161" i="2"/>
  <c r="J161" i="2"/>
  <c r="I161" i="2"/>
  <c r="B161" i="2"/>
  <c r="K160" i="2"/>
  <c r="J160" i="2"/>
  <c r="I160" i="2"/>
  <c r="B160" i="2"/>
  <c r="K159" i="2"/>
  <c r="J159" i="2"/>
  <c r="I159" i="2"/>
  <c r="B159" i="2"/>
  <c r="K158" i="2"/>
  <c r="J158" i="2"/>
  <c r="I158" i="2"/>
  <c r="B158" i="2"/>
  <c r="K157" i="2"/>
  <c r="J157" i="2"/>
  <c r="I157" i="2"/>
  <c r="B157" i="2"/>
  <c r="K156" i="2"/>
  <c r="J156" i="2"/>
  <c r="I156" i="2"/>
  <c r="B156" i="2"/>
  <c r="K155" i="2"/>
  <c r="J155" i="2"/>
  <c r="I155" i="2"/>
  <c r="B155" i="2"/>
  <c r="K154" i="2"/>
  <c r="J154" i="2"/>
  <c r="I154" i="2"/>
  <c r="B154" i="2"/>
  <c r="K153" i="2"/>
  <c r="J153" i="2"/>
  <c r="I153" i="2"/>
  <c r="B153" i="2"/>
  <c r="K152" i="2"/>
  <c r="J152" i="2"/>
  <c r="I152" i="2"/>
  <c r="B152" i="2"/>
  <c r="K151" i="2"/>
  <c r="J151" i="2"/>
  <c r="I151" i="2"/>
  <c r="B151" i="2"/>
  <c r="K150" i="2"/>
  <c r="J150" i="2"/>
  <c r="I150" i="2"/>
  <c r="B150" i="2"/>
  <c r="K149" i="2"/>
  <c r="J149" i="2"/>
  <c r="I149" i="2"/>
  <c r="B149" i="2"/>
  <c r="K148" i="2"/>
  <c r="J148" i="2"/>
  <c r="I148" i="2"/>
  <c r="B148" i="2"/>
  <c r="K147" i="2"/>
  <c r="J147" i="2"/>
  <c r="I147" i="2"/>
  <c r="B147" i="2"/>
  <c r="K146" i="2"/>
  <c r="J146" i="2"/>
  <c r="I146" i="2"/>
  <c r="B146" i="2"/>
  <c r="K145" i="2"/>
  <c r="J145" i="2"/>
  <c r="I145" i="2"/>
  <c r="B145" i="2"/>
  <c r="K144" i="2"/>
  <c r="J144" i="2"/>
  <c r="I144" i="2"/>
  <c r="B144" i="2"/>
  <c r="K143" i="2"/>
  <c r="J143" i="2"/>
  <c r="I143" i="2"/>
  <c r="B143" i="2"/>
  <c r="K142" i="2"/>
  <c r="J142" i="2"/>
  <c r="I142" i="2"/>
  <c r="B142" i="2"/>
  <c r="K141" i="2"/>
  <c r="J141" i="2"/>
  <c r="I141" i="2"/>
  <c r="B141" i="2"/>
  <c r="K140" i="2"/>
  <c r="J140" i="2"/>
  <c r="I140" i="2"/>
  <c r="B140" i="2"/>
  <c r="K139" i="2"/>
  <c r="J139" i="2"/>
  <c r="I139" i="2"/>
  <c r="B139" i="2"/>
  <c r="K138" i="2"/>
  <c r="J138" i="2"/>
  <c r="I138" i="2"/>
  <c r="B138" i="2"/>
  <c r="K137" i="2"/>
  <c r="J137" i="2"/>
  <c r="I137" i="2"/>
  <c r="B137" i="2"/>
  <c r="K136" i="2"/>
  <c r="J136" i="2"/>
  <c r="I136" i="2"/>
  <c r="B136" i="2"/>
  <c r="K135" i="2"/>
  <c r="J135" i="2"/>
  <c r="I135" i="2"/>
  <c r="B135" i="2"/>
  <c r="K134" i="2"/>
  <c r="J134" i="2"/>
  <c r="I134" i="2"/>
  <c r="B134" i="2"/>
  <c r="K133" i="2"/>
  <c r="J133" i="2"/>
  <c r="I133" i="2"/>
  <c r="B133" i="2"/>
  <c r="K132" i="2"/>
  <c r="J132" i="2"/>
  <c r="I132" i="2"/>
  <c r="B132" i="2"/>
  <c r="K131" i="2"/>
  <c r="J131" i="2"/>
  <c r="I131" i="2"/>
  <c r="B131" i="2"/>
  <c r="K130" i="2"/>
  <c r="J130" i="2"/>
  <c r="I130" i="2"/>
  <c r="B130" i="2"/>
  <c r="K129" i="2"/>
  <c r="J129" i="2"/>
  <c r="I129" i="2"/>
  <c r="B129" i="2"/>
  <c r="K128" i="2"/>
  <c r="J128" i="2"/>
  <c r="I128" i="2"/>
  <c r="B128" i="2"/>
  <c r="K127" i="2"/>
  <c r="J127" i="2"/>
  <c r="I127" i="2"/>
  <c r="B127" i="2"/>
  <c r="K126" i="2"/>
  <c r="J126" i="2"/>
  <c r="I126" i="2"/>
  <c r="B126" i="2"/>
  <c r="K125" i="2"/>
  <c r="J125" i="2"/>
  <c r="I125" i="2"/>
  <c r="B125" i="2"/>
  <c r="K124" i="2"/>
  <c r="J124" i="2"/>
  <c r="I124" i="2"/>
  <c r="B124" i="2"/>
  <c r="K123" i="2"/>
  <c r="J123" i="2"/>
  <c r="I123" i="2"/>
  <c r="B123" i="2"/>
  <c r="K122" i="2"/>
  <c r="J122" i="2"/>
  <c r="I122" i="2"/>
  <c r="B122" i="2"/>
  <c r="K121" i="2"/>
  <c r="J121" i="2"/>
  <c r="I121" i="2"/>
  <c r="B121" i="2"/>
  <c r="K120" i="2"/>
  <c r="J120" i="2"/>
  <c r="I120" i="2"/>
  <c r="B120" i="2"/>
  <c r="K119" i="2"/>
  <c r="J119" i="2"/>
  <c r="I119" i="2"/>
  <c r="B119" i="2"/>
  <c r="K118" i="2"/>
  <c r="J118" i="2"/>
  <c r="I118" i="2"/>
  <c r="B118" i="2"/>
  <c r="K117" i="2"/>
  <c r="J117" i="2"/>
  <c r="I117" i="2"/>
  <c r="B117" i="2"/>
  <c r="K116" i="2"/>
  <c r="J116" i="2"/>
  <c r="I116" i="2"/>
  <c r="B116" i="2"/>
  <c r="K115" i="2"/>
  <c r="J115" i="2"/>
  <c r="I115" i="2"/>
  <c r="B115" i="2"/>
  <c r="K114" i="2"/>
  <c r="J114" i="2"/>
  <c r="I114" i="2"/>
  <c r="B114" i="2"/>
  <c r="K113" i="2"/>
  <c r="J113" i="2"/>
  <c r="I113" i="2"/>
  <c r="B113" i="2"/>
  <c r="K112" i="2"/>
  <c r="J112" i="2"/>
  <c r="I112" i="2"/>
  <c r="B112" i="2"/>
  <c r="K111" i="2"/>
  <c r="J111" i="2"/>
  <c r="I111" i="2"/>
  <c r="B111" i="2"/>
  <c r="K110" i="2"/>
  <c r="J110" i="2"/>
  <c r="I110" i="2"/>
  <c r="B110" i="2"/>
  <c r="K109" i="2"/>
  <c r="J109" i="2"/>
  <c r="I109" i="2"/>
  <c r="B109" i="2"/>
  <c r="K108" i="2"/>
  <c r="J108" i="2"/>
  <c r="I108" i="2"/>
  <c r="B108" i="2"/>
  <c r="K107" i="2"/>
  <c r="J107" i="2"/>
  <c r="I107" i="2"/>
  <c r="B107" i="2"/>
  <c r="K106" i="2"/>
  <c r="J106" i="2"/>
  <c r="I106" i="2"/>
  <c r="B106" i="2"/>
  <c r="K105" i="2"/>
  <c r="J105" i="2"/>
  <c r="I105" i="2"/>
  <c r="B105" i="2"/>
  <c r="K104" i="2"/>
  <c r="J104" i="2"/>
  <c r="I104" i="2"/>
  <c r="B104" i="2"/>
  <c r="K103" i="2"/>
  <c r="J103" i="2"/>
  <c r="I103" i="2"/>
  <c r="B103" i="2"/>
  <c r="K102" i="2"/>
  <c r="J102" i="2"/>
  <c r="I102" i="2"/>
  <c r="B102" i="2"/>
  <c r="K101" i="2"/>
  <c r="J101" i="2"/>
  <c r="I101" i="2"/>
  <c r="B101" i="2"/>
  <c r="K100" i="2"/>
  <c r="J100" i="2"/>
  <c r="I100" i="2"/>
  <c r="B100" i="2"/>
  <c r="K99" i="2"/>
  <c r="J99" i="2"/>
  <c r="I99" i="2"/>
  <c r="B99" i="2"/>
  <c r="K98" i="2"/>
  <c r="J98" i="2"/>
  <c r="I98" i="2"/>
  <c r="B98" i="2"/>
  <c r="K97" i="2"/>
  <c r="J97" i="2"/>
  <c r="I97" i="2"/>
  <c r="B97" i="2"/>
  <c r="K96" i="2"/>
  <c r="J96" i="2"/>
  <c r="I96" i="2"/>
  <c r="B96" i="2"/>
  <c r="K95" i="2"/>
  <c r="J95" i="2"/>
  <c r="I95" i="2"/>
  <c r="B95" i="2"/>
  <c r="K94" i="2"/>
  <c r="J94" i="2"/>
  <c r="I94" i="2"/>
  <c r="B94" i="2"/>
  <c r="K93" i="2"/>
  <c r="J93" i="2"/>
  <c r="I93" i="2"/>
  <c r="B93" i="2"/>
  <c r="K92" i="2"/>
  <c r="J92" i="2"/>
  <c r="I92" i="2"/>
  <c r="B92" i="2"/>
  <c r="K91" i="2"/>
  <c r="J91" i="2"/>
  <c r="I91" i="2"/>
  <c r="B91" i="2"/>
  <c r="K90" i="2"/>
  <c r="J90" i="2"/>
  <c r="I90" i="2"/>
  <c r="B90" i="2"/>
  <c r="K89" i="2"/>
  <c r="J89" i="2"/>
  <c r="I89" i="2"/>
  <c r="B89" i="2"/>
  <c r="K88" i="2"/>
  <c r="J88" i="2"/>
  <c r="I88" i="2"/>
  <c r="B88" i="2"/>
  <c r="K87" i="2"/>
  <c r="J87" i="2"/>
  <c r="I87" i="2"/>
  <c r="B87" i="2"/>
  <c r="K86" i="2"/>
  <c r="J86" i="2"/>
  <c r="I86" i="2"/>
  <c r="B86" i="2"/>
  <c r="K85" i="2"/>
  <c r="J85" i="2"/>
  <c r="I85" i="2"/>
  <c r="B85" i="2"/>
  <c r="K84" i="2"/>
  <c r="J84" i="2"/>
  <c r="I84" i="2"/>
  <c r="B84" i="2"/>
  <c r="K83" i="2"/>
  <c r="J83" i="2"/>
  <c r="I83" i="2"/>
  <c r="B83" i="2"/>
  <c r="K82" i="2"/>
  <c r="J82" i="2"/>
  <c r="I82" i="2"/>
  <c r="B82" i="2"/>
  <c r="K81" i="2"/>
  <c r="J81" i="2"/>
  <c r="I81" i="2"/>
  <c r="B81" i="2"/>
  <c r="K80" i="2"/>
  <c r="J80" i="2"/>
  <c r="I80" i="2"/>
  <c r="B80" i="2"/>
  <c r="K79" i="2"/>
  <c r="J79" i="2"/>
  <c r="I79" i="2"/>
  <c r="B79" i="2"/>
  <c r="K78" i="2"/>
  <c r="J78" i="2"/>
  <c r="I78" i="2"/>
  <c r="B78" i="2"/>
  <c r="K77" i="2"/>
  <c r="J77" i="2"/>
  <c r="I77" i="2"/>
  <c r="B77" i="2"/>
  <c r="K76" i="2"/>
  <c r="J76" i="2"/>
  <c r="I76" i="2"/>
  <c r="B76" i="2"/>
  <c r="K75" i="2"/>
  <c r="J75" i="2"/>
  <c r="I75" i="2"/>
  <c r="B75" i="2"/>
  <c r="K74" i="2"/>
  <c r="J74" i="2"/>
  <c r="I74" i="2"/>
  <c r="B74" i="2"/>
  <c r="K73" i="2"/>
  <c r="J73" i="2"/>
  <c r="I73" i="2"/>
  <c r="B73" i="2"/>
  <c r="K72" i="2"/>
  <c r="J72" i="2"/>
  <c r="I72" i="2"/>
  <c r="B72" i="2"/>
  <c r="K71" i="2"/>
  <c r="J71" i="2"/>
  <c r="I71" i="2"/>
  <c r="B71" i="2"/>
  <c r="K70" i="2"/>
  <c r="J70" i="2"/>
  <c r="I70" i="2"/>
  <c r="B70" i="2"/>
  <c r="K69" i="2"/>
  <c r="J69" i="2"/>
  <c r="I69" i="2"/>
  <c r="B69" i="2"/>
  <c r="K68" i="2"/>
  <c r="J68" i="2"/>
  <c r="I68" i="2"/>
  <c r="B68" i="2"/>
  <c r="K67" i="2"/>
  <c r="J67" i="2"/>
  <c r="I67" i="2"/>
  <c r="B67" i="2"/>
  <c r="K66" i="2"/>
  <c r="J66" i="2"/>
  <c r="I66" i="2"/>
  <c r="B66" i="2"/>
  <c r="K65" i="2"/>
  <c r="J65" i="2"/>
  <c r="I65" i="2"/>
  <c r="B65" i="2"/>
  <c r="K64" i="2"/>
  <c r="J64" i="2"/>
  <c r="I64" i="2"/>
  <c r="B64" i="2"/>
  <c r="K63" i="2"/>
  <c r="J63" i="2"/>
  <c r="I63" i="2"/>
  <c r="B63" i="2"/>
  <c r="K62" i="2"/>
  <c r="J62" i="2"/>
  <c r="I62" i="2"/>
  <c r="B62" i="2"/>
  <c r="K61" i="2"/>
  <c r="J61" i="2"/>
  <c r="I61" i="2"/>
  <c r="B61" i="2"/>
  <c r="K60" i="2"/>
  <c r="J60" i="2"/>
  <c r="I60" i="2"/>
  <c r="B60" i="2"/>
  <c r="K59" i="2"/>
  <c r="J59" i="2"/>
  <c r="I59" i="2"/>
  <c r="B59" i="2"/>
  <c r="K58" i="2"/>
  <c r="J58" i="2"/>
  <c r="I58" i="2"/>
  <c r="B58" i="2"/>
  <c r="K57" i="2"/>
  <c r="J57" i="2"/>
  <c r="I57" i="2"/>
  <c r="B57" i="2"/>
  <c r="K56" i="2"/>
  <c r="J56" i="2"/>
  <c r="I56" i="2"/>
  <c r="B56" i="2"/>
  <c r="K55" i="2"/>
  <c r="J55" i="2"/>
  <c r="I55" i="2"/>
  <c r="B55" i="2"/>
  <c r="K54" i="2"/>
  <c r="J54" i="2"/>
  <c r="I54" i="2"/>
  <c r="B54" i="2"/>
  <c r="K53" i="2"/>
  <c r="J53" i="2"/>
  <c r="I53" i="2"/>
  <c r="B53" i="2"/>
  <c r="K52" i="2"/>
  <c r="J52" i="2"/>
  <c r="I52" i="2"/>
  <c r="B52" i="2"/>
  <c r="K51" i="2"/>
  <c r="J51" i="2"/>
  <c r="I51" i="2"/>
  <c r="B51" i="2"/>
  <c r="K50" i="2"/>
  <c r="J50" i="2"/>
  <c r="I50" i="2"/>
  <c r="B50" i="2"/>
  <c r="K49" i="2"/>
  <c r="J49" i="2"/>
  <c r="I49" i="2"/>
  <c r="B49" i="2"/>
  <c r="K48" i="2"/>
  <c r="J48" i="2"/>
  <c r="I48" i="2"/>
  <c r="B48" i="2"/>
  <c r="K47" i="2"/>
  <c r="J47" i="2"/>
  <c r="I47" i="2"/>
  <c r="B47" i="2"/>
  <c r="K46" i="2"/>
  <c r="J46" i="2"/>
  <c r="I46" i="2"/>
  <c r="B46" i="2"/>
  <c r="K45" i="2"/>
  <c r="J45" i="2"/>
  <c r="I45" i="2"/>
  <c r="B45" i="2"/>
  <c r="K44" i="2"/>
  <c r="J44" i="2"/>
  <c r="I44" i="2"/>
  <c r="B44" i="2"/>
  <c r="K43" i="2"/>
  <c r="J43" i="2"/>
  <c r="I43" i="2"/>
  <c r="B43" i="2"/>
  <c r="K42" i="2"/>
  <c r="J42" i="2"/>
  <c r="I42" i="2"/>
  <c r="B42" i="2"/>
  <c r="K41" i="2"/>
  <c r="J41" i="2"/>
  <c r="I41" i="2"/>
  <c r="B41" i="2"/>
  <c r="K40" i="2"/>
  <c r="J40" i="2"/>
  <c r="I40" i="2"/>
  <c r="B40" i="2"/>
  <c r="K39" i="2"/>
  <c r="J39" i="2"/>
  <c r="I39" i="2"/>
  <c r="B39" i="2"/>
  <c r="K38" i="2"/>
  <c r="J38" i="2"/>
  <c r="I38" i="2"/>
  <c r="B38" i="2"/>
  <c r="K37" i="2"/>
  <c r="J37" i="2"/>
  <c r="I37" i="2"/>
  <c r="B37" i="2"/>
  <c r="K36" i="2"/>
  <c r="J36" i="2"/>
  <c r="I36" i="2"/>
  <c r="B36" i="2"/>
  <c r="K35" i="2"/>
  <c r="J35" i="2"/>
  <c r="I35" i="2"/>
  <c r="B35" i="2"/>
  <c r="K34" i="2"/>
  <c r="J34" i="2"/>
  <c r="I34" i="2"/>
  <c r="B34" i="2"/>
  <c r="K33" i="2"/>
  <c r="J33" i="2"/>
  <c r="I33" i="2"/>
  <c r="B33" i="2"/>
  <c r="K32" i="2"/>
  <c r="J32" i="2"/>
  <c r="I32" i="2"/>
  <c r="B32" i="2"/>
  <c r="K31" i="2"/>
  <c r="J31" i="2"/>
  <c r="I31" i="2"/>
  <c r="B31" i="2"/>
  <c r="K30" i="2"/>
  <c r="J30" i="2"/>
  <c r="I30" i="2"/>
  <c r="B30" i="2"/>
  <c r="K29" i="2"/>
  <c r="J29" i="2"/>
  <c r="I29" i="2"/>
  <c r="B29" i="2"/>
  <c r="K28" i="2"/>
  <c r="J28" i="2"/>
  <c r="I28" i="2"/>
  <c r="B28" i="2"/>
  <c r="K27" i="2"/>
  <c r="J27" i="2"/>
  <c r="I27" i="2"/>
  <c r="B27" i="2"/>
  <c r="K26" i="2"/>
  <c r="J26" i="2"/>
  <c r="I26" i="2"/>
  <c r="B26" i="2"/>
  <c r="K25" i="2"/>
  <c r="J25" i="2"/>
  <c r="I25" i="2"/>
  <c r="B25" i="2"/>
  <c r="K24" i="2"/>
  <c r="J24" i="2"/>
  <c r="I24" i="2"/>
  <c r="B24" i="2"/>
  <c r="K23" i="2"/>
  <c r="J23" i="2"/>
  <c r="I23" i="2"/>
  <c r="B23" i="2"/>
  <c r="K22" i="2"/>
  <c r="J22" i="2"/>
  <c r="I22" i="2"/>
  <c r="B22" i="2"/>
  <c r="K21" i="2"/>
  <c r="J21" i="2"/>
  <c r="I21" i="2"/>
  <c r="B21" i="2"/>
  <c r="K20" i="2"/>
  <c r="J20" i="2"/>
  <c r="I20" i="2"/>
  <c r="B20" i="2"/>
  <c r="K19" i="2"/>
  <c r="J19" i="2"/>
  <c r="I19" i="2"/>
  <c r="B19" i="2"/>
  <c r="K18" i="2"/>
  <c r="J18" i="2"/>
  <c r="I18" i="2"/>
  <c r="B18" i="2"/>
  <c r="K17" i="2"/>
  <c r="J17" i="2"/>
  <c r="I17" i="2"/>
  <c r="B17" i="2"/>
  <c r="K16" i="2"/>
  <c r="J16" i="2"/>
  <c r="I16" i="2"/>
  <c r="B16" i="2"/>
  <c r="K15" i="2"/>
  <c r="J15" i="2"/>
  <c r="I15" i="2"/>
  <c r="B15" i="2"/>
  <c r="K14" i="2"/>
  <c r="J14" i="2"/>
  <c r="I14" i="2"/>
  <c r="B14" i="2"/>
  <c r="K13" i="2"/>
  <c r="J13" i="2"/>
  <c r="I13" i="2"/>
  <c r="B13" i="2"/>
  <c r="K12" i="2"/>
  <c r="J12" i="2"/>
  <c r="I12" i="2"/>
  <c r="B12" i="2"/>
  <c r="K11" i="2"/>
  <c r="J11" i="2"/>
  <c r="I11" i="2"/>
  <c r="B11" i="2"/>
  <c r="K10" i="2"/>
  <c r="J10" i="2"/>
  <c r="I10" i="2"/>
  <c r="B10" i="2"/>
  <c r="K9" i="2"/>
  <c r="J9" i="2"/>
  <c r="I9" i="2"/>
  <c r="B9" i="2"/>
  <c r="K8" i="2"/>
  <c r="J8" i="2"/>
  <c r="I8" i="2"/>
  <c r="B8" i="2"/>
  <c r="K7" i="2"/>
  <c r="J7" i="2"/>
  <c r="I7" i="2"/>
  <c r="B7" i="2"/>
  <c r="K6" i="2"/>
  <c r="J6" i="2"/>
  <c r="I6" i="2"/>
  <c r="B6" i="2"/>
  <c r="K5" i="2"/>
  <c r="J5" i="2"/>
  <c r="I5" i="2"/>
  <c r="B5" i="2"/>
  <c r="K4" i="2"/>
  <c r="J4" i="2"/>
  <c r="I4" i="2"/>
  <c r="K3" i="2"/>
  <c r="J3" i="2"/>
  <c r="I3" i="2"/>
  <c r="B3" i="2"/>
  <c r="B2" i="2"/>
  <c r="S213" i="1" l="1"/>
  <c r="T213" i="1" s="1"/>
  <c r="O213" i="1"/>
  <c r="S209" i="1"/>
  <c r="T209" i="1" s="1"/>
  <c r="O209" i="1"/>
  <c r="O212" i="1"/>
  <c r="S212" i="1"/>
  <c r="T212" i="1" s="1"/>
  <c r="O210" i="1"/>
  <c r="S210" i="1"/>
  <c r="T210" i="1" s="1"/>
  <c r="S211" i="1"/>
  <c r="T211" i="1" s="1"/>
  <c r="O211" i="1"/>
  <c r="G207" i="1"/>
  <c r="G208" i="1"/>
  <c r="H207" i="1"/>
  <c r="H208" i="1"/>
  <c r="J207" i="1"/>
  <c r="J208" i="1"/>
  <c r="K207" i="1"/>
  <c r="P207" i="1" s="1"/>
  <c r="K208" i="1"/>
  <c r="P208" i="1" s="1"/>
  <c r="L207" i="1"/>
  <c r="L208" i="1"/>
  <c r="M207" i="1"/>
  <c r="M208" i="1"/>
  <c r="N207" i="1"/>
  <c r="N208" i="1"/>
  <c r="R207" i="1"/>
  <c r="R208" i="1"/>
  <c r="V210" i="1" l="1"/>
  <c r="W210" i="1"/>
  <c r="X210" i="1" s="1"/>
  <c r="U210" i="1"/>
  <c r="V212" i="1"/>
  <c r="U212" i="1"/>
  <c r="W212" i="1"/>
  <c r="X212" i="1" s="1"/>
  <c r="U211" i="1"/>
  <c r="W211" i="1"/>
  <c r="X211" i="1" s="1"/>
  <c r="V211" i="1"/>
  <c r="U209" i="1"/>
  <c r="W209" i="1"/>
  <c r="X209" i="1" s="1"/>
  <c r="V209" i="1"/>
  <c r="U213" i="1"/>
  <c r="W213" i="1"/>
  <c r="X213" i="1" s="1"/>
  <c r="V213" i="1"/>
  <c r="O207" i="1"/>
  <c r="S207" i="1"/>
  <c r="T207" i="1" s="1"/>
  <c r="O208" i="1"/>
  <c r="S208" i="1"/>
  <c r="T208" i="1" s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U208" i="1" l="1"/>
  <c r="V208" i="1"/>
  <c r="W208" i="1"/>
  <c r="X208" i="1" s="1"/>
  <c r="V207" i="1"/>
  <c r="U207" i="1"/>
  <c r="W207" i="1"/>
  <c r="X207" i="1" s="1"/>
  <c r="E193" i="3"/>
  <c r="E194" i="3"/>
  <c r="E195" i="3"/>
  <c r="E196" i="3"/>
  <c r="E197" i="3"/>
  <c r="E198" i="3"/>
  <c r="E199" i="3"/>
  <c r="E200" i="3"/>
  <c r="B193" i="3" l="1"/>
  <c r="B194" i="3"/>
  <c r="B195" i="3"/>
  <c r="B196" i="3"/>
  <c r="B197" i="3"/>
  <c r="B198" i="3"/>
  <c r="B199" i="3"/>
  <c r="B200" i="3"/>
  <c r="C193" i="3"/>
  <c r="C194" i="3"/>
  <c r="C195" i="3"/>
  <c r="C196" i="3"/>
  <c r="C197" i="3"/>
  <c r="C198" i="3"/>
  <c r="C199" i="3"/>
  <c r="C200" i="3"/>
  <c r="D193" i="3"/>
  <c r="D194" i="3"/>
  <c r="D195" i="3"/>
  <c r="D196" i="3"/>
  <c r="D197" i="3"/>
  <c r="D198" i="3"/>
  <c r="D199" i="3"/>
  <c r="D200" i="3"/>
  <c r="F193" i="3"/>
  <c r="F194" i="3"/>
  <c r="F195" i="3"/>
  <c r="F196" i="3"/>
  <c r="F197" i="3"/>
  <c r="F198" i="3"/>
  <c r="F199" i="3"/>
  <c r="F200" i="3"/>
  <c r="G206" i="1" l="1"/>
  <c r="K206" i="1" s="1"/>
  <c r="P206" i="1" s="1"/>
  <c r="H206" i="1"/>
  <c r="L206" i="1"/>
  <c r="M206" i="1"/>
  <c r="R206" i="1" s="1"/>
  <c r="O206" i="1" l="1"/>
  <c r="S206" i="1"/>
  <c r="G205" i="1"/>
  <c r="K205" i="1" s="1"/>
  <c r="P205" i="1" s="1"/>
  <c r="H205" i="1"/>
  <c r="L205" i="1"/>
  <c r="M205" i="1"/>
  <c r="R205" i="1" s="1"/>
  <c r="T206" i="1" l="1"/>
  <c r="B192" i="3" s="1"/>
  <c r="F192" i="3"/>
  <c r="S205" i="1"/>
  <c r="O205" i="1"/>
  <c r="G201" i="1"/>
  <c r="G202" i="1"/>
  <c r="G203" i="1"/>
  <c r="G204" i="1"/>
  <c r="H201" i="1"/>
  <c r="H202" i="1"/>
  <c r="H203" i="1"/>
  <c r="H204" i="1"/>
  <c r="K201" i="1"/>
  <c r="P201" i="1" s="1"/>
  <c r="L201" i="1"/>
  <c r="L202" i="1"/>
  <c r="L203" i="1"/>
  <c r="L204" i="1"/>
  <c r="M201" i="1"/>
  <c r="R201" i="1" s="1"/>
  <c r="M202" i="1"/>
  <c r="R202" i="1" s="1"/>
  <c r="M203" i="1"/>
  <c r="R203" i="1" s="1"/>
  <c r="M204" i="1"/>
  <c r="R204" i="1" s="1"/>
  <c r="W206" i="1" l="1"/>
  <c r="X206" i="1" s="1"/>
  <c r="E192" i="3" s="1"/>
  <c r="V206" i="1"/>
  <c r="C192" i="3" s="1"/>
  <c r="T205" i="1"/>
  <c r="B191" i="3" s="1"/>
  <c r="F191" i="3"/>
  <c r="U206" i="1"/>
  <c r="D192" i="3"/>
  <c r="K202" i="1"/>
  <c r="P202" i="1" s="1"/>
  <c r="O202" i="1" s="1"/>
  <c r="S201" i="1"/>
  <c r="O201" i="1"/>
  <c r="U205" i="1"/>
  <c r="V205" i="1"/>
  <c r="C191" i="3" s="1"/>
  <c r="W205" i="1"/>
  <c r="K204" i="1"/>
  <c r="P204" i="1" s="1"/>
  <c r="O204" i="1" s="1"/>
  <c r="K203" i="1"/>
  <c r="P203" i="1" s="1"/>
  <c r="S203" i="1" s="1"/>
  <c r="X205" i="1" l="1"/>
  <c r="E191" i="3" s="1"/>
  <c r="D191" i="3"/>
  <c r="T203" i="1"/>
  <c r="B189" i="3" s="1"/>
  <c r="F189" i="3"/>
  <c r="T201" i="1"/>
  <c r="V201" i="1" s="1"/>
  <c r="C187" i="3" s="1"/>
  <c r="F187" i="3"/>
  <c r="S202" i="1"/>
  <c r="S204" i="1"/>
  <c r="O203" i="1"/>
  <c r="V203" i="1"/>
  <c r="C189" i="3" s="1"/>
  <c r="U203" i="1"/>
  <c r="W203" i="1"/>
  <c r="W201" i="1" l="1"/>
  <c r="U201" i="1"/>
  <c r="B187" i="3"/>
  <c r="X203" i="1"/>
  <c r="E189" i="3" s="1"/>
  <c r="D189" i="3"/>
  <c r="T204" i="1"/>
  <c r="F190" i="3"/>
  <c r="T202" i="1"/>
  <c r="W202" i="1" s="1"/>
  <c r="F188" i="3"/>
  <c r="V204" i="1"/>
  <c r="C190" i="3" s="1"/>
  <c r="B3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M16" i="1"/>
  <c r="R16" i="1" s="1"/>
  <c r="M17" i="1"/>
  <c r="R17" i="1" s="1"/>
  <c r="M18" i="1"/>
  <c r="R18" i="1" s="1"/>
  <c r="M19" i="1"/>
  <c r="R19" i="1" s="1"/>
  <c r="M20" i="1"/>
  <c r="R20" i="1" s="1"/>
  <c r="M21" i="1"/>
  <c r="R21" i="1" s="1"/>
  <c r="M22" i="1"/>
  <c r="R22" i="1" s="1"/>
  <c r="M23" i="1"/>
  <c r="R23" i="1" s="1"/>
  <c r="M24" i="1"/>
  <c r="R24" i="1" s="1"/>
  <c r="M25" i="1"/>
  <c r="R25" i="1" s="1"/>
  <c r="M26" i="1"/>
  <c r="R26" i="1" s="1"/>
  <c r="M27" i="1"/>
  <c r="R27" i="1" s="1"/>
  <c r="M28" i="1"/>
  <c r="R28" i="1" s="1"/>
  <c r="M29" i="1"/>
  <c r="R29" i="1" s="1"/>
  <c r="M30" i="1"/>
  <c r="R30" i="1" s="1"/>
  <c r="M31" i="1"/>
  <c r="R31" i="1" s="1"/>
  <c r="M32" i="1"/>
  <c r="R32" i="1" s="1"/>
  <c r="M33" i="1"/>
  <c r="R33" i="1" s="1"/>
  <c r="M34" i="1"/>
  <c r="R34" i="1" s="1"/>
  <c r="M35" i="1"/>
  <c r="R35" i="1" s="1"/>
  <c r="M36" i="1"/>
  <c r="R36" i="1" s="1"/>
  <c r="M37" i="1"/>
  <c r="R37" i="1" s="1"/>
  <c r="M38" i="1"/>
  <c r="R38" i="1" s="1"/>
  <c r="M39" i="1"/>
  <c r="R39" i="1" s="1"/>
  <c r="M40" i="1"/>
  <c r="R40" i="1" s="1"/>
  <c r="M41" i="1"/>
  <c r="R41" i="1" s="1"/>
  <c r="M42" i="1"/>
  <c r="R42" i="1" s="1"/>
  <c r="M43" i="1"/>
  <c r="R43" i="1" s="1"/>
  <c r="M44" i="1"/>
  <c r="R44" i="1" s="1"/>
  <c r="M45" i="1"/>
  <c r="R45" i="1" s="1"/>
  <c r="M46" i="1"/>
  <c r="R46" i="1" s="1"/>
  <c r="M47" i="1"/>
  <c r="R47" i="1" s="1"/>
  <c r="M48" i="1"/>
  <c r="R48" i="1" s="1"/>
  <c r="M49" i="1"/>
  <c r="R49" i="1" s="1"/>
  <c r="M50" i="1"/>
  <c r="R50" i="1" s="1"/>
  <c r="M51" i="1"/>
  <c r="R51" i="1" s="1"/>
  <c r="M52" i="1"/>
  <c r="R52" i="1" s="1"/>
  <c r="M53" i="1"/>
  <c r="R53" i="1" s="1"/>
  <c r="M54" i="1"/>
  <c r="R54" i="1" s="1"/>
  <c r="M55" i="1"/>
  <c r="R55" i="1" s="1"/>
  <c r="M56" i="1"/>
  <c r="R56" i="1" s="1"/>
  <c r="M57" i="1"/>
  <c r="R57" i="1" s="1"/>
  <c r="M58" i="1"/>
  <c r="R58" i="1" s="1"/>
  <c r="M59" i="1"/>
  <c r="R59" i="1" s="1"/>
  <c r="M60" i="1"/>
  <c r="R60" i="1" s="1"/>
  <c r="M61" i="1"/>
  <c r="R61" i="1" s="1"/>
  <c r="M62" i="1"/>
  <c r="R62" i="1" s="1"/>
  <c r="M63" i="1"/>
  <c r="R63" i="1" s="1"/>
  <c r="M64" i="1"/>
  <c r="R64" i="1" s="1"/>
  <c r="M65" i="1"/>
  <c r="R65" i="1" s="1"/>
  <c r="M66" i="1"/>
  <c r="R66" i="1" s="1"/>
  <c r="M67" i="1"/>
  <c r="R67" i="1" s="1"/>
  <c r="M68" i="1"/>
  <c r="R68" i="1" s="1"/>
  <c r="M69" i="1"/>
  <c r="R69" i="1" s="1"/>
  <c r="M70" i="1"/>
  <c r="R70" i="1" s="1"/>
  <c r="M71" i="1"/>
  <c r="R71" i="1" s="1"/>
  <c r="M72" i="1"/>
  <c r="R72" i="1" s="1"/>
  <c r="M73" i="1"/>
  <c r="R73" i="1" s="1"/>
  <c r="M74" i="1"/>
  <c r="R74" i="1" s="1"/>
  <c r="M75" i="1"/>
  <c r="R75" i="1" s="1"/>
  <c r="M76" i="1"/>
  <c r="R76" i="1" s="1"/>
  <c r="M77" i="1"/>
  <c r="R77" i="1" s="1"/>
  <c r="M78" i="1"/>
  <c r="R78" i="1" s="1"/>
  <c r="M79" i="1"/>
  <c r="R79" i="1" s="1"/>
  <c r="M80" i="1"/>
  <c r="R80" i="1" s="1"/>
  <c r="M81" i="1"/>
  <c r="R81" i="1" s="1"/>
  <c r="M82" i="1"/>
  <c r="R82" i="1" s="1"/>
  <c r="M83" i="1"/>
  <c r="R83" i="1" s="1"/>
  <c r="M84" i="1"/>
  <c r="R84" i="1" s="1"/>
  <c r="M85" i="1"/>
  <c r="R85" i="1" s="1"/>
  <c r="M86" i="1"/>
  <c r="R86" i="1" s="1"/>
  <c r="M87" i="1"/>
  <c r="R87" i="1" s="1"/>
  <c r="M88" i="1"/>
  <c r="R88" i="1" s="1"/>
  <c r="M89" i="1"/>
  <c r="R89" i="1" s="1"/>
  <c r="M90" i="1"/>
  <c r="R90" i="1" s="1"/>
  <c r="M91" i="1"/>
  <c r="R91" i="1" s="1"/>
  <c r="M92" i="1"/>
  <c r="R92" i="1" s="1"/>
  <c r="M93" i="1"/>
  <c r="R93" i="1" s="1"/>
  <c r="M94" i="1"/>
  <c r="R94" i="1" s="1"/>
  <c r="M95" i="1"/>
  <c r="R95" i="1" s="1"/>
  <c r="M96" i="1"/>
  <c r="R96" i="1" s="1"/>
  <c r="M97" i="1"/>
  <c r="R97" i="1" s="1"/>
  <c r="M98" i="1"/>
  <c r="R98" i="1" s="1"/>
  <c r="M99" i="1"/>
  <c r="R99" i="1" s="1"/>
  <c r="M100" i="1"/>
  <c r="R100" i="1" s="1"/>
  <c r="M101" i="1"/>
  <c r="R101" i="1" s="1"/>
  <c r="M102" i="1"/>
  <c r="R102" i="1" s="1"/>
  <c r="M103" i="1"/>
  <c r="R103" i="1" s="1"/>
  <c r="M104" i="1"/>
  <c r="R104" i="1" s="1"/>
  <c r="M105" i="1"/>
  <c r="R105" i="1" s="1"/>
  <c r="M106" i="1"/>
  <c r="R106" i="1" s="1"/>
  <c r="M107" i="1"/>
  <c r="R107" i="1" s="1"/>
  <c r="M108" i="1"/>
  <c r="R108" i="1" s="1"/>
  <c r="M109" i="1"/>
  <c r="R109" i="1" s="1"/>
  <c r="M110" i="1"/>
  <c r="R110" i="1" s="1"/>
  <c r="M111" i="1"/>
  <c r="R111" i="1" s="1"/>
  <c r="M112" i="1"/>
  <c r="R112" i="1" s="1"/>
  <c r="M113" i="1"/>
  <c r="R113" i="1" s="1"/>
  <c r="M114" i="1"/>
  <c r="R114" i="1" s="1"/>
  <c r="M115" i="1"/>
  <c r="R115" i="1" s="1"/>
  <c r="M116" i="1"/>
  <c r="R116" i="1" s="1"/>
  <c r="M117" i="1"/>
  <c r="R117" i="1" s="1"/>
  <c r="M118" i="1"/>
  <c r="R118" i="1" s="1"/>
  <c r="M119" i="1"/>
  <c r="R119" i="1" s="1"/>
  <c r="M120" i="1"/>
  <c r="R120" i="1" s="1"/>
  <c r="M121" i="1"/>
  <c r="R121" i="1" s="1"/>
  <c r="M122" i="1"/>
  <c r="R122" i="1" s="1"/>
  <c r="M123" i="1"/>
  <c r="R123" i="1" s="1"/>
  <c r="M124" i="1"/>
  <c r="R124" i="1" s="1"/>
  <c r="M125" i="1"/>
  <c r="R125" i="1" s="1"/>
  <c r="M126" i="1"/>
  <c r="R126" i="1" s="1"/>
  <c r="M127" i="1"/>
  <c r="R127" i="1" s="1"/>
  <c r="M128" i="1"/>
  <c r="R128" i="1" s="1"/>
  <c r="M129" i="1"/>
  <c r="R129" i="1" s="1"/>
  <c r="M130" i="1"/>
  <c r="R130" i="1" s="1"/>
  <c r="M131" i="1"/>
  <c r="R131" i="1" s="1"/>
  <c r="M132" i="1"/>
  <c r="R132" i="1" s="1"/>
  <c r="M133" i="1"/>
  <c r="R133" i="1" s="1"/>
  <c r="M134" i="1"/>
  <c r="R134" i="1" s="1"/>
  <c r="M135" i="1"/>
  <c r="R135" i="1" s="1"/>
  <c r="M136" i="1"/>
  <c r="R136" i="1" s="1"/>
  <c r="M137" i="1"/>
  <c r="R137" i="1" s="1"/>
  <c r="M138" i="1"/>
  <c r="R138" i="1" s="1"/>
  <c r="M139" i="1"/>
  <c r="R139" i="1" s="1"/>
  <c r="M140" i="1"/>
  <c r="R140" i="1" s="1"/>
  <c r="M141" i="1"/>
  <c r="R141" i="1" s="1"/>
  <c r="M142" i="1"/>
  <c r="R142" i="1" s="1"/>
  <c r="M143" i="1"/>
  <c r="R143" i="1" s="1"/>
  <c r="M144" i="1"/>
  <c r="R144" i="1" s="1"/>
  <c r="M145" i="1"/>
  <c r="R145" i="1" s="1"/>
  <c r="M146" i="1"/>
  <c r="R146" i="1" s="1"/>
  <c r="M147" i="1"/>
  <c r="R147" i="1" s="1"/>
  <c r="M148" i="1"/>
  <c r="R148" i="1" s="1"/>
  <c r="M149" i="1"/>
  <c r="R149" i="1" s="1"/>
  <c r="M150" i="1"/>
  <c r="R150" i="1" s="1"/>
  <c r="M151" i="1"/>
  <c r="R151" i="1" s="1"/>
  <c r="M152" i="1"/>
  <c r="R152" i="1" s="1"/>
  <c r="M153" i="1"/>
  <c r="R153" i="1" s="1"/>
  <c r="M154" i="1"/>
  <c r="R154" i="1" s="1"/>
  <c r="M155" i="1"/>
  <c r="R155" i="1" s="1"/>
  <c r="M156" i="1"/>
  <c r="R156" i="1" s="1"/>
  <c r="M157" i="1"/>
  <c r="R157" i="1" s="1"/>
  <c r="M158" i="1"/>
  <c r="R158" i="1" s="1"/>
  <c r="M159" i="1"/>
  <c r="R159" i="1" s="1"/>
  <c r="M160" i="1"/>
  <c r="R160" i="1" s="1"/>
  <c r="M161" i="1"/>
  <c r="R161" i="1" s="1"/>
  <c r="M162" i="1"/>
  <c r="R162" i="1" s="1"/>
  <c r="M163" i="1"/>
  <c r="R163" i="1" s="1"/>
  <c r="M164" i="1"/>
  <c r="R164" i="1" s="1"/>
  <c r="M165" i="1"/>
  <c r="R165" i="1" s="1"/>
  <c r="M166" i="1"/>
  <c r="R166" i="1" s="1"/>
  <c r="M167" i="1"/>
  <c r="R167" i="1" s="1"/>
  <c r="M168" i="1"/>
  <c r="R168" i="1" s="1"/>
  <c r="M169" i="1"/>
  <c r="R169" i="1" s="1"/>
  <c r="M170" i="1"/>
  <c r="R170" i="1" s="1"/>
  <c r="M171" i="1"/>
  <c r="R171" i="1" s="1"/>
  <c r="M172" i="1"/>
  <c r="R172" i="1" s="1"/>
  <c r="M173" i="1"/>
  <c r="R173" i="1" s="1"/>
  <c r="M174" i="1"/>
  <c r="R174" i="1" s="1"/>
  <c r="M175" i="1"/>
  <c r="R175" i="1" s="1"/>
  <c r="M176" i="1"/>
  <c r="R176" i="1" s="1"/>
  <c r="M177" i="1"/>
  <c r="R177" i="1" s="1"/>
  <c r="M178" i="1"/>
  <c r="R178" i="1" s="1"/>
  <c r="M179" i="1"/>
  <c r="R179" i="1" s="1"/>
  <c r="M180" i="1"/>
  <c r="R180" i="1" s="1"/>
  <c r="M181" i="1"/>
  <c r="R181" i="1" s="1"/>
  <c r="M182" i="1"/>
  <c r="R182" i="1" s="1"/>
  <c r="M183" i="1"/>
  <c r="R183" i="1" s="1"/>
  <c r="M184" i="1"/>
  <c r="R184" i="1" s="1"/>
  <c r="M185" i="1"/>
  <c r="R185" i="1" s="1"/>
  <c r="M186" i="1"/>
  <c r="R186" i="1" s="1"/>
  <c r="M187" i="1"/>
  <c r="R187" i="1" s="1"/>
  <c r="M188" i="1"/>
  <c r="R188" i="1" s="1"/>
  <c r="M189" i="1"/>
  <c r="R189" i="1" s="1"/>
  <c r="M190" i="1"/>
  <c r="R190" i="1" s="1"/>
  <c r="M191" i="1"/>
  <c r="R191" i="1" s="1"/>
  <c r="M192" i="1"/>
  <c r="R192" i="1" s="1"/>
  <c r="M193" i="1"/>
  <c r="R193" i="1" s="1"/>
  <c r="M194" i="1"/>
  <c r="R194" i="1" s="1"/>
  <c r="M195" i="1"/>
  <c r="R195" i="1" s="1"/>
  <c r="M196" i="1"/>
  <c r="R196" i="1" s="1"/>
  <c r="M197" i="1"/>
  <c r="R197" i="1" s="1"/>
  <c r="M198" i="1"/>
  <c r="R198" i="1" s="1"/>
  <c r="M199" i="1"/>
  <c r="R199" i="1" s="1"/>
  <c r="M200" i="1"/>
  <c r="R200" i="1" s="1"/>
  <c r="U202" i="1" l="1"/>
  <c r="U204" i="1"/>
  <c r="B190" i="3"/>
  <c r="X202" i="1"/>
  <c r="E188" i="3" s="1"/>
  <c r="D188" i="3"/>
  <c r="V202" i="1"/>
  <c r="C188" i="3" s="1"/>
  <c r="B188" i="3"/>
  <c r="W204" i="1"/>
  <c r="X201" i="1"/>
  <c r="E187" i="3" s="1"/>
  <c r="D187" i="3"/>
  <c r="F16" i="5"/>
  <c r="C16" i="5"/>
  <c r="E13" i="5"/>
  <c r="H10" i="5"/>
  <c r="F10" i="5"/>
  <c r="D10" i="5"/>
  <c r="X204" i="1" l="1"/>
  <c r="E190" i="3" s="1"/>
  <c r="D190" i="3"/>
  <c r="G17" i="1"/>
  <c r="K17" i="1" s="1"/>
  <c r="P17" i="1" s="1"/>
  <c r="O17" i="1" s="1"/>
  <c r="H17" i="1"/>
  <c r="L17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K22" i="1"/>
  <c r="P22" i="1" s="1"/>
  <c r="K23" i="1"/>
  <c r="P23" i="1" s="1"/>
  <c r="O23" i="1" s="1"/>
  <c r="K28" i="1"/>
  <c r="P28" i="1" s="1"/>
  <c r="K29" i="1"/>
  <c r="P29" i="1" s="1"/>
  <c r="S29" i="1" s="1"/>
  <c r="F15" i="3" s="1"/>
  <c r="K33" i="1"/>
  <c r="P33" i="1" s="1"/>
  <c r="K34" i="1"/>
  <c r="P34" i="1" s="1"/>
  <c r="K35" i="1"/>
  <c r="P35" i="1" s="1"/>
  <c r="O35" i="1" s="1"/>
  <c r="K40" i="1"/>
  <c r="P40" i="1" s="1"/>
  <c r="K41" i="1"/>
  <c r="P41" i="1" s="1"/>
  <c r="S41" i="1" s="1"/>
  <c r="F27" i="3" s="1"/>
  <c r="K44" i="1"/>
  <c r="P44" i="1" s="1"/>
  <c r="K46" i="1"/>
  <c r="P46" i="1" s="1"/>
  <c r="K47" i="1"/>
  <c r="P47" i="1" s="1"/>
  <c r="K52" i="1"/>
  <c r="P52" i="1" s="1"/>
  <c r="K53" i="1"/>
  <c r="P53" i="1" s="1"/>
  <c r="K58" i="1"/>
  <c r="P58" i="1" s="1"/>
  <c r="K64" i="1"/>
  <c r="P64" i="1" s="1"/>
  <c r="K65" i="1"/>
  <c r="P65" i="1" s="1"/>
  <c r="O65" i="1" s="1"/>
  <c r="K70" i="1"/>
  <c r="P70" i="1" s="1"/>
  <c r="K71" i="1"/>
  <c r="P71" i="1" s="1"/>
  <c r="O71" i="1" s="1"/>
  <c r="K76" i="1"/>
  <c r="P76" i="1" s="1"/>
  <c r="K77" i="1"/>
  <c r="P77" i="1" s="1"/>
  <c r="O77" i="1" s="1"/>
  <c r="K82" i="1"/>
  <c r="P82" i="1" s="1"/>
  <c r="K83" i="1"/>
  <c r="P83" i="1" s="1"/>
  <c r="O83" i="1" s="1"/>
  <c r="K88" i="1"/>
  <c r="P88" i="1" s="1"/>
  <c r="K89" i="1"/>
  <c r="P89" i="1" s="1"/>
  <c r="O89" i="1" s="1"/>
  <c r="K94" i="1"/>
  <c r="P94" i="1" s="1"/>
  <c r="K95" i="1"/>
  <c r="P95" i="1" s="1"/>
  <c r="K100" i="1"/>
  <c r="P100" i="1" s="1"/>
  <c r="K101" i="1"/>
  <c r="P101" i="1" s="1"/>
  <c r="K106" i="1"/>
  <c r="P106" i="1" s="1"/>
  <c r="K107" i="1"/>
  <c r="P107" i="1" s="1"/>
  <c r="K112" i="1"/>
  <c r="P112" i="1" s="1"/>
  <c r="K113" i="1"/>
  <c r="P113" i="1" s="1"/>
  <c r="O113" i="1" s="1"/>
  <c r="K118" i="1"/>
  <c r="P118" i="1" s="1"/>
  <c r="K119" i="1"/>
  <c r="P119" i="1" s="1"/>
  <c r="O119" i="1" s="1"/>
  <c r="K124" i="1"/>
  <c r="P124" i="1" s="1"/>
  <c r="K125" i="1"/>
  <c r="P125" i="1" s="1"/>
  <c r="O125" i="1" s="1"/>
  <c r="K130" i="1"/>
  <c r="P130" i="1" s="1"/>
  <c r="K131" i="1"/>
  <c r="P131" i="1" s="1"/>
  <c r="K136" i="1"/>
  <c r="P136" i="1" s="1"/>
  <c r="K137" i="1"/>
  <c r="P137" i="1" s="1"/>
  <c r="O137" i="1" s="1"/>
  <c r="K142" i="1"/>
  <c r="P142" i="1" s="1"/>
  <c r="K143" i="1"/>
  <c r="P143" i="1" s="1"/>
  <c r="K148" i="1"/>
  <c r="P148" i="1" s="1"/>
  <c r="K154" i="1"/>
  <c r="P154" i="1" s="1"/>
  <c r="K155" i="1"/>
  <c r="P155" i="1" s="1"/>
  <c r="O155" i="1" s="1"/>
  <c r="K160" i="1"/>
  <c r="P160" i="1" s="1"/>
  <c r="K161" i="1"/>
  <c r="P161" i="1" s="1"/>
  <c r="O161" i="1" s="1"/>
  <c r="K166" i="1"/>
  <c r="P166" i="1" s="1"/>
  <c r="K167" i="1"/>
  <c r="P167" i="1" s="1"/>
  <c r="K172" i="1"/>
  <c r="P172" i="1" s="1"/>
  <c r="K173" i="1"/>
  <c r="P173" i="1" s="1"/>
  <c r="O173" i="1" s="1"/>
  <c r="K178" i="1"/>
  <c r="P178" i="1" s="1"/>
  <c r="K179" i="1"/>
  <c r="P179" i="1" s="1"/>
  <c r="K184" i="1"/>
  <c r="P184" i="1" s="1"/>
  <c r="K185" i="1"/>
  <c r="P185" i="1" s="1"/>
  <c r="O185" i="1" s="1"/>
  <c r="K190" i="1"/>
  <c r="P190" i="1" s="1"/>
  <c r="K191" i="1"/>
  <c r="P191" i="1" s="1"/>
  <c r="O191" i="1" s="1"/>
  <c r="K196" i="1"/>
  <c r="P196" i="1" s="1"/>
  <c r="K197" i="1"/>
  <c r="P197" i="1" s="1"/>
  <c r="O197" i="1" s="1"/>
  <c r="K19" i="1"/>
  <c r="P19" i="1" s="1"/>
  <c r="O19" i="1" s="1"/>
  <c r="K20" i="1"/>
  <c r="P20" i="1" s="1"/>
  <c r="K21" i="1"/>
  <c r="P21" i="1" s="1"/>
  <c r="K25" i="1"/>
  <c r="P25" i="1" s="1"/>
  <c r="K26" i="1"/>
  <c r="P26" i="1" s="1"/>
  <c r="K27" i="1"/>
  <c r="P27" i="1" s="1"/>
  <c r="K30" i="1"/>
  <c r="P30" i="1" s="1"/>
  <c r="O30" i="1" s="1"/>
  <c r="K31" i="1"/>
  <c r="P31" i="1" s="1"/>
  <c r="K36" i="1"/>
  <c r="P36" i="1" s="1"/>
  <c r="S36" i="1" s="1"/>
  <c r="K37" i="1"/>
  <c r="P37" i="1" s="1"/>
  <c r="S37" i="1" s="1"/>
  <c r="K38" i="1"/>
  <c r="P38" i="1" s="1"/>
  <c r="K39" i="1"/>
  <c r="P39" i="1" s="1"/>
  <c r="K42" i="1"/>
  <c r="P42" i="1" s="1"/>
  <c r="K43" i="1"/>
  <c r="P43" i="1" s="1"/>
  <c r="K45" i="1"/>
  <c r="P45" i="1" s="1"/>
  <c r="S45" i="1" s="1"/>
  <c r="K48" i="1"/>
  <c r="P48" i="1" s="1"/>
  <c r="S48" i="1" s="1"/>
  <c r="K49" i="1"/>
  <c r="P49" i="1" s="1"/>
  <c r="K51" i="1"/>
  <c r="P51" i="1" s="1"/>
  <c r="S51" i="1" s="1"/>
  <c r="F37" i="3" s="1"/>
  <c r="K54" i="1"/>
  <c r="P54" i="1" s="1"/>
  <c r="K55" i="1"/>
  <c r="P55" i="1" s="1"/>
  <c r="K56" i="1"/>
  <c r="P56" i="1" s="1"/>
  <c r="K57" i="1"/>
  <c r="P57" i="1" s="1"/>
  <c r="K61" i="1"/>
  <c r="P61" i="1" s="1"/>
  <c r="S61" i="1" s="1"/>
  <c r="K63" i="1"/>
  <c r="P63" i="1" s="1"/>
  <c r="K66" i="1"/>
  <c r="P66" i="1" s="1"/>
  <c r="K67" i="1"/>
  <c r="P67" i="1" s="1"/>
  <c r="O67" i="1" s="1"/>
  <c r="K69" i="1"/>
  <c r="P69" i="1" s="1"/>
  <c r="O69" i="1" s="1"/>
  <c r="K72" i="1"/>
  <c r="P72" i="1" s="1"/>
  <c r="O72" i="1" s="1"/>
  <c r="K73" i="1"/>
  <c r="P73" i="1" s="1"/>
  <c r="O73" i="1" s="1"/>
  <c r="K75" i="1"/>
  <c r="P75" i="1" s="1"/>
  <c r="O75" i="1" s="1"/>
  <c r="K78" i="1"/>
  <c r="P78" i="1" s="1"/>
  <c r="K79" i="1"/>
  <c r="P79" i="1" s="1"/>
  <c r="K81" i="1"/>
  <c r="P81" i="1" s="1"/>
  <c r="O81" i="1" s="1"/>
  <c r="K84" i="1"/>
  <c r="P84" i="1" s="1"/>
  <c r="S84" i="1" s="1"/>
  <c r="K85" i="1"/>
  <c r="P85" i="1" s="1"/>
  <c r="O85" i="1" s="1"/>
  <c r="K87" i="1"/>
  <c r="P87" i="1" s="1"/>
  <c r="K90" i="1"/>
  <c r="P90" i="1" s="1"/>
  <c r="K91" i="1"/>
  <c r="P91" i="1" s="1"/>
  <c r="O91" i="1" s="1"/>
  <c r="K93" i="1"/>
  <c r="P93" i="1" s="1"/>
  <c r="K96" i="1"/>
  <c r="P96" i="1" s="1"/>
  <c r="O96" i="1" s="1"/>
  <c r="K97" i="1"/>
  <c r="P97" i="1" s="1"/>
  <c r="S97" i="1" s="1"/>
  <c r="K99" i="1"/>
  <c r="P99" i="1" s="1"/>
  <c r="O99" i="1" s="1"/>
  <c r="K102" i="1"/>
  <c r="P102" i="1" s="1"/>
  <c r="K103" i="1"/>
  <c r="P103" i="1" s="1"/>
  <c r="O103" i="1" s="1"/>
  <c r="K105" i="1"/>
  <c r="P105" i="1" s="1"/>
  <c r="K108" i="1"/>
  <c r="P108" i="1" s="1"/>
  <c r="O108" i="1" s="1"/>
  <c r="K109" i="1"/>
  <c r="P109" i="1" s="1"/>
  <c r="K111" i="1"/>
  <c r="P111" i="1" s="1"/>
  <c r="O111" i="1" s="1"/>
  <c r="K114" i="1"/>
  <c r="P114" i="1" s="1"/>
  <c r="K115" i="1"/>
  <c r="P115" i="1" s="1"/>
  <c r="K117" i="1"/>
  <c r="P117" i="1" s="1"/>
  <c r="O117" i="1" s="1"/>
  <c r="K120" i="1"/>
  <c r="P120" i="1" s="1"/>
  <c r="O120" i="1" s="1"/>
  <c r="K121" i="1"/>
  <c r="P121" i="1" s="1"/>
  <c r="S121" i="1" s="1"/>
  <c r="K123" i="1"/>
  <c r="P123" i="1" s="1"/>
  <c r="K126" i="1"/>
  <c r="P126" i="1" s="1"/>
  <c r="K127" i="1"/>
  <c r="P127" i="1" s="1"/>
  <c r="O127" i="1" s="1"/>
  <c r="K129" i="1"/>
  <c r="P129" i="1" s="1"/>
  <c r="K132" i="1"/>
  <c r="P132" i="1" s="1"/>
  <c r="O132" i="1" s="1"/>
  <c r="K133" i="1"/>
  <c r="P133" i="1" s="1"/>
  <c r="O133" i="1" s="1"/>
  <c r="K135" i="1"/>
  <c r="P135" i="1" s="1"/>
  <c r="K138" i="1"/>
  <c r="P138" i="1" s="1"/>
  <c r="K139" i="1"/>
  <c r="P139" i="1" s="1"/>
  <c r="O139" i="1" s="1"/>
  <c r="K141" i="1"/>
  <c r="P141" i="1" s="1"/>
  <c r="O141" i="1" s="1"/>
  <c r="K144" i="1"/>
  <c r="P144" i="1" s="1"/>
  <c r="O144" i="1" s="1"/>
  <c r="K145" i="1"/>
  <c r="P145" i="1" s="1"/>
  <c r="O145" i="1" s="1"/>
  <c r="K147" i="1"/>
  <c r="P147" i="1" s="1"/>
  <c r="O147" i="1" s="1"/>
  <c r="K150" i="1"/>
  <c r="P150" i="1" s="1"/>
  <c r="K151" i="1"/>
  <c r="P151" i="1" s="1"/>
  <c r="K153" i="1"/>
  <c r="P153" i="1" s="1"/>
  <c r="K156" i="1"/>
  <c r="P156" i="1" s="1"/>
  <c r="O156" i="1" s="1"/>
  <c r="K157" i="1"/>
  <c r="P157" i="1" s="1"/>
  <c r="K159" i="1"/>
  <c r="P159" i="1" s="1"/>
  <c r="K162" i="1"/>
  <c r="P162" i="1" s="1"/>
  <c r="K165" i="1"/>
  <c r="P165" i="1" s="1"/>
  <c r="O165" i="1" s="1"/>
  <c r="K168" i="1"/>
  <c r="P168" i="1" s="1"/>
  <c r="O168" i="1" s="1"/>
  <c r="K169" i="1"/>
  <c r="P169" i="1" s="1"/>
  <c r="O169" i="1" s="1"/>
  <c r="K171" i="1"/>
  <c r="P171" i="1" s="1"/>
  <c r="K174" i="1"/>
  <c r="P174" i="1" s="1"/>
  <c r="K175" i="1"/>
  <c r="P175" i="1" s="1"/>
  <c r="K177" i="1"/>
  <c r="P177" i="1" s="1"/>
  <c r="O177" i="1" s="1"/>
  <c r="K180" i="1"/>
  <c r="P180" i="1" s="1"/>
  <c r="O180" i="1" s="1"/>
  <c r="K181" i="1"/>
  <c r="P181" i="1" s="1"/>
  <c r="O181" i="1" s="1"/>
  <c r="K183" i="1"/>
  <c r="P183" i="1" s="1"/>
  <c r="O183" i="1" s="1"/>
  <c r="K186" i="1"/>
  <c r="P186" i="1" s="1"/>
  <c r="K187" i="1"/>
  <c r="P187" i="1" s="1"/>
  <c r="K189" i="1"/>
  <c r="P189" i="1" s="1"/>
  <c r="K192" i="1"/>
  <c r="P192" i="1" s="1"/>
  <c r="O192" i="1" s="1"/>
  <c r="K193" i="1"/>
  <c r="P193" i="1" s="1"/>
  <c r="O193" i="1" s="1"/>
  <c r="K195" i="1"/>
  <c r="P195" i="1" s="1"/>
  <c r="K198" i="1"/>
  <c r="P198" i="1" s="1"/>
  <c r="K199" i="1"/>
  <c r="P199" i="1" s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O25" i="1"/>
  <c r="O26" i="1"/>
  <c r="O31" i="1"/>
  <c r="O36" i="1"/>
  <c r="O38" i="1"/>
  <c r="O41" i="1"/>
  <c r="O42" i="1"/>
  <c r="O43" i="1"/>
  <c r="O45" i="1"/>
  <c r="O47" i="1"/>
  <c r="O48" i="1"/>
  <c r="O49" i="1"/>
  <c r="O51" i="1"/>
  <c r="O53" i="1"/>
  <c r="O54" i="1"/>
  <c r="O55" i="1"/>
  <c r="O63" i="1"/>
  <c r="O66" i="1"/>
  <c r="O78" i="1"/>
  <c r="O79" i="1"/>
  <c r="O90" i="1"/>
  <c r="O97" i="1"/>
  <c r="O102" i="1"/>
  <c r="O109" i="1"/>
  <c r="O114" i="1"/>
  <c r="O115" i="1"/>
  <c r="O126" i="1"/>
  <c r="O135" i="1"/>
  <c r="O138" i="1"/>
  <c r="O150" i="1"/>
  <c r="O151" i="1"/>
  <c r="O153" i="1"/>
  <c r="O157" i="1"/>
  <c r="O162" i="1"/>
  <c r="O171" i="1"/>
  <c r="O174" i="1"/>
  <c r="O175" i="1"/>
  <c r="O186" i="1"/>
  <c r="O187" i="1"/>
  <c r="O189" i="1"/>
  <c r="O198" i="1"/>
  <c r="O199" i="1"/>
  <c r="S23" i="1"/>
  <c r="S25" i="1"/>
  <c r="S26" i="1"/>
  <c r="S31" i="1"/>
  <c r="S35" i="1"/>
  <c r="S38" i="1"/>
  <c r="S42" i="1"/>
  <c r="S43" i="1"/>
  <c r="S47" i="1"/>
  <c r="F33" i="3" s="1"/>
  <c r="S49" i="1"/>
  <c r="S53" i="1"/>
  <c r="F39" i="3" s="1"/>
  <c r="S54" i="1"/>
  <c r="S55" i="1"/>
  <c r="S63" i="1"/>
  <c r="F49" i="3" s="1"/>
  <c r="S65" i="1"/>
  <c r="F51" i="3" s="1"/>
  <c r="S66" i="1"/>
  <c r="F52" i="3" s="1"/>
  <c r="S67" i="1"/>
  <c r="S69" i="1"/>
  <c r="S73" i="1"/>
  <c r="S77" i="1"/>
  <c r="F63" i="3" s="1"/>
  <c r="S78" i="1"/>
  <c r="F64" i="3" s="1"/>
  <c r="S79" i="1"/>
  <c r="F65" i="3" s="1"/>
  <c r="S81" i="1"/>
  <c r="S83" i="1"/>
  <c r="S89" i="1"/>
  <c r="S90" i="1"/>
  <c r="S91" i="1"/>
  <c r="S96" i="1"/>
  <c r="S99" i="1"/>
  <c r="S102" i="1"/>
  <c r="F88" i="3" s="1"/>
  <c r="S103" i="1"/>
  <c r="F89" i="3" s="1"/>
  <c r="S109" i="1"/>
  <c r="F95" i="3" s="1"/>
  <c r="S114" i="1"/>
  <c r="S115" i="1"/>
  <c r="S119" i="1"/>
  <c r="F105" i="3" s="1"/>
  <c r="S125" i="1"/>
  <c r="S126" i="1"/>
  <c r="S127" i="1"/>
  <c r="S135" i="1"/>
  <c r="F121" i="3" s="1"/>
  <c r="S137" i="1"/>
  <c r="S138" i="1"/>
  <c r="F124" i="3" s="1"/>
  <c r="S139" i="1"/>
  <c r="S141" i="1"/>
  <c r="S145" i="1"/>
  <c r="S150" i="1"/>
  <c r="F136" i="3" s="1"/>
  <c r="S151" i="1"/>
  <c r="S153" i="1"/>
  <c r="S156" i="1"/>
  <c r="S157" i="1"/>
  <c r="F143" i="3" s="1"/>
  <c r="S161" i="1"/>
  <c r="S162" i="1"/>
  <c r="S165" i="1"/>
  <c r="S168" i="1"/>
  <c r="F154" i="3" s="1"/>
  <c r="S169" i="1"/>
  <c r="S171" i="1"/>
  <c r="S174" i="1"/>
  <c r="F160" i="3" s="1"/>
  <c r="S175" i="1"/>
  <c r="S177" i="1"/>
  <c r="S180" i="1"/>
  <c r="S181" i="1"/>
  <c r="S185" i="1"/>
  <c r="S186" i="1"/>
  <c r="F172" i="3" s="1"/>
  <c r="S187" i="1"/>
  <c r="S189" i="1"/>
  <c r="F175" i="3" s="1"/>
  <c r="S192" i="1"/>
  <c r="F178" i="3" s="1"/>
  <c r="S193" i="1"/>
  <c r="F179" i="3" s="1"/>
  <c r="S197" i="1"/>
  <c r="S198" i="1"/>
  <c r="F184" i="3" s="1"/>
  <c r="S199" i="1"/>
  <c r="T47" i="1"/>
  <c r="T51" i="1"/>
  <c r="T63" i="1"/>
  <c r="T65" i="1"/>
  <c r="T66" i="1"/>
  <c r="B52" i="3" s="1"/>
  <c r="T77" i="1"/>
  <c r="T78" i="1"/>
  <c r="T102" i="1"/>
  <c r="U102" i="1" s="1"/>
  <c r="T103" i="1"/>
  <c r="T135" i="1"/>
  <c r="T150" i="1"/>
  <c r="U150" i="1" s="1"/>
  <c r="T174" i="1"/>
  <c r="T186" i="1"/>
  <c r="U186" i="1" s="1"/>
  <c r="T198" i="1"/>
  <c r="W51" i="1"/>
  <c r="W198" i="1"/>
  <c r="G18" i="1"/>
  <c r="H18" i="1"/>
  <c r="L18" i="1"/>
  <c r="L16" i="1"/>
  <c r="H16" i="1"/>
  <c r="G16" i="1"/>
  <c r="T189" i="1" l="1"/>
  <c r="T119" i="1"/>
  <c r="W119" i="1" s="1"/>
  <c r="T138" i="1"/>
  <c r="T41" i="1"/>
  <c r="F70" i="3"/>
  <c r="T84" i="1"/>
  <c r="V84" i="1" s="1"/>
  <c r="C70" i="3" s="1"/>
  <c r="T37" i="1"/>
  <c r="V37" i="1" s="1"/>
  <c r="C23" i="3" s="1"/>
  <c r="F23" i="3"/>
  <c r="F34" i="3"/>
  <c r="T48" i="1"/>
  <c r="U135" i="1"/>
  <c r="B121" i="3"/>
  <c r="T181" i="1"/>
  <c r="B167" i="3" s="1"/>
  <c r="F167" i="3"/>
  <c r="T114" i="1"/>
  <c r="U114" i="1" s="1"/>
  <c r="F100" i="3"/>
  <c r="T54" i="1"/>
  <c r="B40" i="3" s="1"/>
  <c r="F40" i="3"/>
  <c r="X119" i="1"/>
  <c r="E105" i="3" s="1"/>
  <c r="D105" i="3"/>
  <c r="W189" i="1"/>
  <c r="B175" i="3"/>
  <c r="U138" i="1"/>
  <c r="B124" i="3"/>
  <c r="U77" i="1"/>
  <c r="B63" i="3"/>
  <c r="T197" i="1"/>
  <c r="B183" i="3" s="1"/>
  <c r="F183" i="3"/>
  <c r="T185" i="1"/>
  <c r="F171" i="3"/>
  <c r="T171" i="1"/>
  <c r="B157" i="3" s="1"/>
  <c r="F157" i="3"/>
  <c r="S144" i="1"/>
  <c r="S132" i="1"/>
  <c r="T115" i="1"/>
  <c r="F101" i="3"/>
  <c r="T99" i="1"/>
  <c r="B85" i="3" s="1"/>
  <c r="F85" i="3"/>
  <c r="T83" i="1"/>
  <c r="B69" i="3" s="1"/>
  <c r="F69" i="3"/>
  <c r="S72" i="1"/>
  <c r="T55" i="1"/>
  <c r="B41" i="3" s="1"/>
  <c r="F41" i="3"/>
  <c r="T43" i="1"/>
  <c r="B29" i="3" s="1"/>
  <c r="F29" i="3"/>
  <c r="T26" i="1"/>
  <c r="F12" i="3"/>
  <c r="T121" i="1"/>
  <c r="B107" i="3" s="1"/>
  <c r="F107" i="3"/>
  <c r="T97" i="1"/>
  <c r="B83" i="3" s="1"/>
  <c r="F83" i="3"/>
  <c r="T61" i="1"/>
  <c r="B47" i="3" s="1"/>
  <c r="F47" i="3"/>
  <c r="W186" i="1"/>
  <c r="B172" i="3"/>
  <c r="T141" i="1"/>
  <c r="B127" i="3" s="1"/>
  <c r="F127" i="3"/>
  <c r="T81" i="1"/>
  <c r="F67" i="3"/>
  <c r="T25" i="1"/>
  <c r="V25" i="1" s="1"/>
  <c r="C11" i="3" s="1"/>
  <c r="F11" i="3"/>
  <c r="U174" i="1"/>
  <c r="B160" i="3"/>
  <c r="T139" i="1"/>
  <c r="B125" i="3" s="1"/>
  <c r="F125" i="3"/>
  <c r="T126" i="1"/>
  <c r="B112" i="3" s="1"/>
  <c r="F112" i="3"/>
  <c r="T91" i="1"/>
  <c r="F77" i="3"/>
  <c r="T67" i="1"/>
  <c r="F53" i="3"/>
  <c r="T38" i="1"/>
  <c r="V38" i="1" s="1"/>
  <c r="C24" i="3" s="1"/>
  <c r="F24" i="3"/>
  <c r="T23" i="1"/>
  <c r="B9" i="3" s="1"/>
  <c r="F9" i="3"/>
  <c r="O84" i="1"/>
  <c r="O37" i="1"/>
  <c r="T45" i="1"/>
  <c r="V45" i="1" s="1"/>
  <c r="C31" i="3" s="1"/>
  <c r="F31" i="3"/>
  <c r="T36" i="1"/>
  <c r="B22" i="3" s="1"/>
  <c r="F22" i="3"/>
  <c r="W47" i="1"/>
  <c r="B33" i="3"/>
  <c r="T169" i="1"/>
  <c r="W169" i="1" s="1"/>
  <c r="F155" i="3"/>
  <c r="T96" i="1"/>
  <c r="B82" i="3" s="1"/>
  <c r="F82" i="3"/>
  <c r="T42" i="1"/>
  <c r="B28" i="3" s="1"/>
  <c r="F28" i="3"/>
  <c r="X198" i="1"/>
  <c r="E184" i="3" s="1"/>
  <c r="D184" i="3"/>
  <c r="U41" i="1"/>
  <c r="B27" i="3"/>
  <c r="T180" i="1"/>
  <c r="F166" i="3"/>
  <c r="U198" i="1"/>
  <c r="B184" i="3"/>
  <c r="T29" i="1"/>
  <c r="T177" i="1"/>
  <c r="F163" i="3"/>
  <c r="T165" i="1"/>
  <c r="B151" i="3" s="1"/>
  <c r="F151" i="3"/>
  <c r="T151" i="1"/>
  <c r="V151" i="1" s="1"/>
  <c r="C137" i="3" s="1"/>
  <c r="F137" i="3"/>
  <c r="T125" i="1"/>
  <c r="B111" i="3" s="1"/>
  <c r="F111" i="3"/>
  <c r="S108" i="1"/>
  <c r="T90" i="1"/>
  <c r="B76" i="3" s="1"/>
  <c r="F76" i="3"/>
  <c r="T49" i="1"/>
  <c r="F35" i="3"/>
  <c r="T156" i="1"/>
  <c r="B142" i="3" s="1"/>
  <c r="F142" i="3"/>
  <c r="T69" i="1"/>
  <c r="B55" i="3" s="1"/>
  <c r="F55" i="3"/>
  <c r="W102" i="1"/>
  <c r="B88" i="3"/>
  <c r="U63" i="1"/>
  <c r="B49" i="3"/>
  <c r="W66" i="1"/>
  <c r="U66" i="1"/>
  <c r="T193" i="1"/>
  <c r="T157" i="1"/>
  <c r="U119" i="1"/>
  <c r="B105" i="3"/>
  <c r="T79" i="1"/>
  <c r="W79" i="1" s="1"/>
  <c r="T53" i="1"/>
  <c r="U53" i="1" s="1"/>
  <c r="T199" i="1"/>
  <c r="B185" i="3" s="1"/>
  <c r="F185" i="3"/>
  <c r="T187" i="1"/>
  <c r="F173" i="3"/>
  <c r="T175" i="1"/>
  <c r="V175" i="1" s="1"/>
  <c r="C161" i="3" s="1"/>
  <c r="F161" i="3"/>
  <c r="T162" i="1"/>
  <c r="B148" i="3" s="1"/>
  <c r="F148" i="3"/>
  <c r="T137" i="1"/>
  <c r="F123" i="3"/>
  <c r="S120" i="1"/>
  <c r="T89" i="1"/>
  <c r="B75" i="3" s="1"/>
  <c r="F75" i="3"/>
  <c r="T35" i="1"/>
  <c r="B21" i="3" s="1"/>
  <c r="F21" i="3"/>
  <c r="U103" i="1"/>
  <c r="B89" i="3"/>
  <c r="T127" i="1"/>
  <c r="B113" i="3" s="1"/>
  <c r="F113" i="3"/>
  <c r="W65" i="1"/>
  <c r="B51" i="3"/>
  <c r="T153" i="1"/>
  <c r="F139" i="3"/>
  <c r="T168" i="1"/>
  <c r="V168" i="1" s="1"/>
  <c r="C154" i="3" s="1"/>
  <c r="W135" i="1"/>
  <c r="X51" i="1"/>
  <c r="E37" i="3" s="1"/>
  <c r="D37" i="3"/>
  <c r="U189" i="1"/>
  <c r="U65" i="1"/>
  <c r="T192" i="1"/>
  <c r="V192" i="1" s="1"/>
  <c r="C178" i="3" s="1"/>
  <c r="W150" i="1"/>
  <c r="B136" i="3"/>
  <c r="T109" i="1"/>
  <c r="W78" i="1"/>
  <c r="B64" i="3"/>
  <c r="U51" i="1"/>
  <c r="B37" i="3"/>
  <c r="T161" i="1"/>
  <c r="B147" i="3" s="1"/>
  <c r="F147" i="3"/>
  <c r="T145" i="1"/>
  <c r="B131" i="3" s="1"/>
  <c r="F131" i="3"/>
  <c r="T73" i="1"/>
  <c r="B59" i="3" s="1"/>
  <c r="F59" i="3"/>
  <c r="T31" i="1"/>
  <c r="U31" i="1" s="1"/>
  <c r="F17" i="3"/>
  <c r="O29" i="1"/>
  <c r="U139" i="1"/>
  <c r="W139" i="1"/>
  <c r="W156" i="1"/>
  <c r="U156" i="1"/>
  <c r="U42" i="1"/>
  <c r="U36" i="1"/>
  <c r="W36" i="1"/>
  <c r="U199" i="1"/>
  <c r="W199" i="1"/>
  <c r="K18" i="1"/>
  <c r="P18" i="1" s="1"/>
  <c r="S18" i="1" s="1"/>
  <c r="S117" i="1"/>
  <c r="W29" i="1"/>
  <c r="K24" i="1"/>
  <c r="P24" i="1" s="1"/>
  <c r="O24" i="1" s="1"/>
  <c r="W77" i="1"/>
  <c r="U47" i="1"/>
  <c r="K163" i="1"/>
  <c r="P163" i="1" s="1"/>
  <c r="O163" i="1" s="1"/>
  <c r="S19" i="1"/>
  <c r="S17" i="1"/>
  <c r="K149" i="1"/>
  <c r="P149" i="1" s="1"/>
  <c r="O149" i="1" s="1"/>
  <c r="K59" i="1"/>
  <c r="P59" i="1" s="1"/>
  <c r="W165" i="1"/>
  <c r="U165" i="1"/>
  <c r="W55" i="1"/>
  <c r="U55" i="1"/>
  <c r="O44" i="1"/>
  <c r="S44" i="1"/>
  <c r="U61" i="1"/>
  <c r="W61" i="1"/>
  <c r="W127" i="1"/>
  <c r="W43" i="1"/>
  <c r="U43" i="1"/>
  <c r="U141" i="1"/>
  <c r="W141" i="1"/>
  <c r="S33" i="1"/>
  <c r="O33" i="1"/>
  <c r="U54" i="1"/>
  <c r="W54" i="1"/>
  <c r="U97" i="1"/>
  <c r="W97" i="1"/>
  <c r="U145" i="1"/>
  <c r="W145" i="1"/>
  <c r="K200" i="1"/>
  <c r="P200" i="1" s="1"/>
  <c r="K194" i="1"/>
  <c r="P194" i="1" s="1"/>
  <c r="O194" i="1" s="1"/>
  <c r="K188" i="1"/>
  <c r="P188" i="1" s="1"/>
  <c r="O188" i="1" s="1"/>
  <c r="K182" i="1"/>
  <c r="P182" i="1" s="1"/>
  <c r="K176" i="1"/>
  <c r="P176" i="1" s="1"/>
  <c r="O176" i="1" s="1"/>
  <c r="K170" i="1"/>
  <c r="P170" i="1" s="1"/>
  <c r="O170" i="1" s="1"/>
  <c r="K164" i="1"/>
  <c r="P164" i="1" s="1"/>
  <c r="O164" i="1" s="1"/>
  <c r="K158" i="1"/>
  <c r="P158" i="1" s="1"/>
  <c r="S158" i="1" s="1"/>
  <c r="K152" i="1"/>
  <c r="P152" i="1" s="1"/>
  <c r="O152" i="1" s="1"/>
  <c r="K146" i="1"/>
  <c r="P146" i="1" s="1"/>
  <c r="K140" i="1"/>
  <c r="P140" i="1" s="1"/>
  <c r="K134" i="1"/>
  <c r="P134" i="1" s="1"/>
  <c r="K128" i="1"/>
  <c r="P128" i="1" s="1"/>
  <c r="O128" i="1" s="1"/>
  <c r="K122" i="1"/>
  <c r="P122" i="1" s="1"/>
  <c r="K116" i="1"/>
  <c r="P116" i="1" s="1"/>
  <c r="K110" i="1"/>
  <c r="P110" i="1" s="1"/>
  <c r="K104" i="1"/>
  <c r="P104" i="1" s="1"/>
  <c r="K98" i="1"/>
  <c r="P98" i="1" s="1"/>
  <c r="K92" i="1"/>
  <c r="P92" i="1" s="1"/>
  <c r="K86" i="1"/>
  <c r="P86" i="1" s="1"/>
  <c r="K80" i="1"/>
  <c r="P80" i="1" s="1"/>
  <c r="K74" i="1"/>
  <c r="P74" i="1" s="1"/>
  <c r="K68" i="1"/>
  <c r="P68" i="1" s="1"/>
  <c r="K62" i="1"/>
  <c r="P62" i="1" s="1"/>
  <c r="K50" i="1"/>
  <c r="P50" i="1" s="1"/>
  <c r="K32" i="1"/>
  <c r="P32" i="1" s="1"/>
  <c r="S32" i="1" s="1"/>
  <c r="S30" i="1"/>
  <c r="O121" i="1"/>
  <c r="O61" i="1"/>
  <c r="W26" i="1"/>
  <c r="W175" i="1"/>
  <c r="W109" i="1"/>
  <c r="W81" i="1"/>
  <c r="O18" i="1"/>
  <c r="U78" i="1"/>
  <c r="S85" i="1"/>
  <c r="W115" i="1"/>
  <c r="W103" i="1"/>
  <c r="S133" i="1"/>
  <c r="U180" i="1"/>
  <c r="U137" i="1"/>
  <c r="S111" i="1"/>
  <c r="S75" i="1"/>
  <c r="K60" i="1"/>
  <c r="P60" i="1" s="1"/>
  <c r="S94" i="1"/>
  <c r="O94" i="1"/>
  <c r="S148" i="1"/>
  <c r="O148" i="1"/>
  <c r="O20" i="1"/>
  <c r="S20" i="1"/>
  <c r="S178" i="1"/>
  <c r="O178" i="1"/>
  <c r="S154" i="1"/>
  <c r="O154" i="1"/>
  <c r="S130" i="1"/>
  <c r="O130" i="1"/>
  <c r="S112" i="1"/>
  <c r="O112" i="1"/>
  <c r="S82" i="1"/>
  <c r="O82" i="1"/>
  <c r="S64" i="1"/>
  <c r="O64" i="1"/>
  <c r="O28" i="1"/>
  <c r="S28" i="1"/>
  <c r="U96" i="1"/>
  <c r="W96" i="1"/>
  <c r="U125" i="1"/>
  <c r="S196" i="1"/>
  <c r="O196" i="1"/>
  <c r="S172" i="1"/>
  <c r="O172" i="1"/>
  <c r="S142" i="1"/>
  <c r="O142" i="1"/>
  <c r="S118" i="1"/>
  <c r="O118" i="1"/>
  <c r="S88" i="1"/>
  <c r="O88" i="1"/>
  <c r="S70" i="1"/>
  <c r="O70" i="1"/>
  <c r="O46" i="1"/>
  <c r="S46" i="1"/>
  <c r="O22" i="1"/>
  <c r="S22" i="1"/>
  <c r="O50" i="1"/>
  <c r="S50" i="1"/>
  <c r="O105" i="1"/>
  <c r="S105" i="1"/>
  <c r="W63" i="1"/>
  <c r="U185" i="1"/>
  <c r="S194" i="1"/>
  <c r="W162" i="1"/>
  <c r="U162" i="1"/>
  <c r="S39" i="1"/>
  <c r="O39" i="1"/>
  <c r="S184" i="1"/>
  <c r="O184" i="1"/>
  <c r="S160" i="1"/>
  <c r="O160" i="1"/>
  <c r="S124" i="1"/>
  <c r="O124" i="1"/>
  <c r="S100" i="1"/>
  <c r="O100" i="1"/>
  <c r="S76" i="1"/>
  <c r="O76" i="1"/>
  <c r="O52" i="1"/>
  <c r="S52" i="1"/>
  <c r="O34" i="1"/>
  <c r="S34" i="1"/>
  <c r="O200" i="1"/>
  <c r="S200" i="1"/>
  <c r="O182" i="1"/>
  <c r="S182" i="1"/>
  <c r="W193" i="1"/>
  <c r="U23" i="1"/>
  <c r="W23" i="1"/>
  <c r="W90" i="1"/>
  <c r="O159" i="1"/>
  <c r="S159" i="1"/>
  <c r="S190" i="1"/>
  <c r="O190" i="1"/>
  <c r="S166" i="1"/>
  <c r="O166" i="1"/>
  <c r="S136" i="1"/>
  <c r="O136" i="1"/>
  <c r="S106" i="1"/>
  <c r="O106" i="1"/>
  <c r="O58" i="1"/>
  <c r="S58" i="1"/>
  <c r="O40" i="1"/>
  <c r="S40" i="1"/>
  <c r="W177" i="1"/>
  <c r="W153" i="1"/>
  <c r="W126" i="1"/>
  <c r="U126" i="1"/>
  <c r="O129" i="1"/>
  <c r="S129" i="1"/>
  <c r="S21" i="1"/>
  <c r="O21" i="1"/>
  <c r="O179" i="1"/>
  <c r="S179" i="1"/>
  <c r="O167" i="1"/>
  <c r="S167" i="1"/>
  <c r="O143" i="1"/>
  <c r="S143" i="1"/>
  <c r="O131" i="1"/>
  <c r="S131" i="1"/>
  <c r="O107" i="1"/>
  <c r="S107" i="1"/>
  <c r="O101" i="1"/>
  <c r="S101" i="1"/>
  <c r="O95" i="1"/>
  <c r="S95" i="1"/>
  <c r="S27" i="1"/>
  <c r="O27" i="1"/>
  <c r="S183" i="1"/>
  <c r="S149" i="1"/>
  <c r="O123" i="1"/>
  <c r="S123" i="1"/>
  <c r="O56" i="1"/>
  <c r="S56" i="1"/>
  <c r="O93" i="1"/>
  <c r="S93" i="1"/>
  <c r="W168" i="1"/>
  <c r="W41" i="1"/>
  <c r="S191" i="1"/>
  <c r="S147" i="1"/>
  <c r="S113" i="1"/>
  <c r="S57" i="1"/>
  <c r="O57" i="1"/>
  <c r="W174" i="1"/>
  <c r="W138" i="1"/>
  <c r="K16" i="1"/>
  <c r="P16" i="1" s="1"/>
  <c r="O16" i="1" s="1"/>
  <c r="S173" i="1"/>
  <c r="S155" i="1"/>
  <c r="O195" i="1"/>
  <c r="S195" i="1"/>
  <c r="O87" i="1"/>
  <c r="S87" i="1"/>
  <c r="S128" i="1"/>
  <c r="S71" i="1"/>
  <c r="S60" i="1"/>
  <c r="O60" i="1"/>
  <c r="V199" i="1"/>
  <c r="C185" i="3" s="1"/>
  <c r="V198" i="1"/>
  <c r="C184" i="3" s="1"/>
  <c r="V193" i="1"/>
  <c r="C179" i="3" s="1"/>
  <c r="V189" i="1"/>
  <c r="C175" i="3" s="1"/>
  <c r="V187" i="1"/>
  <c r="C173" i="3" s="1"/>
  <c r="V186" i="1"/>
  <c r="C172" i="3" s="1"/>
  <c r="V185" i="1"/>
  <c r="C171" i="3" s="1"/>
  <c r="V180" i="1"/>
  <c r="C166" i="3" s="1"/>
  <c r="V177" i="1"/>
  <c r="C163" i="3" s="1"/>
  <c r="V174" i="1"/>
  <c r="C160" i="3" s="1"/>
  <c r="V165" i="1"/>
  <c r="C151" i="3" s="1"/>
  <c r="V162" i="1"/>
  <c r="C148" i="3" s="1"/>
  <c r="V156" i="1"/>
  <c r="C142" i="3" s="1"/>
  <c r="V153" i="1"/>
  <c r="C139" i="3" s="1"/>
  <c r="V150" i="1"/>
  <c r="C136" i="3" s="1"/>
  <c r="V145" i="1"/>
  <c r="C131" i="3" s="1"/>
  <c r="V141" i="1"/>
  <c r="C127" i="3" s="1"/>
  <c r="V139" i="1"/>
  <c r="C125" i="3" s="1"/>
  <c r="V138" i="1"/>
  <c r="C124" i="3" s="1"/>
  <c r="V137" i="1"/>
  <c r="C123" i="3" s="1"/>
  <c r="V135" i="1"/>
  <c r="C121" i="3" s="1"/>
  <c r="V127" i="1"/>
  <c r="C113" i="3" s="1"/>
  <c r="V119" i="1"/>
  <c r="C105" i="3" s="1"/>
  <c r="V115" i="1"/>
  <c r="C101" i="3" s="1"/>
  <c r="V109" i="1"/>
  <c r="C95" i="3" s="1"/>
  <c r="V103" i="1"/>
  <c r="C89" i="3" s="1"/>
  <c r="V102" i="1"/>
  <c r="C88" i="3" s="1"/>
  <c r="V97" i="1"/>
  <c r="C83" i="3" s="1"/>
  <c r="V96" i="1"/>
  <c r="C82" i="3" s="1"/>
  <c r="V91" i="1"/>
  <c r="C77" i="3" s="1"/>
  <c r="V90" i="1"/>
  <c r="C76" i="3" s="1"/>
  <c r="V81" i="1"/>
  <c r="C67" i="3" s="1"/>
  <c r="V78" i="1"/>
  <c r="C64" i="3" s="1"/>
  <c r="V77" i="1"/>
  <c r="C63" i="3" s="1"/>
  <c r="V67" i="1"/>
  <c r="C53" i="3" s="1"/>
  <c r="V66" i="1"/>
  <c r="C52" i="3" s="1"/>
  <c r="V65" i="1"/>
  <c r="C51" i="3" s="1"/>
  <c r="V63" i="1"/>
  <c r="C49" i="3" s="1"/>
  <c r="V61" i="1"/>
  <c r="C47" i="3" s="1"/>
  <c r="V54" i="1"/>
  <c r="C40" i="3" s="1"/>
  <c r="V51" i="1"/>
  <c r="C37" i="3" s="1"/>
  <c r="V49" i="1"/>
  <c r="C35" i="3" s="1"/>
  <c r="V48" i="1"/>
  <c r="C34" i="3" s="1"/>
  <c r="V47" i="1"/>
  <c r="C33" i="3" s="1"/>
  <c r="V43" i="1"/>
  <c r="C29" i="3" s="1"/>
  <c r="V42" i="1"/>
  <c r="C28" i="3" s="1"/>
  <c r="V41" i="1"/>
  <c r="C27" i="3" s="1"/>
  <c r="V36" i="1"/>
  <c r="C22" i="3" s="1"/>
  <c r="V31" i="1"/>
  <c r="C17" i="3" s="1"/>
  <c r="V29" i="1"/>
  <c r="C15" i="3" s="1"/>
  <c r="V26" i="1"/>
  <c r="C12" i="3" s="1"/>
  <c r="V23" i="1"/>
  <c r="C9" i="3" s="1"/>
  <c r="V53" i="1" l="1"/>
  <c r="C39" i="3" s="1"/>
  <c r="V79" i="1"/>
  <c r="C65" i="3" s="1"/>
  <c r="V169" i="1"/>
  <c r="C155" i="3" s="1"/>
  <c r="V181" i="1"/>
  <c r="C167" i="3" s="1"/>
  <c r="W38" i="1"/>
  <c r="X38" i="1" s="1"/>
  <c r="E24" i="3" s="1"/>
  <c r="U90" i="1"/>
  <c r="W73" i="1"/>
  <c r="W121" i="1"/>
  <c r="U127" i="1"/>
  <c r="V171" i="1"/>
  <c r="C157" i="3" s="1"/>
  <c r="W89" i="1"/>
  <c r="X89" i="1" s="1"/>
  <c r="E75" i="3" s="1"/>
  <c r="U73" i="1"/>
  <c r="U121" i="1"/>
  <c r="V55" i="1"/>
  <c r="C41" i="3" s="1"/>
  <c r="V69" i="1"/>
  <c r="C55" i="3" s="1"/>
  <c r="V99" i="1"/>
  <c r="C85" i="3" s="1"/>
  <c r="V121" i="1"/>
  <c r="C107" i="3" s="1"/>
  <c r="U89" i="1"/>
  <c r="W171" i="1"/>
  <c r="W69" i="1"/>
  <c r="W181" i="1"/>
  <c r="W99" i="1"/>
  <c r="V73" i="1"/>
  <c r="C59" i="3" s="1"/>
  <c r="V89" i="1"/>
  <c r="C75" i="3" s="1"/>
  <c r="V126" i="1"/>
  <c r="C112" i="3" s="1"/>
  <c r="U171" i="1"/>
  <c r="U69" i="1"/>
  <c r="U181" i="1"/>
  <c r="U99" i="1"/>
  <c r="T123" i="1"/>
  <c r="W123" i="1" s="1"/>
  <c r="D109" i="3" s="1"/>
  <c r="F109" i="3"/>
  <c r="X177" i="1"/>
  <c r="E163" i="3" s="1"/>
  <c r="D163" i="3"/>
  <c r="T142" i="1"/>
  <c r="W142" i="1" s="1"/>
  <c r="D128" i="3" s="1"/>
  <c r="F128" i="3"/>
  <c r="X103" i="1"/>
  <c r="E89" i="3" s="1"/>
  <c r="D89" i="3"/>
  <c r="X199" i="1"/>
  <c r="E185" i="3" s="1"/>
  <c r="D185" i="3"/>
  <c r="V114" i="1"/>
  <c r="C100" i="3" s="1"/>
  <c r="V197" i="1"/>
  <c r="C183" i="3" s="1"/>
  <c r="T128" i="1"/>
  <c r="U128" i="1" s="1"/>
  <c r="F114" i="3"/>
  <c r="T195" i="1"/>
  <c r="F181" i="3"/>
  <c r="X174" i="1"/>
  <c r="E160" i="3" s="1"/>
  <c r="D160" i="3"/>
  <c r="T107" i="1"/>
  <c r="W107" i="1" s="1"/>
  <c r="D93" i="3" s="1"/>
  <c r="F93" i="3"/>
  <c r="T167" i="1"/>
  <c r="F153" i="3"/>
  <c r="T129" i="1"/>
  <c r="U129" i="1" s="1"/>
  <c r="F115" i="3"/>
  <c r="X153" i="1"/>
  <c r="E139" i="3" s="1"/>
  <c r="D139" i="3"/>
  <c r="T58" i="1"/>
  <c r="F44" i="3"/>
  <c r="X90" i="1"/>
  <c r="E76" i="3" s="1"/>
  <c r="D76" i="3"/>
  <c r="T76" i="1"/>
  <c r="U76" i="1" s="1"/>
  <c r="F62" i="3"/>
  <c r="T160" i="1"/>
  <c r="F146" i="3"/>
  <c r="W83" i="1"/>
  <c r="T105" i="1"/>
  <c r="F91" i="3"/>
  <c r="T50" i="1"/>
  <c r="F36" i="3"/>
  <c r="W125" i="1"/>
  <c r="T20" i="1"/>
  <c r="B6" i="3" s="1"/>
  <c r="F6" i="3"/>
  <c r="X79" i="1"/>
  <c r="E65" i="3" s="1"/>
  <c r="D65" i="3"/>
  <c r="X81" i="1"/>
  <c r="E67" i="3" s="1"/>
  <c r="D67" i="3"/>
  <c r="X171" i="1"/>
  <c r="E157" i="3" s="1"/>
  <c r="D157" i="3"/>
  <c r="X69" i="1"/>
  <c r="E55" i="3" s="1"/>
  <c r="D55" i="3"/>
  <c r="X73" i="1"/>
  <c r="E59" i="3" s="1"/>
  <c r="D59" i="3"/>
  <c r="X121" i="1"/>
  <c r="E107" i="3" s="1"/>
  <c r="D107" i="3"/>
  <c r="T17" i="1"/>
  <c r="F3" i="3"/>
  <c r="T18" i="1"/>
  <c r="F4" i="3"/>
  <c r="U109" i="1"/>
  <c r="B95" i="3"/>
  <c r="W137" i="1"/>
  <c r="B123" i="3"/>
  <c r="U187" i="1"/>
  <c r="B173" i="3"/>
  <c r="W187" i="1"/>
  <c r="W180" i="1"/>
  <c r="B166" i="3"/>
  <c r="X47" i="1"/>
  <c r="E33" i="3" s="1"/>
  <c r="D33" i="3"/>
  <c r="U67" i="1"/>
  <c r="B53" i="3"/>
  <c r="W67" i="1"/>
  <c r="U81" i="1"/>
  <c r="B67" i="3"/>
  <c r="U26" i="1"/>
  <c r="B12" i="3"/>
  <c r="F118" i="3"/>
  <c r="T132" i="1"/>
  <c r="U48" i="1"/>
  <c r="B34" i="3"/>
  <c r="W48" i="1"/>
  <c r="T27" i="1"/>
  <c r="F13" i="3"/>
  <c r="T64" i="1"/>
  <c r="W64" i="1" s="1"/>
  <c r="D50" i="3" s="1"/>
  <c r="F50" i="3"/>
  <c r="W31" i="1"/>
  <c r="B17" i="3"/>
  <c r="U177" i="1"/>
  <c r="B163" i="3"/>
  <c r="V161" i="1"/>
  <c r="C147" i="3" s="1"/>
  <c r="T155" i="1"/>
  <c r="U155" i="1" s="1"/>
  <c r="F141" i="3"/>
  <c r="T57" i="1"/>
  <c r="F43" i="3"/>
  <c r="X168" i="1"/>
  <c r="E154" i="3" s="1"/>
  <c r="D154" i="3"/>
  <c r="T95" i="1"/>
  <c r="W95" i="1" s="1"/>
  <c r="D81" i="3" s="1"/>
  <c r="F81" i="3"/>
  <c r="T131" i="1"/>
  <c r="F117" i="3"/>
  <c r="T179" i="1"/>
  <c r="W179" i="1" s="1"/>
  <c r="D165" i="3" s="1"/>
  <c r="F165" i="3"/>
  <c r="S188" i="1"/>
  <c r="W161" i="1"/>
  <c r="X193" i="1"/>
  <c r="E179" i="3" s="1"/>
  <c r="D179" i="3"/>
  <c r="T100" i="1"/>
  <c r="B86" i="3" s="1"/>
  <c r="F86" i="3"/>
  <c r="T184" i="1"/>
  <c r="B170" i="3" s="1"/>
  <c r="F170" i="3"/>
  <c r="X162" i="1"/>
  <c r="E148" i="3" s="1"/>
  <c r="D148" i="3"/>
  <c r="W197" i="1"/>
  <c r="T22" i="1"/>
  <c r="F8" i="3"/>
  <c r="X96" i="1"/>
  <c r="E82" i="3" s="1"/>
  <c r="D82" i="3"/>
  <c r="X115" i="1"/>
  <c r="E101" i="3" s="1"/>
  <c r="D101" i="3"/>
  <c r="X175" i="1"/>
  <c r="E161" i="3" s="1"/>
  <c r="D161" i="3"/>
  <c r="T32" i="1"/>
  <c r="B18" i="3" s="1"/>
  <c r="F18" i="3"/>
  <c r="T158" i="1"/>
  <c r="B144" i="3" s="1"/>
  <c r="F144" i="3"/>
  <c r="X97" i="1"/>
  <c r="E83" i="3" s="1"/>
  <c r="D83" i="3"/>
  <c r="X141" i="1"/>
  <c r="E127" i="3" s="1"/>
  <c r="D127" i="3"/>
  <c r="W35" i="1"/>
  <c r="X181" i="1"/>
  <c r="E167" i="3" s="1"/>
  <c r="D167" i="3"/>
  <c r="T44" i="1"/>
  <c r="W44" i="1" s="1"/>
  <c r="D30" i="3" s="1"/>
  <c r="F30" i="3"/>
  <c r="X99" i="1"/>
  <c r="E85" i="3" s="1"/>
  <c r="D85" i="3"/>
  <c r="X29" i="1"/>
  <c r="E15" i="3" s="1"/>
  <c r="D15" i="3"/>
  <c r="X156" i="1"/>
  <c r="E142" i="3" s="1"/>
  <c r="D142" i="3"/>
  <c r="X150" i="1"/>
  <c r="E136" i="3" s="1"/>
  <c r="D136" i="3"/>
  <c r="X135" i="1"/>
  <c r="E121" i="3" s="1"/>
  <c r="D121" i="3"/>
  <c r="U193" i="1"/>
  <c r="B179" i="3"/>
  <c r="X102" i="1"/>
  <c r="E88" i="3" s="1"/>
  <c r="D88" i="3"/>
  <c r="U49" i="1"/>
  <c r="B35" i="3"/>
  <c r="W49" i="1"/>
  <c r="U29" i="1"/>
  <c r="B15" i="3"/>
  <c r="U91" i="1"/>
  <c r="B77" i="3"/>
  <c r="W91" i="1"/>
  <c r="T166" i="1"/>
  <c r="W166" i="1" s="1"/>
  <c r="D152" i="3" s="1"/>
  <c r="F152" i="3"/>
  <c r="T130" i="1"/>
  <c r="F116" i="3"/>
  <c r="X109" i="1"/>
  <c r="E95" i="3" s="1"/>
  <c r="D95" i="3"/>
  <c r="T30" i="1"/>
  <c r="W30" i="1" s="1"/>
  <c r="D16" i="3" s="1"/>
  <c r="F16" i="3"/>
  <c r="T144" i="1"/>
  <c r="F130" i="3"/>
  <c r="V83" i="1"/>
  <c r="C69" i="3" s="1"/>
  <c r="V125" i="1"/>
  <c r="C111" i="3" s="1"/>
  <c r="S152" i="1"/>
  <c r="T113" i="1"/>
  <c r="F99" i="3"/>
  <c r="T93" i="1"/>
  <c r="F79" i="3"/>
  <c r="T149" i="1"/>
  <c r="F135" i="3"/>
  <c r="X126" i="1"/>
  <c r="E112" i="3" s="1"/>
  <c r="D112" i="3"/>
  <c r="T106" i="1"/>
  <c r="F92" i="3"/>
  <c r="T190" i="1"/>
  <c r="W190" i="1" s="1"/>
  <c r="D176" i="3" s="1"/>
  <c r="F176" i="3"/>
  <c r="U161" i="1"/>
  <c r="T182" i="1"/>
  <c r="F168" i="3"/>
  <c r="T52" i="1"/>
  <c r="F38" i="3"/>
  <c r="T194" i="1"/>
  <c r="U194" i="1" s="1"/>
  <c r="F180" i="3"/>
  <c r="U197" i="1"/>
  <c r="T88" i="1"/>
  <c r="F74" i="3"/>
  <c r="T172" i="1"/>
  <c r="F158" i="3"/>
  <c r="T82" i="1"/>
  <c r="F68" i="3"/>
  <c r="T154" i="1"/>
  <c r="F140" i="3"/>
  <c r="T148" i="1"/>
  <c r="W148" i="1" s="1"/>
  <c r="D134" i="3" s="1"/>
  <c r="F134" i="3"/>
  <c r="X169" i="1"/>
  <c r="E155" i="3" s="1"/>
  <c r="D155" i="3"/>
  <c r="T85" i="1"/>
  <c r="F71" i="3"/>
  <c r="U35" i="1"/>
  <c r="T117" i="1"/>
  <c r="F103" i="3"/>
  <c r="X36" i="1"/>
  <c r="E22" i="3" s="1"/>
  <c r="D22" i="3"/>
  <c r="X139" i="1"/>
  <c r="E125" i="3" s="1"/>
  <c r="D125" i="3"/>
  <c r="W192" i="1"/>
  <c r="B178" i="3"/>
  <c r="U168" i="1"/>
  <c r="B154" i="3"/>
  <c r="W53" i="1"/>
  <c r="B39" i="3"/>
  <c r="U151" i="1"/>
  <c r="B137" i="3"/>
  <c r="W151" i="1"/>
  <c r="B23" i="3"/>
  <c r="W37" i="1"/>
  <c r="U37" i="1"/>
  <c r="X41" i="1"/>
  <c r="E27" i="3" s="1"/>
  <c r="D27" i="3"/>
  <c r="T34" i="1"/>
  <c r="F20" i="3"/>
  <c r="T70" i="1"/>
  <c r="F56" i="3"/>
  <c r="X165" i="1"/>
  <c r="E151" i="3" s="1"/>
  <c r="D151" i="3"/>
  <c r="U157" i="1"/>
  <c r="B143" i="3"/>
  <c r="X189" i="1"/>
  <c r="E175" i="3" s="1"/>
  <c r="D175" i="3"/>
  <c r="T60" i="1"/>
  <c r="B46" i="3" s="1"/>
  <c r="F46" i="3"/>
  <c r="T87" i="1"/>
  <c r="F73" i="3"/>
  <c r="T147" i="1"/>
  <c r="W147" i="1" s="1"/>
  <c r="D133" i="3" s="1"/>
  <c r="F133" i="3"/>
  <c r="T183" i="1"/>
  <c r="U183" i="1" s="1"/>
  <c r="F169" i="3"/>
  <c r="T101" i="1"/>
  <c r="F87" i="3"/>
  <c r="T143" i="1"/>
  <c r="F129" i="3"/>
  <c r="T40" i="1"/>
  <c r="W40" i="1" s="1"/>
  <c r="D26" i="3" s="1"/>
  <c r="F26" i="3"/>
  <c r="T159" i="1"/>
  <c r="F145" i="3"/>
  <c r="X23" i="1"/>
  <c r="E9" i="3" s="1"/>
  <c r="D9" i="3"/>
  <c r="T124" i="1"/>
  <c r="U124" i="1" s="1"/>
  <c r="F110" i="3"/>
  <c r="T39" i="1"/>
  <c r="F25" i="3"/>
  <c r="D75" i="3"/>
  <c r="T46" i="1"/>
  <c r="W46" i="1" s="1"/>
  <c r="D32" i="3" s="1"/>
  <c r="F32" i="3"/>
  <c r="T28" i="1"/>
  <c r="F14" i="3"/>
  <c r="T75" i="1"/>
  <c r="U75" i="1" s="1"/>
  <c r="F61" i="3"/>
  <c r="X26" i="1"/>
  <c r="E12" i="3" s="1"/>
  <c r="D12" i="3"/>
  <c r="X145" i="1"/>
  <c r="E131" i="3" s="1"/>
  <c r="D131" i="3"/>
  <c r="X54" i="1"/>
  <c r="E40" i="3" s="1"/>
  <c r="D40" i="3"/>
  <c r="X127" i="1"/>
  <c r="E113" i="3" s="1"/>
  <c r="D113" i="3"/>
  <c r="X61" i="1"/>
  <c r="E47" i="3" s="1"/>
  <c r="D47" i="3"/>
  <c r="X77" i="1"/>
  <c r="E63" i="3" s="1"/>
  <c r="D63" i="3"/>
  <c r="F106" i="3"/>
  <c r="T120" i="1"/>
  <c r="U175" i="1"/>
  <c r="B161" i="3"/>
  <c r="U79" i="1"/>
  <c r="B65" i="3"/>
  <c r="X66" i="1"/>
  <c r="E52" i="3" s="1"/>
  <c r="D52" i="3"/>
  <c r="U169" i="1"/>
  <c r="B155" i="3"/>
  <c r="B31" i="3"/>
  <c r="W45" i="1"/>
  <c r="U45" i="1"/>
  <c r="U38" i="1"/>
  <c r="B24" i="3"/>
  <c r="B11" i="3"/>
  <c r="W25" i="1"/>
  <c r="U25" i="1"/>
  <c r="X186" i="1"/>
  <c r="E172" i="3" s="1"/>
  <c r="D172" i="3"/>
  <c r="B70" i="3"/>
  <c r="U84" i="1"/>
  <c r="W84" i="1"/>
  <c r="T33" i="1"/>
  <c r="U33" i="1" s="1"/>
  <c r="F19" i="3"/>
  <c r="T19" i="1"/>
  <c r="W19" i="1" s="1"/>
  <c r="D5" i="3" s="1"/>
  <c r="F5" i="3"/>
  <c r="X65" i="1"/>
  <c r="E51" i="3" s="1"/>
  <c r="D51" i="3"/>
  <c r="W114" i="1"/>
  <c r="B100" i="3"/>
  <c r="V35" i="1"/>
  <c r="C21" i="3" s="1"/>
  <c r="V157" i="1"/>
  <c r="C143" i="3" s="1"/>
  <c r="T71" i="1"/>
  <c r="F57" i="3"/>
  <c r="X138" i="1"/>
  <c r="E124" i="3" s="1"/>
  <c r="D124" i="3"/>
  <c r="T191" i="1"/>
  <c r="F177" i="3"/>
  <c r="T56" i="1"/>
  <c r="F42" i="3"/>
  <c r="T21" i="1"/>
  <c r="W21" i="1" s="1"/>
  <c r="D7" i="3" s="1"/>
  <c r="F7" i="3"/>
  <c r="T136" i="1"/>
  <c r="B122" i="3" s="1"/>
  <c r="F122" i="3"/>
  <c r="T200" i="1"/>
  <c r="F186" i="3"/>
  <c r="U83" i="1"/>
  <c r="X63" i="1"/>
  <c r="E49" i="3" s="1"/>
  <c r="D49" i="3"/>
  <c r="T118" i="1"/>
  <c r="U118" i="1" s="1"/>
  <c r="F104" i="3"/>
  <c r="T196" i="1"/>
  <c r="U196" i="1" s="1"/>
  <c r="F182" i="3"/>
  <c r="T112" i="1"/>
  <c r="U112" i="1" s="1"/>
  <c r="F98" i="3"/>
  <c r="T178" i="1"/>
  <c r="W178" i="1" s="1"/>
  <c r="D164" i="3" s="1"/>
  <c r="F164" i="3"/>
  <c r="T94" i="1"/>
  <c r="B80" i="3" s="1"/>
  <c r="F80" i="3"/>
  <c r="T111" i="1"/>
  <c r="F97" i="3"/>
  <c r="T133" i="1"/>
  <c r="U133" i="1" s="1"/>
  <c r="F119" i="3"/>
  <c r="X43" i="1"/>
  <c r="E29" i="3" s="1"/>
  <c r="D29" i="3"/>
  <c r="X55" i="1"/>
  <c r="E41" i="3" s="1"/>
  <c r="D41" i="3"/>
  <c r="W157" i="1"/>
  <c r="U192" i="1"/>
  <c r="W42" i="1"/>
  <c r="X78" i="1"/>
  <c r="E64" i="3" s="1"/>
  <c r="D64" i="3"/>
  <c r="U153" i="1"/>
  <c r="B139" i="3"/>
  <c r="F94" i="3"/>
  <c r="T108" i="1"/>
  <c r="T72" i="1"/>
  <c r="F58" i="3"/>
  <c r="U115" i="1"/>
  <c r="B101" i="3"/>
  <c r="W185" i="1"/>
  <c r="B171" i="3"/>
  <c r="T173" i="1"/>
  <c r="W173" i="1" s="1"/>
  <c r="D159" i="3" s="1"/>
  <c r="F159" i="3"/>
  <c r="S170" i="1"/>
  <c r="S176" i="1"/>
  <c r="S24" i="1"/>
  <c r="S163" i="1"/>
  <c r="S164" i="1"/>
  <c r="O59" i="1"/>
  <c r="S59" i="1"/>
  <c r="V32" i="1"/>
  <c r="C18" i="3" s="1"/>
  <c r="V158" i="1"/>
  <c r="C144" i="3" s="1"/>
  <c r="O32" i="1"/>
  <c r="O158" i="1"/>
  <c r="O62" i="1"/>
  <c r="S62" i="1"/>
  <c r="O98" i="1"/>
  <c r="S98" i="1"/>
  <c r="O134" i="1"/>
  <c r="S134" i="1"/>
  <c r="U111" i="1"/>
  <c r="W133" i="1"/>
  <c r="D119" i="3" s="1"/>
  <c r="O68" i="1"/>
  <c r="S68" i="1"/>
  <c r="O104" i="1"/>
  <c r="S104" i="1"/>
  <c r="O140" i="1"/>
  <c r="S140" i="1"/>
  <c r="O74" i="1"/>
  <c r="S74" i="1"/>
  <c r="O110" i="1"/>
  <c r="S110" i="1"/>
  <c r="O146" i="1"/>
  <c r="S146" i="1"/>
  <c r="U30" i="1"/>
  <c r="O80" i="1"/>
  <c r="S80" i="1"/>
  <c r="O116" i="1"/>
  <c r="S116" i="1"/>
  <c r="O86" i="1"/>
  <c r="S86" i="1"/>
  <c r="O122" i="1"/>
  <c r="S122" i="1"/>
  <c r="U85" i="1"/>
  <c r="W85" i="1"/>
  <c r="D71" i="3" s="1"/>
  <c r="O92" i="1"/>
  <c r="S92" i="1"/>
  <c r="W155" i="1"/>
  <c r="D141" i="3" s="1"/>
  <c r="W57" i="1"/>
  <c r="D43" i="3" s="1"/>
  <c r="U57" i="1"/>
  <c r="U131" i="1"/>
  <c r="W131" i="1"/>
  <c r="D117" i="3" s="1"/>
  <c r="U179" i="1"/>
  <c r="U32" i="1"/>
  <c r="W32" i="1"/>
  <c r="D18" i="3" s="1"/>
  <c r="U40" i="1"/>
  <c r="U159" i="1"/>
  <c r="W159" i="1"/>
  <c r="D145" i="3" s="1"/>
  <c r="W158" i="1"/>
  <c r="D144" i="3" s="1"/>
  <c r="U158" i="1"/>
  <c r="U34" i="1"/>
  <c r="W34" i="1"/>
  <c r="D20" i="3" s="1"/>
  <c r="W82" i="1"/>
  <c r="D68" i="3" s="1"/>
  <c r="U82" i="1"/>
  <c r="W154" i="1"/>
  <c r="D140" i="3" s="1"/>
  <c r="U154" i="1"/>
  <c r="W28" i="1"/>
  <c r="D14" i="3" s="1"/>
  <c r="U28" i="1"/>
  <c r="U87" i="1"/>
  <c r="W87" i="1"/>
  <c r="D73" i="3" s="1"/>
  <c r="W101" i="1"/>
  <c r="D87" i="3" s="1"/>
  <c r="U101" i="1"/>
  <c r="W58" i="1"/>
  <c r="D44" i="3" s="1"/>
  <c r="U58" i="1"/>
  <c r="U182" i="1"/>
  <c r="W182" i="1"/>
  <c r="D168" i="3" s="1"/>
  <c r="W70" i="1"/>
  <c r="D56" i="3" s="1"/>
  <c r="W112" i="1"/>
  <c r="D98" i="3" s="1"/>
  <c r="U178" i="1"/>
  <c r="W149" i="1"/>
  <c r="D135" i="3" s="1"/>
  <c r="U149" i="1"/>
  <c r="U71" i="1"/>
  <c r="W71" i="1"/>
  <c r="D57" i="3" s="1"/>
  <c r="W191" i="1"/>
  <c r="D177" i="3" s="1"/>
  <c r="U191" i="1"/>
  <c r="U56" i="1"/>
  <c r="W56" i="1"/>
  <c r="D42" i="3" s="1"/>
  <c r="U166" i="1"/>
  <c r="W39" i="1"/>
  <c r="D25" i="3" s="1"/>
  <c r="U39" i="1"/>
  <c r="W22" i="1"/>
  <c r="D8" i="3" s="1"/>
  <c r="U22" i="1"/>
  <c r="W93" i="1"/>
  <c r="D79" i="3" s="1"/>
  <c r="U93" i="1"/>
  <c r="W136" i="1"/>
  <c r="D122" i="3" s="1"/>
  <c r="U136" i="1"/>
  <c r="U105" i="1"/>
  <c r="W105" i="1"/>
  <c r="D91" i="3" s="1"/>
  <c r="V136" i="1"/>
  <c r="C122" i="3" s="1"/>
  <c r="W195" i="1"/>
  <c r="D181" i="3" s="1"/>
  <c r="U195" i="1"/>
  <c r="U167" i="1"/>
  <c r="W167" i="1"/>
  <c r="D153" i="3" s="1"/>
  <c r="W200" i="1"/>
  <c r="D186" i="3" s="1"/>
  <c r="U200" i="1"/>
  <c r="U88" i="1"/>
  <c r="W88" i="1"/>
  <c r="D74" i="3" s="1"/>
  <c r="W172" i="1"/>
  <c r="D158" i="3" s="1"/>
  <c r="U172" i="1"/>
  <c r="W130" i="1"/>
  <c r="D116" i="3" s="1"/>
  <c r="U130" i="1"/>
  <c r="W113" i="1"/>
  <c r="D99" i="3" s="1"/>
  <c r="U113" i="1"/>
  <c r="U50" i="1"/>
  <c r="W50" i="1"/>
  <c r="D36" i="3" s="1"/>
  <c r="V100" i="1"/>
  <c r="C86" i="3" s="1"/>
  <c r="W27" i="1"/>
  <c r="D13" i="3" s="1"/>
  <c r="U27" i="1"/>
  <c r="W106" i="1"/>
  <c r="D92" i="3" s="1"/>
  <c r="U106" i="1"/>
  <c r="U190" i="1"/>
  <c r="W76" i="1"/>
  <c r="D62" i="3" s="1"/>
  <c r="U160" i="1"/>
  <c r="W160" i="1"/>
  <c r="D146" i="3" s="1"/>
  <c r="W60" i="1"/>
  <c r="D46" i="3" s="1"/>
  <c r="U173" i="1" l="1"/>
  <c r="W33" i="1"/>
  <c r="D19" i="3" s="1"/>
  <c r="U46" i="1"/>
  <c r="U123" i="1"/>
  <c r="W128" i="1"/>
  <c r="D114" i="3" s="1"/>
  <c r="U94" i="1"/>
  <c r="U95" i="1"/>
  <c r="U44" i="1"/>
  <c r="U21" i="1"/>
  <c r="W183" i="1"/>
  <c r="D169" i="3" s="1"/>
  <c r="W94" i="1"/>
  <c r="D80" i="3" s="1"/>
  <c r="U148" i="1"/>
  <c r="W196" i="1"/>
  <c r="D182" i="3" s="1"/>
  <c r="V94" i="1"/>
  <c r="C80" i="3" s="1"/>
  <c r="V60" i="1"/>
  <c r="C46" i="3" s="1"/>
  <c r="U64" i="1"/>
  <c r="W194" i="1"/>
  <c r="D180" i="3" s="1"/>
  <c r="U107" i="1"/>
  <c r="V184" i="1"/>
  <c r="C170" i="3" s="1"/>
  <c r="W124" i="1"/>
  <c r="D110" i="3" s="1"/>
  <c r="U184" i="1"/>
  <c r="D24" i="3"/>
  <c r="U60" i="1"/>
  <c r="W184" i="1"/>
  <c r="D170" i="3" s="1"/>
  <c r="T140" i="1"/>
  <c r="B126" i="3" s="1"/>
  <c r="F126" i="3"/>
  <c r="B104" i="3"/>
  <c r="V118" i="1"/>
  <c r="C104" i="3" s="1"/>
  <c r="X84" i="1"/>
  <c r="E70" i="3" s="1"/>
  <c r="D70" i="3"/>
  <c r="B56" i="3"/>
  <c r="V70" i="1"/>
  <c r="C56" i="3" s="1"/>
  <c r="B38" i="3"/>
  <c r="V52" i="1"/>
  <c r="C38" i="3" s="1"/>
  <c r="V20" i="1"/>
  <c r="C6" i="3" s="1"/>
  <c r="T176" i="1"/>
  <c r="F162" i="3"/>
  <c r="X185" i="1"/>
  <c r="E171" i="3" s="1"/>
  <c r="D171" i="3"/>
  <c r="V200" i="1"/>
  <c r="C186" i="3" s="1"/>
  <c r="B186" i="3"/>
  <c r="B7" i="3"/>
  <c r="V21" i="1"/>
  <c r="C7" i="3" s="1"/>
  <c r="X114" i="1"/>
  <c r="E100" i="3" s="1"/>
  <c r="D100" i="3"/>
  <c r="B19" i="3"/>
  <c r="V33" i="1"/>
  <c r="C19" i="3" s="1"/>
  <c r="X45" i="1"/>
  <c r="E31" i="3" s="1"/>
  <c r="D31" i="3"/>
  <c r="B134" i="3"/>
  <c r="V148" i="1"/>
  <c r="C134" i="3" s="1"/>
  <c r="B158" i="3"/>
  <c r="V172" i="1"/>
  <c r="C158" i="3" s="1"/>
  <c r="B176" i="3"/>
  <c r="V190" i="1"/>
  <c r="C176" i="3" s="1"/>
  <c r="V149" i="1"/>
  <c r="C135" i="3" s="1"/>
  <c r="B135" i="3"/>
  <c r="X91" i="1"/>
  <c r="E77" i="3" s="1"/>
  <c r="D77" i="3"/>
  <c r="B8" i="3"/>
  <c r="V22" i="1"/>
  <c r="C8" i="3" s="1"/>
  <c r="B50" i="3"/>
  <c r="V64" i="1"/>
  <c r="C50" i="3" s="1"/>
  <c r="W132" i="1"/>
  <c r="B118" i="3"/>
  <c r="V132" i="1"/>
  <c r="C118" i="3" s="1"/>
  <c r="U132" i="1"/>
  <c r="X67" i="1"/>
  <c r="E53" i="3" s="1"/>
  <c r="D53" i="3"/>
  <c r="X180" i="1"/>
  <c r="E166" i="3" s="1"/>
  <c r="D166" i="3"/>
  <c r="V105" i="1"/>
  <c r="C91" i="3" s="1"/>
  <c r="B91" i="3"/>
  <c r="T80" i="1"/>
  <c r="B66" i="3" s="1"/>
  <c r="F66" i="3"/>
  <c r="X157" i="1"/>
  <c r="E143" i="3" s="1"/>
  <c r="D143" i="3"/>
  <c r="X197" i="1"/>
  <c r="E183" i="3" s="1"/>
  <c r="D183" i="3"/>
  <c r="X83" i="1"/>
  <c r="E69" i="3" s="1"/>
  <c r="D69" i="3"/>
  <c r="B128" i="3"/>
  <c r="V142" i="1"/>
  <c r="C128" i="3" s="1"/>
  <c r="U70" i="1"/>
  <c r="W118" i="1"/>
  <c r="D104" i="3" s="1"/>
  <c r="T164" i="1"/>
  <c r="V164" i="1" s="1"/>
  <c r="F150" i="3"/>
  <c r="B42" i="3"/>
  <c r="V56" i="1"/>
  <c r="C42" i="3" s="1"/>
  <c r="B57" i="3"/>
  <c r="V71" i="1"/>
  <c r="C57" i="3" s="1"/>
  <c r="B71" i="3"/>
  <c r="V85" i="1"/>
  <c r="C71" i="3" s="1"/>
  <c r="B140" i="3"/>
  <c r="V154" i="1"/>
  <c r="C140" i="3" s="1"/>
  <c r="B74" i="3"/>
  <c r="V88" i="1"/>
  <c r="C74" i="3" s="1"/>
  <c r="B92" i="3"/>
  <c r="V106" i="1"/>
  <c r="C92" i="3" s="1"/>
  <c r="V93" i="1"/>
  <c r="C79" i="3" s="1"/>
  <c r="B79" i="3"/>
  <c r="X35" i="1"/>
  <c r="E21" i="3" s="1"/>
  <c r="D21" i="3"/>
  <c r="B13" i="3"/>
  <c r="V27" i="1"/>
  <c r="C13" i="3" s="1"/>
  <c r="X125" i="1"/>
  <c r="E111" i="3" s="1"/>
  <c r="D111" i="3"/>
  <c r="T110" i="1"/>
  <c r="B96" i="3" s="1"/>
  <c r="F96" i="3"/>
  <c r="B164" i="3"/>
  <c r="V178" i="1"/>
  <c r="C164" i="3" s="1"/>
  <c r="B129" i="3"/>
  <c r="V143" i="1"/>
  <c r="C129" i="3" s="1"/>
  <c r="X37" i="1"/>
  <c r="E23" i="3" s="1"/>
  <c r="D23" i="3"/>
  <c r="X187" i="1"/>
  <c r="E173" i="3" s="1"/>
  <c r="D173" i="3"/>
  <c r="T86" i="1"/>
  <c r="B72" i="3" s="1"/>
  <c r="F72" i="3"/>
  <c r="T74" i="1"/>
  <c r="B60" i="3" s="1"/>
  <c r="F60" i="3"/>
  <c r="T104" i="1"/>
  <c r="B90" i="3" s="1"/>
  <c r="F90" i="3"/>
  <c r="T62" i="1"/>
  <c r="B48" i="3" s="1"/>
  <c r="F48" i="3"/>
  <c r="T163" i="1"/>
  <c r="B149" i="3" s="1"/>
  <c r="F149" i="3"/>
  <c r="B97" i="3"/>
  <c r="V111" i="1"/>
  <c r="C97" i="3" s="1"/>
  <c r="B98" i="3"/>
  <c r="V112" i="1"/>
  <c r="C98" i="3" s="1"/>
  <c r="B14" i="3"/>
  <c r="V28" i="1"/>
  <c r="C14" i="3" s="1"/>
  <c r="B25" i="3"/>
  <c r="V39" i="1"/>
  <c r="C25" i="3" s="1"/>
  <c r="B145" i="3"/>
  <c r="V159" i="1"/>
  <c r="C145" i="3" s="1"/>
  <c r="B87" i="3"/>
  <c r="V101" i="1"/>
  <c r="C87" i="3" s="1"/>
  <c r="B73" i="3"/>
  <c r="V87" i="1"/>
  <c r="C73" i="3" s="1"/>
  <c r="B20" i="3"/>
  <c r="V34" i="1"/>
  <c r="C20" i="3" s="1"/>
  <c r="X151" i="1"/>
  <c r="E137" i="3" s="1"/>
  <c r="D137" i="3"/>
  <c r="B168" i="3"/>
  <c r="V182" i="1"/>
  <c r="C168" i="3" s="1"/>
  <c r="W144" i="1"/>
  <c r="B130" i="3"/>
  <c r="U144" i="1"/>
  <c r="V144" i="1"/>
  <c r="C130" i="3" s="1"/>
  <c r="B116" i="3"/>
  <c r="V130" i="1"/>
  <c r="C116" i="3" s="1"/>
  <c r="B117" i="3"/>
  <c r="V131" i="1"/>
  <c r="C117" i="3" s="1"/>
  <c r="B43" i="3"/>
  <c r="V57" i="1"/>
  <c r="C43" i="3" s="1"/>
  <c r="X48" i="1"/>
  <c r="E34" i="3" s="1"/>
  <c r="D34" i="3"/>
  <c r="B4" i="3"/>
  <c r="V18" i="1"/>
  <c r="C4" i="3" s="1"/>
  <c r="U18" i="1"/>
  <c r="W18" i="1"/>
  <c r="B146" i="3"/>
  <c r="V160" i="1"/>
  <c r="C146" i="3" s="1"/>
  <c r="B44" i="3"/>
  <c r="V58" i="1"/>
  <c r="C44" i="3" s="1"/>
  <c r="B153" i="3"/>
  <c r="V167" i="1"/>
  <c r="C153" i="3" s="1"/>
  <c r="B181" i="3"/>
  <c r="V195" i="1"/>
  <c r="C181" i="3" s="1"/>
  <c r="T122" i="1"/>
  <c r="B108" i="3" s="1"/>
  <c r="F108" i="3"/>
  <c r="T98" i="1"/>
  <c r="B84" i="3" s="1"/>
  <c r="F84" i="3"/>
  <c r="B119" i="3"/>
  <c r="V133" i="1"/>
  <c r="C119" i="3" s="1"/>
  <c r="B133" i="3"/>
  <c r="V147" i="1"/>
  <c r="C133" i="3" s="1"/>
  <c r="X53" i="1"/>
  <c r="E39" i="3" s="1"/>
  <c r="D39" i="3"/>
  <c r="B165" i="3"/>
  <c r="V179" i="1"/>
  <c r="C165" i="3" s="1"/>
  <c r="W52" i="1"/>
  <c r="D38" i="3" s="1"/>
  <c r="U143" i="1"/>
  <c r="U100" i="1"/>
  <c r="W20" i="1"/>
  <c r="D6" i="3" s="1"/>
  <c r="U52" i="1"/>
  <c r="W143" i="1"/>
  <c r="D129" i="3" s="1"/>
  <c r="U147" i="1"/>
  <c r="W111" i="1"/>
  <c r="D97" i="3" s="1"/>
  <c r="B58" i="3"/>
  <c r="W72" i="1"/>
  <c r="V72" i="1"/>
  <c r="C58" i="3" s="1"/>
  <c r="U72" i="1"/>
  <c r="V191" i="1"/>
  <c r="C177" i="3" s="1"/>
  <c r="B177" i="3"/>
  <c r="U19" i="1"/>
  <c r="B5" i="3"/>
  <c r="V19" i="1"/>
  <c r="C5" i="3" s="1"/>
  <c r="W120" i="1"/>
  <c r="B106" i="3"/>
  <c r="V120" i="1"/>
  <c r="C106" i="3" s="1"/>
  <c r="U120" i="1"/>
  <c r="B68" i="3"/>
  <c r="V82" i="1"/>
  <c r="C68" i="3" s="1"/>
  <c r="V113" i="1"/>
  <c r="C99" i="3" s="1"/>
  <c r="B99" i="3"/>
  <c r="X161" i="1"/>
  <c r="E147" i="3" s="1"/>
  <c r="D147" i="3"/>
  <c r="X31" i="1"/>
  <c r="E17" i="3" s="1"/>
  <c r="D17" i="3"/>
  <c r="V50" i="1"/>
  <c r="C36" i="3" s="1"/>
  <c r="B36" i="3"/>
  <c r="T92" i="1"/>
  <c r="B78" i="3" s="1"/>
  <c r="F78" i="3"/>
  <c r="X25" i="1"/>
  <c r="E11" i="3" s="1"/>
  <c r="D11" i="3"/>
  <c r="B61" i="3"/>
  <c r="V75" i="1"/>
  <c r="C61" i="3" s="1"/>
  <c r="B115" i="3"/>
  <c r="V129" i="1"/>
  <c r="C115" i="3" s="1"/>
  <c r="W100" i="1"/>
  <c r="D86" i="3" s="1"/>
  <c r="W129" i="1"/>
  <c r="D115" i="3" s="1"/>
  <c r="U20" i="1"/>
  <c r="U142" i="1"/>
  <c r="T116" i="1"/>
  <c r="B102" i="3" s="1"/>
  <c r="F102" i="3"/>
  <c r="T146" i="1"/>
  <c r="B132" i="3" s="1"/>
  <c r="F132" i="3"/>
  <c r="T68" i="1"/>
  <c r="B54" i="3" s="1"/>
  <c r="F54" i="3"/>
  <c r="T134" i="1"/>
  <c r="B120" i="3" s="1"/>
  <c r="F120" i="3"/>
  <c r="W75" i="1"/>
  <c r="D61" i="3" s="1"/>
  <c r="T59" i="1"/>
  <c r="B45" i="3" s="1"/>
  <c r="F45" i="3"/>
  <c r="T24" i="1"/>
  <c r="V24" i="1" s="1"/>
  <c r="C10" i="3" s="1"/>
  <c r="F10" i="3"/>
  <c r="W108" i="1"/>
  <c r="B94" i="3"/>
  <c r="U108" i="1"/>
  <c r="V108" i="1"/>
  <c r="C94" i="3" s="1"/>
  <c r="X42" i="1"/>
  <c r="E28" i="3" s="1"/>
  <c r="D28" i="3"/>
  <c r="B182" i="3"/>
  <c r="V196" i="1"/>
  <c r="C182" i="3" s="1"/>
  <c r="B32" i="3"/>
  <c r="V46" i="1"/>
  <c r="C32" i="3" s="1"/>
  <c r="B110" i="3"/>
  <c r="V124" i="1"/>
  <c r="C110" i="3" s="1"/>
  <c r="B26" i="3"/>
  <c r="V40" i="1"/>
  <c r="C26" i="3" s="1"/>
  <c r="B169" i="3"/>
  <c r="V183" i="1"/>
  <c r="C169" i="3" s="1"/>
  <c r="X192" i="1"/>
  <c r="E178" i="3" s="1"/>
  <c r="D178" i="3"/>
  <c r="U117" i="1"/>
  <c r="B103" i="3"/>
  <c r="W117" i="1"/>
  <c r="V117" i="1"/>
  <c r="C103" i="3" s="1"/>
  <c r="B180" i="3"/>
  <c r="V194" i="1"/>
  <c r="C180" i="3" s="1"/>
  <c r="T152" i="1"/>
  <c r="F138" i="3"/>
  <c r="B16" i="3"/>
  <c r="V30" i="1"/>
  <c r="C16" i="3" s="1"/>
  <c r="B152" i="3"/>
  <c r="V166" i="1"/>
  <c r="C152" i="3" s="1"/>
  <c r="X49" i="1"/>
  <c r="E35" i="3" s="1"/>
  <c r="D35" i="3"/>
  <c r="B30" i="3"/>
  <c r="V44" i="1"/>
  <c r="C30" i="3" s="1"/>
  <c r="T188" i="1"/>
  <c r="F174" i="3"/>
  <c r="B81" i="3"/>
  <c r="V95" i="1"/>
  <c r="C81" i="3" s="1"/>
  <c r="B141" i="3"/>
  <c r="V155" i="1"/>
  <c r="C141" i="3" s="1"/>
  <c r="X137" i="1"/>
  <c r="E123" i="3" s="1"/>
  <c r="D123" i="3"/>
  <c r="B3" i="3"/>
  <c r="V17" i="1"/>
  <c r="C3" i="3" s="1"/>
  <c r="U17" i="1"/>
  <c r="W17" i="1"/>
  <c r="B62" i="3"/>
  <c r="V76" i="1"/>
  <c r="C62" i="3" s="1"/>
  <c r="B93" i="3"/>
  <c r="V107" i="1"/>
  <c r="C93" i="3" s="1"/>
  <c r="B114" i="3"/>
  <c r="V128" i="1"/>
  <c r="C114" i="3" s="1"/>
  <c r="B109" i="3"/>
  <c r="V123" i="1"/>
  <c r="C109" i="3" s="1"/>
  <c r="V173" i="1"/>
  <c r="C159" i="3" s="1"/>
  <c r="B159" i="3"/>
  <c r="T170" i="1"/>
  <c r="F156" i="3"/>
  <c r="X19" i="1"/>
  <c r="E5" i="3" s="1"/>
  <c r="V176" i="1"/>
  <c r="C162" i="3" s="1"/>
  <c r="V163" i="1"/>
  <c r="C149" i="3" s="1"/>
  <c r="W164" i="1"/>
  <c r="V59" i="1"/>
  <c r="C45" i="3" s="1"/>
  <c r="U80" i="1"/>
  <c r="X133" i="1"/>
  <c r="E119" i="3" s="1"/>
  <c r="X85" i="1"/>
  <c r="E71" i="3" s="1"/>
  <c r="X44" i="1"/>
  <c r="E30" i="3" s="1"/>
  <c r="U146" i="1"/>
  <c r="W146" i="1"/>
  <c r="D132" i="3" s="1"/>
  <c r="V146" i="1"/>
  <c r="C132" i="3" s="1"/>
  <c r="W68" i="1"/>
  <c r="D54" i="3" s="1"/>
  <c r="V68" i="1"/>
  <c r="C54" i="3" s="1"/>
  <c r="U92" i="1"/>
  <c r="W140" i="1"/>
  <c r="D126" i="3" s="1"/>
  <c r="U140" i="1"/>
  <c r="V140" i="1"/>
  <c r="C126" i="3" s="1"/>
  <c r="U110" i="1"/>
  <c r="W104" i="1"/>
  <c r="D90" i="3" s="1"/>
  <c r="U122" i="1"/>
  <c r="V98" i="1"/>
  <c r="C84" i="3" s="1"/>
  <c r="X30" i="1"/>
  <c r="E16" i="3" s="1"/>
  <c r="X33" i="1"/>
  <c r="E19" i="3" s="1"/>
  <c r="X190" i="1"/>
  <c r="E176" i="3" s="1"/>
  <c r="X194" i="1"/>
  <c r="E180" i="3" s="1"/>
  <c r="X105" i="1"/>
  <c r="E91" i="3" s="1"/>
  <c r="X20" i="1"/>
  <c r="E6" i="3" s="1"/>
  <c r="X39" i="1"/>
  <c r="E25" i="3" s="1"/>
  <c r="X21" i="1"/>
  <c r="E7" i="3" s="1"/>
  <c r="X32" i="1"/>
  <c r="E18" i="3" s="1"/>
  <c r="X95" i="1"/>
  <c r="E81" i="3" s="1"/>
  <c r="X100" i="1"/>
  <c r="E86" i="3" s="1"/>
  <c r="X195" i="1"/>
  <c r="E181" i="3" s="1"/>
  <c r="X118" i="1"/>
  <c r="E104" i="3" s="1"/>
  <c r="X160" i="1"/>
  <c r="E146" i="3" s="1"/>
  <c r="X167" i="1"/>
  <c r="E153" i="3" s="1"/>
  <c r="X128" i="1"/>
  <c r="E114" i="3" s="1"/>
  <c r="X182" i="1"/>
  <c r="E168" i="3" s="1"/>
  <c r="X147" i="1"/>
  <c r="E133" i="3" s="1"/>
  <c r="X34" i="1"/>
  <c r="E20" i="3" s="1"/>
  <c r="X159" i="1"/>
  <c r="E145" i="3" s="1"/>
  <c r="X46" i="1"/>
  <c r="E32" i="3" s="1"/>
  <c r="X64" i="1"/>
  <c r="E50" i="3" s="1"/>
  <c r="X112" i="1"/>
  <c r="E98" i="3" s="1"/>
  <c r="X28" i="1"/>
  <c r="E14" i="3" s="1"/>
  <c r="X106" i="1"/>
  <c r="E92" i="3" s="1"/>
  <c r="X113" i="1"/>
  <c r="E99" i="3" s="1"/>
  <c r="X172" i="1"/>
  <c r="E158" i="3" s="1"/>
  <c r="X200" i="1"/>
  <c r="E186" i="3" s="1"/>
  <c r="X136" i="1"/>
  <c r="E122" i="3" s="1"/>
  <c r="X184" i="1"/>
  <c r="E170" i="3" s="1"/>
  <c r="X94" i="1"/>
  <c r="E80" i="3" s="1"/>
  <c r="X142" i="1"/>
  <c r="E128" i="3" s="1"/>
  <c r="X143" i="1"/>
  <c r="E129" i="3" s="1"/>
  <c r="X173" i="1"/>
  <c r="E159" i="3" s="1"/>
  <c r="X82" i="1"/>
  <c r="E68" i="3" s="1"/>
  <c r="X179" i="1"/>
  <c r="E165" i="3" s="1"/>
  <c r="X57" i="1"/>
  <c r="E43" i="3" s="1"/>
  <c r="X124" i="1"/>
  <c r="E110" i="3" s="1"/>
  <c r="X50" i="1"/>
  <c r="E36" i="3" s="1"/>
  <c r="X88" i="1"/>
  <c r="E74" i="3" s="1"/>
  <c r="X22" i="1"/>
  <c r="E8" i="3" s="1"/>
  <c r="X166" i="1"/>
  <c r="E152" i="3" s="1"/>
  <c r="X191" i="1"/>
  <c r="E177" i="3" s="1"/>
  <c r="X70" i="1"/>
  <c r="E56" i="3" s="1"/>
  <c r="X87" i="1"/>
  <c r="E73" i="3" s="1"/>
  <c r="X196" i="1"/>
  <c r="E182" i="3" s="1"/>
  <c r="X131" i="1"/>
  <c r="E117" i="3" s="1"/>
  <c r="X123" i="1"/>
  <c r="E109" i="3" s="1"/>
  <c r="X129" i="1"/>
  <c r="E115" i="3" s="1"/>
  <c r="X56" i="1"/>
  <c r="E42" i="3" s="1"/>
  <c r="X154" i="1"/>
  <c r="E140" i="3" s="1"/>
  <c r="X76" i="1"/>
  <c r="E62" i="3" s="1"/>
  <c r="X27" i="1"/>
  <c r="E13" i="3" s="1"/>
  <c r="X130" i="1"/>
  <c r="E116" i="3" s="1"/>
  <c r="X107" i="1"/>
  <c r="E93" i="3" s="1"/>
  <c r="X93" i="1"/>
  <c r="E79" i="3" s="1"/>
  <c r="X71" i="1"/>
  <c r="E57" i="3" s="1"/>
  <c r="X149" i="1"/>
  <c r="E135" i="3" s="1"/>
  <c r="X178" i="1"/>
  <c r="E164" i="3" s="1"/>
  <c r="X58" i="1"/>
  <c r="E44" i="3" s="1"/>
  <c r="X101" i="1"/>
  <c r="E87" i="3" s="1"/>
  <c r="X148" i="1"/>
  <c r="E134" i="3" s="1"/>
  <c r="X158" i="1"/>
  <c r="E144" i="3" s="1"/>
  <c r="X40" i="1"/>
  <c r="E26" i="3" s="1"/>
  <c r="X155" i="1"/>
  <c r="E141" i="3" s="1"/>
  <c r="X60" i="1"/>
  <c r="E46" i="3" s="1"/>
  <c r="W163" i="1" l="1"/>
  <c r="D149" i="3" s="1"/>
  <c r="U98" i="1"/>
  <c r="V74" i="1"/>
  <c r="C60" i="3" s="1"/>
  <c r="U74" i="1"/>
  <c r="W110" i="1"/>
  <c r="D96" i="3" s="1"/>
  <c r="X75" i="1"/>
  <c r="E61" i="3" s="1"/>
  <c r="V116" i="1"/>
  <c r="C102" i="3" s="1"/>
  <c r="W98" i="1"/>
  <c r="D84" i="3" s="1"/>
  <c r="W62" i="1"/>
  <c r="D48" i="3" s="1"/>
  <c r="U86" i="1"/>
  <c r="U68" i="1"/>
  <c r="W59" i="1"/>
  <c r="D45" i="3" s="1"/>
  <c r="U163" i="1"/>
  <c r="V86" i="1"/>
  <c r="C72" i="3" s="1"/>
  <c r="U62" i="1"/>
  <c r="W86" i="1"/>
  <c r="D72" i="3" s="1"/>
  <c r="U59" i="1"/>
  <c r="X52" i="1"/>
  <c r="E38" i="3" s="1"/>
  <c r="V62" i="1"/>
  <c r="C48" i="3" s="1"/>
  <c r="W74" i="1"/>
  <c r="D60" i="3" s="1"/>
  <c r="V122" i="1"/>
  <c r="C108" i="3" s="1"/>
  <c r="V104" i="1"/>
  <c r="C90" i="3" s="1"/>
  <c r="V110" i="1"/>
  <c r="C96" i="3" s="1"/>
  <c r="V80" i="1"/>
  <c r="C66" i="3" s="1"/>
  <c r="X183" i="1"/>
  <c r="E169" i="3" s="1"/>
  <c r="W122" i="1"/>
  <c r="D108" i="3" s="1"/>
  <c r="U104" i="1"/>
  <c r="W80" i="1"/>
  <c r="D66" i="3" s="1"/>
  <c r="W92" i="1"/>
  <c r="D78" i="3" s="1"/>
  <c r="V152" i="1"/>
  <c r="C138" i="3" s="1"/>
  <c r="B138" i="3"/>
  <c r="U152" i="1"/>
  <c r="W152" i="1"/>
  <c r="X108" i="1"/>
  <c r="E94" i="3" s="1"/>
  <c r="D94" i="3"/>
  <c r="B162" i="3"/>
  <c r="U176" i="1"/>
  <c r="W176" i="1"/>
  <c r="X111" i="1"/>
  <c r="E97" i="3" s="1"/>
  <c r="U116" i="1"/>
  <c r="X164" i="1"/>
  <c r="D150" i="3"/>
  <c r="F22" i="5"/>
  <c r="V188" i="1"/>
  <c r="C174" i="3" s="1"/>
  <c r="B174" i="3"/>
  <c r="U188" i="1"/>
  <c r="W188" i="1"/>
  <c r="B10" i="3"/>
  <c r="W24" i="1"/>
  <c r="U24" i="1"/>
  <c r="X144" i="1"/>
  <c r="E130" i="3" s="1"/>
  <c r="D130" i="3"/>
  <c r="X132" i="1"/>
  <c r="E118" i="3" s="1"/>
  <c r="D118" i="3"/>
  <c r="C150" i="3"/>
  <c r="D22" i="5"/>
  <c r="V134" i="1"/>
  <c r="C120" i="3" s="1"/>
  <c r="W116" i="1"/>
  <c r="D102" i="3" s="1"/>
  <c r="X17" i="1"/>
  <c r="E3" i="3" s="1"/>
  <c r="D3" i="3"/>
  <c r="X120" i="1"/>
  <c r="E106" i="3" s="1"/>
  <c r="D106" i="3"/>
  <c r="W134" i="1"/>
  <c r="D120" i="3" s="1"/>
  <c r="X117" i="1"/>
  <c r="E103" i="3" s="1"/>
  <c r="D103" i="3"/>
  <c r="U164" i="1"/>
  <c r="B150" i="3"/>
  <c r="B22" i="5"/>
  <c r="V92" i="1"/>
  <c r="C78" i="3" s="1"/>
  <c r="U134" i="1"/>
  <c r="X72" i="1"/>
  <c r="E58" i="3" s="1"/>
  <c r="D58" i="3"/>
  <c r="X18" i="1"/>
  <c r="E4" i="3" s="1"/>
  <c r="D4" i="3"/>
  <c r="B156" i="3"/>
  <c r="V170" i="1"/>
  <c r="C156" i="3" s="1"/>
  <c r="U170" i="1"/>
  <c r="W170" i="1"/>
  <c r="X163" i="1"/>
  <c r="E149" i="3" s="1"/>
  <c r="X59" i="1"/>
  <c r="E45" i="3" s="1"/>
  <c r="X74" i="1"/>
  <c r="E60" i="3" s="1"/>
  <c r="X98" i="1"/>
  <c r="E84" i="3" s="1"/>
  <c r="X104" i="1"/>
  <c r="E90" i="3" s="1"/>
  <c r="X140" i="1"/>
  <c r="E126" i="3" s="1"/>
  <c r="X116" i="1"/>
  <c r="E102" i="3" s="1"/>
  <c r="X62" i="1"/>
  <c r="E48" i="3" s="1"/>
  <c r="X68" i="1"/>
  <c r="E54" i="3" s="1"/>
  <c r="X146" i="1"/>
  <c r="E132" i="3" s="1"/>
  <c r="X134" i="1"/>
  <c r="E120" i="3" s="1"/>
  <c r="X122" i="1"/>
  <c r="E108" i="3" s="1"/>
  <c r="X86" i="1"/>
  <c r="E72" i="3" s="1"/>
  <c r="X80" i="1"/>
  <c r="E66" i="3" s="1"/>
  <c r="X110" i="1" l="1"/>
  <c r="E96" i="3" s="1"/>
  <c r="X92" i="1"/>
  <c r="E78" i="3" s="1"/>
  <c r="D138" i="3"/>
  <c r="X152" i="1"/>
  <c r="E138" i="3" s="1"/>
  <c r="D162" i="3"/>
  <c r="X176" i="1"/>
  <c r="E162" i="3" s="1"/>
  <c r="D10" i="3"/>
  <c r="X24" i="1"/>
  <c r="E10" i="3" s="1"/>
  <c r="D174" i="3"/>
  <c r="X188" i="1"/>
  <c r="E174" i="3" s="1"/>
  <c r="E150" i="3"/>
  <c r="H22" i="5"/>
  <c r="D156" i="3"/>
  <c r="X170" i="1"/>
  <c r="E156" i="3" s="1"/>
  <c r="S16" i="1" l="1"/>
  <c r="F2" i="3" s="1"/>
  <c r="T16" i="1" l="1"/>
  <c r="U16" i="1" l="1"/>
  <c r="W16" i="1"/>
  <c r="B2" i="3"/>
  <c r="V16" i="1"/>
  <c r="C2" i="3" s="1"/>
  <c r="X16" i="1" l="1"/>
  <c r="E2" i="3" s="1"/>
  <c r="D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0FC790-DD25-4E03-A88F-0CE7E2BA4E5D}" keepAlive="1" interval="1" name="Consulta - Table 1" description="Conexión a la consulta 'Table 1' en el libro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<sst xmlns="http://schemas.openxmlformats.org/spreadsheetml/2006/main" count="1564" uniqueCount="535">
  <si>
    <t>Factor de Cambio</t>
  </si>
  <si>
    <t>US Dollar▲</t>
  </si>
  <si>
    <t>1.00 USD▲▼</t>
  </si>
  <si>
    <t>British Pound</t>
  </si>
  <si>
    <t>Canadian Dollar</t>
  </si>
  <si>
    <t>Chinese Yuan Renminbi</t>
  </si>
  <si>
    <t>Euro</t>
  </si>
  <si>
    <t>Japanese Yen</t>
  </si>
  <si>
    <t>Mexican Peso</t>
  </si>
  <si>
    <t>CANTIDAD</t>
  </si>
  <si>
    <t>Costo Total UDS</t>
  </si>
  <si>
    <t>Costo Costo</t>
  </si>
  <si>
    <t>Precio de Oficina</t>
  </si>
  <si>
    <t>Brocker</t>
  </si>
  <si>
    <t>Precio de Wix</t>
  </si>
  <si>
    <t>Precio Mercado Libre</t>
  </si>
  <si>
    <t>Costo de Envio Total UDS</t>
  </si>
  <si>
    <t>Costo Total Pza. UDS</t>
  </si>
  <si>
    <t>Costo Total Pza. MXN</t>
  </si>
  <si>
    <t>Impuesto UDS</t>
  </si>
  <si>
    <t>Impuesto MXN</t>
  </si>
  <si>
    <t>Costo Real Unitario USD</t>
  </si>
  <si>
    <t>Costo de Envio Unitario UDS</t>
  </si>
  <si>
    <t>Impuesto Unitario UDS</t>
  </si>
  <si>
    <t>Costo Real UDS</t>
  </si>
  <si>
    <t>Impuesto Unitario MXN</t>
  </si>
  <si>
    <t>Costo Total Pedido USD</t>
  </si>
  <si>
    <t>Costo Real Pedido MXN</t>
  </si>
  <si>
    <t xml:space="preserve">Utilidad por Pieza </t>
  </si>
  <si>
    <t>Costo Total Pedido Sin Impuesto MXN</t>
  </si>
  <si>
    <t>Costo Total Pedido Con Impuesto MX</t>
  </si>
  <si>
    <t>ALARMAS</t>
  </si>
  <si>
    <t>ALEXA</t>
  </si>
  <si>
    <t>ALEXA BOLITA BLANCA</t>
  </si>
  <si>
    <t>ALEXA BOLITA NEGRA</t>
  </si>
  <si>
    <t>APAGADOR BLANCO BOTONES AZULES PLACA DE CRISTAL</t>
  </si>
  <si>
    <t>APAGADOR BROADLINK MCB1</t>
  </si>
  <si>
    <t>APAGADOR WIFI 1 CANAL (Caja Azul)</t>
  </si>
  <si>
    <t>APAGADOR WI-FI + RADIO FRECUENCIA DE 1 APAGADOR</t>
  </si>
  <si>
    <t>APAGADOR WIFI DE 1 APAGADOR</t>
  </si>
  <si>
    <t>APAGADOR ZIGBEE BLANCO CON MARCO PLACA CRISTAL DE 1 APAGADOR</t>
  </si>
  <si>
    <t>APAGADOR ZIGBEE NEGRO CON MARCO PLACA CRISTAL DE 1 APAGADO</t>
  </si>
  <si>
    <t>APAGADOR ZIGBEE BLANCO CON MARCO METAL 1  APAGADOR</t>
  </si>
  <si>
    <t>APAGADOR ZIGBEE NEGRO CON MARCO METAL 1 APAGADOR</t>
  </si>
  <si>
    <t>APAGADOR WIFI +RADIO FRECUENCIA DE 2 APAGADOR</t>
  </si>
  <si>
    <t xml:space="preserve">APAGADOR ZIGBEE BLANCO CON MARCO PLACA CRISTAL 2 APAGADOR </t>
  </si>
  <si>
    <t xml:space="preserve">APAGADOR ZIGBEE NEGRO CON MARCO PLACA CRISTAL 2 APAGADOR </t>
  </si>
  <si>
    <t xml:space="preserve">APAGADOR ZIGBEE BLANCO CON MARCO METAL 2 APAGADOR </t>
  </si>
  <si>
    <t>APAGADOR ZIGBEE NEGRO CON MARCO METAL 2 APAGADOR</t>
  </si>
  <si>
    <t>APAGADOR WIFI + RADIO FRECUENCIA DE 3 APAGADOR</t>
  </si>
  <si>
    <t>APAGADOR ZIGBEE BLANCO CON MARCO PLACA CRISTAL 3 APAGADOR</t>
  </si>
  <si>
    <t>APAGADOR ZIGBEE NEGRO CON MARCO PLACA CRISTAL 3 APAGADOR</t>
  </si>
  <si>
    <t>APAGADOR ZIGBEE BLANCO CON MARCO METAL 3 APAGADOR</t>
  </si>
  <si>
    <t>APAGADOR ZIGBEE NEGRO MARCO METAL 3 APAGADOR</t>
  </si>
  <si>
    <t>APAGADOR ZIGBEE SWITCH BLANCO SENCILLO</t>
  </si>
  <si>
    <t>APAGADOR TOUCH PARA ESPEJO</t>
  </si>
  <si>
    <t xml:space="preserve">BATERIA 12V 9A </t>
  </si>
  <si>
    <t xml:space="preserve">BESTCON INTERRUPTOR REMOTO </t>
  </si>
  <si>
    <t>BRAKET EN U A280</t>
  </si>
  <si>
    <t>BOTONERAS EN GENERAL</t>
  </si>
  <si>
    <t>BOTON DORADO WIFI</t>
  </si>
  <si>
    <t>BOTON NO TOUCH</t>
  </si>
  <si>
    <t>BOTON PUSH D-001</t>
  </si>
  <si>
    <t>BOTON DE SALIDA</t>
  </si>
  <si>
    <t xml:space="preserve">BOTONERA DE GAJOS DE NARANJA </t>
  </si>
  <si>
    <t>BOTONERA WIFI Y CONTROL REMOTO CAJA NARANJA /PEQUIPOS Juego 2</t>
  </si>
  <si>
    <t>BOTONERA WIFI y RADIO FRECUENCIA</t>
  </si>
  <si>
    <t>BOTONERA WIFI TACTIL</t>
  </si>
  <si>
    <t>BRIDGE SONOFF CONVERTIDOR</t>
  </si>
  <si>
    <t>BRIDGE SONOFF MINI</t>
  </si>
  <si>
    <t>BROADLINK</t>
  </si>
  <si>
    <t>CABLE SENSOR DE TEMPERATURA Y HUMEDAD SB-001</t>
  </si>
  <si>
    <t>CABLE HDMI</t>
  </si>
  <si>
    <t>CAJA P/BATERIA  FUENTE DE ALIMENTACION GK1205</t>
  </si>
  <si>
    <t>CAJA TAPAS DE GRAPA SOPORTE</t>
  </si>
  <si>
    <t>CAMARA ESPIA EN SOQUET</t>
  </si>
  <si>
    <t xml:space="preserve">CARRETILLA PARA CANCEL </t>
  </si>
  <si>
    <t xml:space="preserve">CERRADURA BIOMETRICA DE HUELLA </t>
  </si>
  <si>
    <t>CERRADURA CONTRASEÑA DE HUELLA</t>
  </si>
  <si>
    <t>CERRADURA ELECTRONICA 5 EN 1  CHICA</t>
  </si>
  <si>
    <t>CERRADURA ELECTRONICA 5 EN 1 GRANDE</t>
  </si>
  <si>
    <t>CERRADURA ELECTROMAGNETICA GK-11</t>
  </si>
  <si>
    <t>CERRADURA ELECTROMAGNETICA GK-5818G</t>
  </si>
  <si>
    <t>CERRADURA ELECTRONICA PARA VIDRIO</t>
  </si>
  <si>
    <t>CERRADURA ELECTRICA DE PUERTA CON PERNO DE CAIDA ELECTRICA</t>
  </si>
  <si>
    <t>CERRADURA DE PULSO</t>
  </si>
  <si>
    <t xml:space="preserve">CONTROL DE ACCESO </t>
  </si>
  <si>
    <t>CONTROL DE ACCESO 003 TECLADO +RFID+WIFI APP EWELINK</t>
  </si>
  <si>
    <t>CONTACTO LUCEK</t>
  </si>
  <si>
    <t>COMPUTADORA SISTEMAS A</t>
  </si>
  <si>
    <t>COMPUTADORA ADICIONAL SISTEMA S-100</t>
  </si>
  <si>
    <t>CONTROL DE ACCESO CA- 002</t>
  </si>
  <si>
    <t>CONTROL DE ACCESO HUELLA DIGITAL CA-X9</t>
  </si>
  <si>
    <t>CONTROL DE ACCESO WIEGAND EXTERIORES</t>
  </si>
  <si>
    <t>CONTROL REMOTO Y BOTONERA NO TOUCH JUEGO(Caja Blanca)</t>
  </si>
  <si>
    <t>CONTROL REMOTO RADIO FRECUENCIA</t>
  </si>
  <si>
    <t>CONTROL REMOTO SOLO DE RADIO FRECUENCIA</t>
  </si>
  <si>
    <t>CONTROL REMOTO UNIVERSAL RF BRIGE</t>
  </si>
  <si>
    <t>CONTROLADOR LED</t>
  </si>
  <si>
    <t xml:space="preserve">COMTROLADOR LED PARA ESCALERAS </t>
  </si>
  <si>
    <t xml:space="preserve">CONTROLADOR LED SINGS </t>
  </si>
  <si>
    <t>CHAPAS / CANDADOS CHICOS</t>
  </si>
  <si>
    <t>CHAPAS / CANDADOS GRNADES</t>
  </si>
  <si>
    <t>CHAPA ELECTROMAGNETICA PARA PUERTAS 600Ibs C / Led / 280 kg</t>
  </si>
  <si>
    <t>ELECTROIMAN EM2805</t>
  </si>
  <si>
    <t>ELIMINADOR 12V 1 A</t>
  </si>
  <si>
    <t>ELIMINADOR 12V 2 A</t>
  </si>
  <si>
    <t>ENCHUFE INTELIGENTE NEGRO</t>
  </si>
  <si>
    <t>ENCHUFE INTELIGENTE WIFI</t>
  </si>
  <si>
    <t>FOCO WI-FI</t>
  </si>
  <si>
    <t>FUENTE DE PODER 3V =1A</t>
  </si>
  <si>
    <t>FUENTE DE ALIMENTACION 5v</t>
  </si>
  <si>
    <t>FUENTE DE PODER 24V = 1.6A</t>
  </si>
  <si>
    <t>FUENTE DE ALIMENTACION 25v</t>
  </si>
  <si>
    <t>FUENTE DE ALIMENTACION KK 1295</t>
  </si>
  <si>
    <t>FUENTE DE PODER MINI 12V CONTROL DE ACCESO</t>
  </si>
  <si>
    <t>GRAPAS  SOPORTE</t>
  </si>
  <si>
    <t>HUB ZIGBEE GATEWAY CON CABLE</t>
  </si>
  <si>
    <t>HUB ZIGBEE GATEWAY MINI</t>
  </si>
  <si>
    <t xml:space="preserve">HUB NEGRO </t>
  </si>
  <si>
    <t>HUB ZIGBEE /WIFI</t>
  </si>
  <si>
    <t>INTERRUPTOR DE LUZ INTELIGENTE WI-FI</t>
  </si>
  <si>
    <t>INTERRUPOR INTELIGENTE MINI</t>
  </si>
  <si>
    <t>INTERRUPTOR MODULADOR NS-105</t>
  </si>
  <si>
    <t>INTERMEDIO PERSIANAS CLUTCH     (EXTENCIONES)</t>
  </si>
  <si>
    <t xml:space="preserve">IR BULLET NETWORK CAMARA </t>
  </si>
  <si>
    <t xml:space="preserve">JUEGO DE POLEAS RIEL DEL CABEZAL P/PUERTAS COMERCIALES </t>
  </si>
  <si>
    <t>KIT CONTROL DE ACCESO WIRELES</t>
  </si>
  <si>
    <t>KIT/DG SW A/3 DOBLE + SENSOR DE MOVIMIENTO</t>
  </si>
  <si>
    <t>KIT/DG SW 100s/CONTROL DE ACCESO WIFI</t>
  </si>
  <si>
    <t>LUCES DE COLORES CINTA LED</t>
  </si>
  <si>
    <t xml:space="preserve">MODULO GENERADOR DE PULSO </t>
  </si>
  <si>
    <t>MODULO ZIGBEE SWITCH</t>
  </si>
  <si>
    <t>MODULO WIFI SWITCH 1 APAGADOR</t>
  </si>
  <si>
    <t>MODULO WIFI SWITCH 2 APAGADOR</t>
  </si>
  <si>
    <t>MODULO ZIGBEE SWICH 2 CANAL</t>
  </si>
  <si>
    <t>MODULO WIFI 1 CANAL</t>
  </si>
  <si>
    <t>MODULO ZIGBEE 1 CANAL</t>
  </si>
  <si>
    <t>MOTOR  TUBULAR ZIGBEE CHICO</t>
  </si>
  <si>
    <t>MOTOR TUBULAR WIFI CHICO</t>
  </si>
  <si>
    <t>MOTOR  TUBULAR ZIGBEE GRNADE</t>
  </si>
  <si>
    <t>OPERADOR AUTOMATICO PARA PUERTA ABATIBLE S-100</t>
  </si>
  <si>
    <t>OPERADOR PARA VENTANAS ABATABLE S-50</t>
  </si>
  <si>
    <t>RELEVADOR 1 CANAL RADIO FRECUENCIA</t>
  </si>
  <si>
    <t>RELEVADOR WIFI 2 CANALES</t>
  </si>
  <si>
    <t>RELEVADOR 4 CANALES</t>
  </si>
  <si>
    <t>RELEVADOR  ENCLAVAMIENTO WIFI 1 CANAL (Etiqueta Amarilla)</t>
  </si>
  <si>
    <t>RELEVADOR DE CANALES RW-02</t>
  </si>
  <si>
    <t>RELEVADOR 4 CANALES S-04</t>
  </si>
  <si>
    <t>RELEVADOR WIFI 1 CANAL</t>
  </si>
  <si>
    <t>REPETIDOR ZIGBEE  USB</t>
  </si>
  <si>
    <t>REVESTIMIENTO ANTICORROCION EN AEROSOL</t>
  </si>
  <si>
    <t>SENSOR DE GAS WIFI</t>
  </si>
  <si>
    <t>SENSOR DE HUMO</t>
  </si>
  <si>
    <t>SENSOR DE HUMO GENERAL (CAJA NARANJA)</t>
  </si>
  <si>
    <t>SENSOR DE HUMO INDICADOR DE FLASH</t>
  </si>
  <si>
    <t>SENSOR DE HUMO WIFI</t>
  </si>
  <si>
    <t>SENSOR DE MOVIMIENTO</t>
  </si>
  <si>
    <t>SENSOR DE MOVIMIENTO PIR ZIGBEE</t>
  </si>
  <si>
    <t>SENSOR DE MOVIMIENTO AQARA</t>
  </si>
  <si>
    <t>SENSOR DE MOVIMIENTO SONOFF</t>
  </si>
  <si>
    <t>SENSOR DE PUERTA MINI</t>
  </si>
  <si>
    <t>SENSOR D PUERTA / VENTANA BLANCO WI-FI</t>
  </si>
  <si>
    <t>SENSOR DE PUERTA /VENTANA MINI</t>
  </si>
  <si>
    <t xml:space="preserve">SENSOR  DE PUERTA /VENTANA SONOFF DW2 - WIFI </t>
  </si>
  <si>
    <t>SENSOR DE PUERTA/VENTANA ZIGBEE</t>
  </si>
  <si>
    <t>SENSOR PARA CORTINAS AUTO</t>
  </si>
  <si>
    <t xml:space="preserve">SENSOR SWITCH DE NIVEL DE AGUA </t>
  </si>
  <si>
    <t>SENSOR DE VIENTO Y LLUVIA</t>
  </si>
  <si>
    <t>SENSOR SONOFF DW1</t>
  </si>
  <si>
    <t>SENSOR WIFI PUERTA/VENTANA</t>
  </si>
  <si>
    <t>SISTEMA A/3</t>
  </si>
  <si>
    <t>SISTEMA CORREDIZO 3 HOJAS</t>
  </si>
  <si>
    <t>SISTEMA CORREDIZO "S"</t>
  </si>
  <si>
    <t xml:space="preserve">SISTEMA DGSW A/1  BLANCO </t>
  </si>
  <si>
    <t>SISTEMA DGSW A/1 NEGRO</t>
  </si>
  <si>
    <t>SISTEMA DE PROYECCION</t>
  </si>
  <si>
    <t>CHAPA DE SEGURIDAD</t>
  </si>
  <si>
    <t>SISTEMA DE PROYECCION DOBLE CADENA</t>
  </si>
  <si>
    <t>SISTEMA S1</t>
  </si>
  <si>
    <t>SISTEMA S2</t>
  </si>
  <si>
    <t>SMART GARAGE (Caja Azul)</t>
  </si>
  <si>
    <t>SMART  IR  GRANDE CONTOL REMOTO</t>
  </si>
  <si>
    <t>SMART  IR  MINI CONTROL REMOTO</t>
  </si>
  <si>
    <t xml:space="preserve">SMART LOCK </t>
  </si>
  <si>
    <t xml:space="preserve">SMART LOCK RECTANGULAR </t>
  </si>
  <si>
    <t>SMART SWICH MINI WIFI</t>
  </si>
  <si>
    <t>SOPORTE EN U</t>
  </si>
  <si>
    <t>TARJETAS DE ACCESO</t>
  </si>
  <si>
    <t xml:space="preserve">TARJETA DE MEMORIA ADATA </t>
  </si>
  <si>
    <t>TARJETA RFID (Venta/Paquete 50Pz.)</t>
  </si>
  <si>
    <t>TRASMISOR de HD VIDEO</t>
  </si>
  <si>
    <t xml:space="preserve"> TIMBRE CON VIDEO WIFI</t>
  </si>
  <si>
    <t xml:space="preserve">WIRELESS SWITCH </t>
  </si>
  <si>
    <t>WIFI CONTROL VALVE</t>
  </si>
  <si>
    <t>SISTEMA S2-A</t>
  </si>
  <si>
    <t>CERRADURA INTELIGENTE  SLIM</t>
  </si>
  <si>
    <t>CERRADURA INTELIGENTE APARTAMENTO</t>
  </si>
  <si>
    <t>COMPLEMENTO DE CHAPA (PIEZAS SUELTAS)</t>
  </si>
  <si>
    <t>NOMRE DEL PRODUCTO</t>
  </si>
  <si>
    <t>ID</t>
  </si>
  <si>
    <t xml:space="preserve">REFERENCIA </t>
  </si>
  <si>
    <t>MARCA</t>
  </si>
  <si>
    <t>COLOR</t>
  </si>
  <si>
    <t>UNIDAD</t>
  </si>
  <si>
    <t>STOCK</t>
  </si>
  <si>
    <t>LUGAR</t>
  </si>
  <si>
    <t>PRECIO DE OFICINA</t>
  </si>
  <si>
    <t>PRECIO DE MC</t>
  </si>
  <si>
    <t>PRECIO DE WIX</t>
  </si>
  <si>
    <t>IMAGEN</t>
  </si>
  <si>
    <t>DGSW002</t>
  </si>
  <si>
    <t>DesinGlass</t>
  </si>
  <si>
    <t>Blanco</t>
  </si>
  <si>
    <t>Pieza</t>
  </si>
  <si>
    <t>Oficina</t>
  </si>
  <si>
    <t>DGSW003</t>
  </si>
  <si>
    <t>Gris</t>
  </si>
  <si>
    <t>DGSW004</t>
  </si>
  <si>
    <t>Blanca</t>
  </si>
  <si>
    <t>Almacen</t>
  </si>
  <si>
    <t>DGSW005</t>
  </si>
  <si>
    <t>Negro</t>
  </si>
  <si>
    <t>DGSW006</t>
  </si>
  <si>
    <t>DGSW007</t>
  </si>
  <si>
    <t>DGSW008</t>
  </si>
  <si>
    <t>DGSW009</t>
  </si>
  <si>
    <t>DGSW010</t>
  </si>
  <si>
    <t>DGSW011</t>
  </si>
  <si>
    <t>DGSW012</t>
  </si>
  <si>
    <t>DGSW013</t>
  </si>
  <si>
    <t>DGSW014</t>
  </si>
  <si>
    <t>DGSW015</t>
  </si>
  <si>
    <t>DGSW016</t>
  </si>
  <si>
    <t>DGSW017</t>
  </si>
  <si>
    <t>DGSW018</t>
  </si>
  <si>
    <t>DGSW019</t>
  </si>
  <si>
    <t>DGSW020</t>
  </si>
  <si>
    <t>DGSW021</t>
  </si>
  <si>
    <t>DGSW022</t>
  </si>
  <si>
    <t>DGSW023</t>
  </si>
  <si>
    <t>DGSW024</t>
  </si>
  <si>
    <t>oficina</t>
  </si>
  <si>
    <t>DGSW025</t>
  </si>
  <si>
    <t>DGSW026</t>
  </si>
  <si>
    <t>DGSW027</t>
  </si>
  <si>
    <t>DGSW028</t>
  </si>
  <si>
    <t>DGSW029</t>
  </si>
  <si>
    <t>DGSW030</t>
  </si>
  <si>
    <t>DGSW031</t>
  </si>
  <si>
    <t>DGSW032</t>
  </si>
  <si>
    <t>DGSW033</t>
  </si>
  <si>
    <t>DGSW034</t>
  </si>
  <si>
    <t>DGSW035</t>
  </si>
  <si>
    <t>DGSW036</t>
  </si>
  <si>
    <t>DGSW037</t>
  </si>
  <si>
    <t>DGSW038</t>
  </si>
  <si>
    <t>DGSW039</t>
  </si>
  <si>
    <t>DGSW040</t>
  </si>
  <si>
    <t>DGSW041</t>
  </si>
  <si>
    <t>DGSW042</t>
  </si>
  <si>
    <t>DGSW043</t>
  </si>
  <si>
    <t>DGSW044</t>
  </si>
  <si>
    <t>DGSW045</t>
  </si>
  <si>
    <t>DGSW046</t>
  </si>
  <si>
    <t>DGSW047</t>
  </si>
  <si>
    <t>DGSW048</t>
  </si>
  <si>
    <t>DGSW049</t>
  </si>
  <si>
    <t>DGSW050</t>
  </si>
  <si>
    <t>DGSW051</t>
  </si>
  <si>
    <t>DGSW052</t>
  </si>
  <si>
    <t>DGSW053</t>
  </si>
  <si>
    <t>DGSW054</t>
  </si>
  <si>
    <t>DGSW055</t>
  </si>
  <si>
    <t>DGSW056</t>
  </si>
  <si>
    <t>DGSW057</t>
  </si>
  <si>
    <t>DGSW058</t>
  </si>
  <si>
    <t>DGSW059</t>
  </si>
  <si>
    <t>DGSW060</t>
  </si>
  <si>
    <t>DGSW061</t>
  </si>
  <si>
    <t>DGSW062</t>
  </si>
  <si>
    <t>DGSW063</t>
  </si>
  <si>
    <t>DGSW064</t>
  </si>
  <si>
    <t>DGSW065</t>
  </si>
  <si>
    <t>DGSW066</t>
  </si>
  <si>
    <t>DGSW067</t>
  </si>
  <si>
    <t>DGSW068</t>
  </si>
  <si>
    <t>DGSW069</t>
  </si>
  <si>
    <t>DGSW070</t>
  </si>
  <si>
    <t>DGSW071</t>
  </si>
  <si>
    <t>DGSW072</t>
  </si>
  <si>
    <t>DGSW073</t>
  </si>
  <si>
    <t>DGSW074</t>
  </si>
  <si>
    <t>DGSW075</t>
  </si>
  <si>
    <t>DGSW076</t>
  </si>
  <si>
    <t>DGSW077</t>
  </si>
  <si>
    <t>DGSW078</t>
  </si>
  <si>
    <t>DGSW079</t>
  </si>
  <si>
    <t>DGSW080</t>
  </si>
  <si>
    <t>DGSW081</t>
  </si>
  <si>
    <t>DGSW082</t>
  </si>
  <si>
    <t>DGSW083</t>
  </si>
  <si>
    <t>DGSW084</t>
  </si>
  <si>
    <t>DGSW085</t>
  </si>
  <si>
    <t>DGSW086</t>
  </si>
  <si>
    <t>DGSW087</t>
  </si>
  <si>
    <t>DGSW088</t>
  </si>
  <si>
    <t>DGSW089</t>
  </si>
  <si>
    <t>DGSW090</t>
  </si>
  <si>
    <t>DGSW091</t>
  </si>
  <si>
    <t>DGSW092</t>
  </si>
  <si>
    <t>DGSW093</t>
  </si>
  <si>
    <t>DGSW094</t>
  </si>
  <si>
    <t>DGSW095</t>
  </si>
  <si>
    <t>DGSW096</t>
  </si>
  <si>
    <t>DGSW097</t>
  </si>
  <si>
    <t>DGSW098</t>
  </si>
  <si>
    <t>DGSW099</t>
  </si>
  <si>
    <t>DGSW100</t>
  </si>
  <si>
    <t>DGSW101</t>
  </si>
  <si>
    <t>DGSW102</t>
  </si>
  <si>
    <t>DGSW103</t>
  </si>
  <si>
    <t>DGSW104</t>
  </si>
  <si>
    <t>DGSW105</t>
  </si>
  <si>
    <t>DGSW106</t>
  </si>
  <si>
    <t>DGSW107</t>
  </si>
  <si>
    <t>DGSW108</t>
  </si>
  <si>
    <t>DGSW109</t>
  </si>
  <si>
    <t>DGSW110</t>
  </si>
  <si>
    <t>DGSW111</t>
  </si>
  <si>
    <t>DGSW112</t>
  </si>
  <si>
    <t>DGSW113</t>
  </si>
  <si>
    <t>DGSW114</t>
  </si>
  <si>
    <t>DGSW115</t>
  </si>
  <si>
    <t>DGSW116</t>
  </si>
  <si>
    <t>DGSW117</t>
  </si>
  <si>
    <t>DGSW118</t>
  </si>
  <si>
    <t>DGSW119</t>
  </si>
  <si>
    <t>DGSW120</t>
  </si>
  <si>
    <t>DGSW121</t>
  </si>
  <si>
    <t>DGSW122</t>
  </si>
  <si>
    <t>DGSW123</t>
  </si>
  <si>
    <t>DGSW124</t>
  </si>
  <si>
    <t>DGSW125</t>
  </si>
  <si>
    <t>DGSW126</t>
  </si>
  <si>
    <t>DGSW127</t>
  </si>
  <si>
    <t>DGSW128</t>
  </si>
  <si>
    <t>DGSW129</t>
  </si>
  <si>
    <t>DGSW130</t>
  </si>
  <si>
    <t>DGSW131</t>
  </si>
  <si>
    <t>DGSW132</t>
  </si>
  <si>
    <t>DGSW133</t>
  </si>
  <si>
    <t>DGSW134</t>
  </si>
  <si>
    <t>DGSW135</t>
  </si>
  <si>
    <t>DGSW136</t>
  </si>
  <si>
    <t>DGSW137</t>
  </si>
  <si>
    <t>DGSW138</t>
  </si>
  <si>
    <t>DGSW139</t>
  </si>
  <si>
    <t>DGSW140</t>
  </si>
  <si>
    <t>DGSW141</t>
  </si>
  <si>
    <t>DGSW142</t>
  </si>
  <si>
    <t>DGSW143</t>
  </si>
  <si>
    <t>DGSW144</t>
  </si>
  <si>
    <t>DGSW145</t>
  </si>
  <si>
    <t>DGSW146</t>
  </si>
  <si>
    <t>DGSW147</t>
  </si>
  <si>
    <t>DGSW148</t>
  </si>
  <si>
    <t>DGSW149</t>
  </si>
  <si>
    <t>DGSW150</t>
  </si>
  <si>
    <t>DGSW151</t>
  </si>
  <si>
    <t xml:space="preserve">Pieza </t>
  </si>
  <si>
    <t>DGSW152</t>
  </si>
  <si>
    <t>DGSW153</t>
  </si>
  <si>
    <t>DGSW154</t>
  </si>
  <si>
    <t>DGSW155</t>
  </si>
  <si>
    <t>DGSW156</t>
  </si>
  <si>
    <t>N/A</t>
  </si>
  <si>
    <t>DGSW157</t>
  </si>
  <si>
    <t>DGSW158</t>
  </si>
  <si>
    <t>DGSW159</t>
  </si>
  <si>
    <t>DGSW160</t>
  </si>
  <si>
    <t>DGSW161</t>
  </si>
  <si>
    <t>DGSW162</t>
  </si>
  <si>
    <t>DGSW163</t>
  </si>
  <si>
    <t>DGSW164</t>
  </si>
  <si>
    <t>DGSW165</t>
  </si>
  <si>
    <t>DGSW166</t>
  </si>
  <si>
    <t>DGSW167</t>
  </si>
  <si>
    <t>DGSW168</t>
  </si>
  <si>
    <t>DGSW169</t>
  </si>
  <si>
    <t>DGSW170</t>
  </si>
  <si>
    <t>DGSW171</t>
  </si>
  <si>
    <t>DGSW172</t>
  </si>
  <si>
    <t>DGSW173</t>
  </si>
  <si>
    <t>DGSW174</t>
  </si>
  <si>
    <t>DGSW175</t>
  </si>
  <si>
    <t>DGSW176</t>
  </si>
  <si>
    <t>DGSW178</t>
  </si>
  <si>
    <t>DGSW179</t>
  </si>
  <si>
    <t>REFERENCIA</t>
  </si>
  <si>
    <t>Referencia Inicial</t>
  </si>
  <si>
    <t>Columna1</t>
  </si>
  <si>
    <t>DÓLAR</t>
  </si>
  <si>
    <t>PRODUCTO</t>
  </si>
  <si>
    <t>COSTO UNITARIO UDS</t>
  </si>
  <si>
    <t>COSTO TOTAL DEL PEDIDO</t>
  </si>
  <si>
    <t>COSTO DE ENVIO</t>
  </si>
  <si>
    <t>IMPUESTOS EN UDS</t>
  </si>
  <si>
    <t>IMPUESTOS EN MXN</t>
  </si>
  <si>
    <t>PRECIO DE OFICIA</t>
  </si>
  <si>
    <t>PRECIO BROCKER</t>
  </si>
  <si>
    <t>PRECIO MERCADO LIBRE</t>
  </si>
  <si>
    <t>GRAPAS PARA BANDA A/2</t>
  </si>
  <si>
    <t>Metro</t>
  </si>
  <si>
    <t>DGSW177</t>
  </si>
  <si>
    <t>PERCIANAS BLACK OUT (METRO 2)</t>
  </si>
  <si>
    <t>SENSOR DE PRESENCIA</t>
  </si>
  <si>
    <t>DGSW180</t>
  </si>
  <si>
    <t xml:space="preserve">SELECTOR DE LLAVES </t>
  </si>
  <si>
    <t>DGSW181</t>
  </si>
  <si>
    <t>SOPORTE PALETA PARA PUERTAS DE CRISTAL</t>
  </si>
  <si>
    <t>DGSW182</t>
  </si>
  <si>
    <t xml:space="preserve">SISTEMA TELESCOPICO MANUAL </t>
  </si>
  <si>
    <t>DGSW183</t>
  </si>
  <si>
    <t>CARRETILLA PARA CANCEL</t>
  </si>
  <si>
    <t>DGSW184</t>
  </si>
  <si>
    <t>DGSW185</t>
  </si>
  <si>
    <t>CABEZAL YSD 100F (RIELES)</t>
  </si>
  <si>
    <t xml:space="preserve">SISTEMA A/2 </t>
  </si>
  <si>
    <t>SWITCH CON LLAVE DORADO</t>
  </si>
  <si>
    <t>DGSW186</t>
  </si>
  <si>
    <t>Pza.</t>
  </si>
  <si>
    <t>DGSW187</t>
  </si>
  <si>
    <t>Pza</t>
  </si>
  <si>
    <t xml:space="preserve">SENSOR DE FUNCION DUAL </t>
  </si>
  <si>
    <t>DGSW188</t>
  </si>
  <si>
    <t>DGSW189</t>
  </si>
  <si>
    <t>DGSW191</t>
  </si>
  <si>
    <t xml:space="preserve">SOPORTE PARA ELECTROIMAN EM2805 </t>
  </si>
  <si>
    <t>DGSW190</t>
  </si>
  <si>
    <t>SENSOR DE PRESENCIA ULTRA</t>
  </si>
  <si>
    <t xml:space="preserve">MOTOR PARA CORTINA </t>
  </si>
  <si>
    <t>BOTON DE PANICO</t>
  </si>
  <si>
    <t>DGSW192</t>
  </si>
  <si>
    <t>C:\Users\w\Desktop\DIMO\INVENTARIOS\InventarioSW\imagenes\Alarma1.jpg</t>
  </si>
  <si>
    <t>C:\Users\w\Desktop\DIMO\INVENTARIOS\InventarioSW\imagenes\AlexaMasapan2.jpg</t>
  </si>
  <si>
    <t>C:\Users\w\Desktop\DIMO\INVENTARIOS\InventarioSW\imagenes\AlexaBolita1.jpg</t>
  </si>
  <si>
    <t>C:\Users\w\Desktop\DIMO\INVENTARIOS\InventarioSW\imagenes\AlexaBolita2.jpg</t>
  </si>
  <si>
    <t xml:space="preserve"> APAGADOR SWITCH DIMEABLE BLANCO</t>
  </si>
  <si>
    <t>C:\Users\w\Desktop\DIMO\INVENTARIOS\InventarioSW\imagenes\ApagadorTouch1.jpg</t>
  </si>
  <si>
    <t>BANDA DEL SISTEMA A/2  ( METROS )</t>
  </si>
  <si>
    <t>Metros</t>
  </si>
  <si>
    <t>C:\Users\w\Desktop\DIMO\INVENTARIOS\InventarioSW\imagenes\BotonDorado1.jpeg</t>
  </si>
  <si>
    <t>C:\Users\w\Desktop\DIMO\INVENTARIOS\InventarioSW\imagenes\BotonTouch1.jpeg</t>
  </si>
  <si>
    <t>C:\Users\w\Desktop\DIMO\INVENTARIOS\InventarioSW\imagenes\BotonPush1.jpeg</t>
  </si>
  <si>
    <t>C:\Users\w\Desktop\DIMO\INVENTARIOS\InventarioSW\imagenes\BotonSalida3.jpeg</t>
  </si>
  <si>
    <t>C:\Users\w\Desktop\DIMO\INVENTARIOS\InventarioSW\imagenes\Broadlink2.jpeg</t>
  </si>
  <si>
    <t xml:space="preserve">CABEZAL YSD 100F (PIEZAS) </t>
  </si>
  <si>
    <t>C:\Users\w\Desktop\DIMO\INVENTARIOS\InventarioSW\imagenes\Cabezal1.jpeg</t>
  </si>
  <si>
    <t>C:\Users\w\Desktop\DIMO\INVENTARIOS\InventarioSW\imagenes\CableSensorTem1.jpeg</t>
  </si>
  <si>
    <t>C:\Users\w\Desktop\DIMO\INVENTARIOS\InventarioSW\imagenes\CamaraSocket1.jpg</t>
  </si>
  <si>
    <t>C:\Users\w\Desktop\DIMO\INVENTARIOS\InventarioSW\imagenes\CerraduraBiometrica1.jpg</t>
  </si>
  <si>
    <t>C:\Users\w\Desktop\DIMO\INVENTARIOS\InventarioSW\imagenes\Cerradura5en1-1.jpg</t>
  </si>
  <si>
    <t>C:\Users\w\Desktop\DIMO\INVENTARIOS\InventarioSW\imagenes\CerraduraGK11-1.jpg</t>
  </si>
  <si>
    <t>C:\Users\w\Desktop\DIMO\INVENTARIOS\InventarioSW\imagenes\ChapaElectromagnetica1.jpg</t>
  </si>
  <si>
    <t>C:\Users\w\Desktop\DIMO\INVENTARIOS\InventarioSW\imagenes\CerraduraVidrio1.jpg</t>
  </si>
  <si>
    <t>C:\Users\w\Desktop\DIMO\INVENTARIOS\InventarioSW\imagenes\CerraduraCaida1.jpg</t>
  </si>
  <si>
    <t>C:\Users\w\Desktop\DIMO\INVENTARIOS\InventarioSW\imagenes\control de acceso 003 02.jpg</t>
  </si>
  <si>
    <t>C:\Users\w\Desktop\DIMO\INVENTARIOS\InventarioSW\imagenes\control de acceso 002 01.jpg</t>
  </si>
  <si>
    <t>C:\Users\w\Desktop\DIMO\INVENTARIOS\InventarioSW\imagenes\control de acceso X9 01.jpg</t>
  </si>
  <si>
    <t>C:\Users\w\Desktop\DIMO\INVENTARIOS\InventarioSW\imagenes\control de acceso Exteriores 03.jpg</t>
  </si>
  <si>
    <t>C:\Users\w\Desktop\DIMO\INVENTARIOS\InventarioSW\imagenes\controlRF.jpg</t>
  </si>
  <si>
    <t>C:\Users\w\Desktop\DIMO\INVENTARIOS\InventarioSW\imagenes\ControladorLed1.jpg</t>
  </si>
  <si>
    <t>C:\Users\w\Desktop\DIMO\INVENTARIOS\InventarioSW\imagenes\Enchufe Negro inteligente 04.jpg</t>
  </si>
  <si>
    <t>C:\Users\w\Desktop\DIMO\INVENTARIOS\InventarioSW\imagenes\Foco Wifi 01.jpg</t>
  </si>
  <si>
    <t>C:\Users\w\Desktop\DIMO\INVENTARIOS\InventarioSW\imagenes\Fuente de poder 3v-1a 01.jpg</t>
  </si>
  <si>
    <t>C:\Users\w\Desktop\DIMO\INVENTARIOS\InventarioSW\imagenes\Fuente de poder 24v-1.6a 01.jpg</t>
  </si>
  <si>
    <t>C:\Users\w\Desktop\DIMO\INVENTARIOS\InventarioSW\imagenes\Fuente de Poder mini 12V 3.jpg</t>
  </si>
  <si>
    <t>C:\Users\w\Desktop\DIMO\INVENTARIOS\InventarioSW\imagenes\Grapa Soporte 01.jpg</t>
  </si>
  <si>
    <t>C:\Users\w\Desktop\DIMO\INVENTARIOS\InventarioSW\imagenes\HubZigBee1.jpg</t>
  </si>
  <si>
    <t>C:\Users\w\Desktop\DIMO\INVENTARIOS\InventarioSW\imagenes\Interruptor Wifi 01.jpg</t>
  </si>
  <si>
    <t>C:\Users\w\Desktop\DIMO\INVENTARIOS\InventarioSW\imagenes\Kit Control de Acceso 01.jpg</t>
  </si>
  <si>
    <t>C:\Users\w\Desktop\DIMO\INVENTARIOS\InventarioSW\imagenes\Modulo ZigBee 01.jpg</t>
  </si>
  <si>
    <t>C:\Users\w\Desktop\DIMO\INVENTARIOS\InventarioSW\imagenes\Modulo Wifi 01.jpg</t>
  </si>
  <si>
    <t>C:\Users\w\Desktop\DIMO\INVENTARIOS\InventarioSW\imagenes\Modulo Wifi 2 01.jpg</t>
  </si>
  <si>
    <t>C:\Users\w\Desktop\DIMO\INVENTARIOS\InventarioSW\imagenes\Motor Tubular G ZigBee 02.jpg</t>
  </si>
  <si>
    <t>C:\Users\w\Desktop\DIMO\INVENTARIOS\InventarioSW\imagenes\S100 01,jpg</t>
  </si>
  <si>
    <t>C:\Users\w\Desktop\DIMO\INVENTARIOS\InventarioSW\imagenes\Relevador 1 C RC.jpg</t>
  </si>
  <si>
    <t>C:\Users\w\Desktop\DIMO\INVENTARIOS\InventarioSW\imagenes\Relevador 2 C Wifi 01.jpg</t>
  </si>
  <si>
    <t>C:\Users\w\Desktop\DIMO\INVENTARIOS\InventarioSW\imagenes\Relevador 4 C 01.jpg</t>
  </si>
  <si>
    <t>C:\Users\w\Desktop\DIMO\INVENTARIOS\InventarioSW\imagenes\Relevador 4C S04  01.jpg</t>
  </si>
  <si>
    <t>C:\Users\w\Desktop\DIMO\INVENTARIOS\InventarioSW\imagenes\Sensor de Humo General 01.jpg</t>
  </si>
  <si>
    <t>C:\Users\w\Desktop\DIMO\INVENTARIOS\InventarioSW\imagenes\Sensor de Humo Sensor 01.jpg</t>
  </si>
  <si>
    <t>C:\Users\w\Desktop\DIMO\INVENTARIOS\InventarioSW\imagenes\Sensor de Humo Wifi 01.jpg</t>
  </si>
  <si>
    <t>C:\Users\w\Desktop\DIMO\INVENTARIOS\InventarioSW\imagenes\Sensor de Movimiento 02.jpg</t>
  </si>
  <si>
    <t>C:\Users\w\Desktop\DIMO\INVENTARIOS\InventarioSW\imagenes\Sensor Pir 01.jpg</t>
  </si>
  <si>
    <t>C:\Users\w\Desktop\DIMO\INVENTARIOS\InventarioSW\imagenes\SensorPuerVen2.jpg</t>
  </si>
  <si>
    <t>C:\Users\w\Desktop\DIMO\INVENTARIOS\InventarioSW\imagenes\Sensor de Viento y lluvia 1.jpg</t>
  </si>
  <si>
    <t>C:\Users\w\Desktop\DIMO\INVENTARIOS\InventarioSW\imagenes\SensorPuerVen3.jpg</t>
  </si>
  <si>
    <t>C:\Users\w\Desktop\DIMO\INVENTARIOS\InventarioSW\imagenes\A2 01.jpg</t>
  </si>
  <si>
    <t>C:\Users\w\Desktop\DIMO\INVENTARIOS\InventarioSW\imagenes\A3.jpg</t>
  </si>
  <si>
    <t xml:space="preserve"> SISTEMA DGSW APP VENTANA SMART</t>
  </si>
  <si>
    <t>C:\Users\w\Desktop\DIMO\INVENTARIOS\InventarioSW\imagenes\A1 04.jpg</t>
  </si>
  <si>
    <t>C:\Users\w\Desktop\DIMO\INVENTARIOS\InventarioSW\imagenes\A1 02.jpg</t>
  </si>
  <si>
    <t>C:\Users\w\Desktop\DIMO\INVENTARIOS\InventarioSW\imagenes\VP 01.jpg</t>
  </si>
  <si>
    <t>C:\Users\w\Desktop\DIMO\INVENTARIOS\InventarioSW\imagenes\VP 02.jpg</t>
  </si>
  <si>
    <t>C:\Users\w\Desktop\DIMO\INVENTARIOS\InventarioSW\imagenes\S1.jpg</t>
  </si>
  <si>
    <t>C:\Users\w\Desktop\DIMO\INVENTARIOS\InventarioSW\imagenes\s2.jpg</t>
  </si>
  <si>
    <t>C:\Users\w\Desktop\DIMO\INVENTARIOS\InventarioSW\imagenes\Smart garaje 03.jpeg</t>
  </si>
  <si>
    <t>C:\Users\w\Desktop\DIMO\INVENTARIOS\InventarioSW\imagenes\Smart Ir Grande 01.jpg</t>
  </si>
  <si>
    <t>C:\Users\w\Desktop\DIMO\INVENTARIOS\InventarioSW\imagenes\Smart Ir mini 01.jpg</t>
  </si>
  <si>
    <t>C:\Users\w\Desktop\DIMO\INVENTARIOS\InventarioSW\imagenes\Soporte en U 1.jpg</t>
  </si>
  <si>
    <t>C:\Users\w\Desktop\DIMO\INVENTARIOS\InventarioSW\imagenes\Timbre Wifi 01.jpg</t>
  </si>
  <si>
    <t>C:\Users\w\Desktop\DIMO\INVENTARIOS\InventarioSW\imagenes\control valve 01.jpg</t>
  </si>
  <si>
    <t>JUEGO DE CARRETILLAS GRANDES PARA PUERTAS DE CRISTAL</t>
  </si>
  <si>
    <t>SWITCH CON LLAVE  PLATEADO</t>
  </si>
  <si>
    <t>Plateado</t>
  </si>
  <si>
    <t>Dorado</t>
  </si>
  <si>
    <t>SISTEMA TELESCOPICO AUTOMATIZADO</t>
  </si>
  <si>
    <t>Alamacen</t>
  </si>
  <si>
    <t xml:space="preserve">SISTEMA  AUTOMATIZADO (Piezas Sobrantes) </t>
  </si>
  <si>
    <t>APAGADOR WI-FI NEGRO PLACA DE CRISTAL 2 APAGADOR</t>
  </si>
  <si>
    <t>DGSW193</t>
  </si>
  <si>
    <t>APAGADOR 1 APAGADOR C/ENCHUFEWI-FI PLACA CRISTAL NEGRO</t>
  </si>
  <si>
    <t>DWGS194</t>
  </si>
  <si>
    <t xml:space="preserve">CERRADURA MECANICA DE 11 DIGITOS ABATIBLE </t>
  </si>
  <si>
    <t>DWGS195</t>
  </si>
  <si>
    <t>Plateada</t>
  </si>
  <si>
    <t>pza</t>
  </si>
  <si>
    <t xml:space="preserve">Bodega </t>
  </si>
  <si>
    <t xml:space="preserve">CERRADURA MECANICA DE 11 DIGITOS CORREDIZA </t>
  </si>
  <si>
    <t>DGSW196</t>
  </si>
  <si>
    <t>VISOR INTELIGENTE WI-FI ** (COMPRA MINIMA 2 PRODUCTOS) **</t>
  </si>
  <si>
    <t>DGSW197</t>
  </si>
  <si>
    <t>Bodega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</si>
</sst>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_-[$$-80A]* #,##0.00_-;\-[$$-80A]* #,##0.00_-;_-[$$-80A]* &quot;-&quot;??_-;_-@_-"/>
    <numFmt numFmtId="165" formatCode="_-[$$-409]* #,##0.00_ ;_-[$$-409]* \-#,##0.00\ ;_-[$$-409]* &quot;-&quot;??_ ;_-@_ "/>
    <numFmt numFmtId="166" formatCode="0;\-0;;@"/>
  </numFmts>
  <fonts count="9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 tint="4.9989318521683403E-2"/>
      <name val="Arial"/>
      <family val="2"/>
    </font>
    <font>
      <b/>
      <sz val="11"/>
      <color theme="1" tint="4.9989318521683403E-2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F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3" xfId="0" applyNumberFormat="1" applyBorder="1"/>
    <xf numFmtId="165" fontId="2" fillId="2" borderId="14" xfId="0" applyNumberFormat="1" applyFont="1" applyFill="1" applyBorder="1" applyAlignment="1">
      <alignment horizontal="center" vertical="center" wrapText="1"/>
    </xf>
    <xf numFmtId="165" fontId="0" fillId="2" borderId="12" xfId="0" applyNumberFormat="1" applyFill="1" applyBorder="1" applyAlignment="1">
      <alignment horizontal="center" vertical="center" wrapText="1"/>
    </xf>
    <xf numFmtId="164" fontId="2" fillId="2" borderId="14" xfId="0" applyNumberFormat="1" applyFont="1" applyFill="1" applyBorder="1" applyAlignment="1">
      <alignment horizontal="center" vertical="center" wrapText="1"/>
    </xf>
    <xf numFmtId="164" fontId="0" fillId="2" borderId="12" xfId="0" applyNumberFormat="1" applyFill="1" applyBorder="1" applyAlignment="1">
      <alignment horizontal="center" vertical="center" wrapText="1"/>
    </xf>
    <xf numFmtId="164" fontId="0" fillId="0" borderId="13" xfId="0" applyNumberFormat="1" applyBorder="1"/>
    <xf numFmtId="164" fontId="2" fillId="5" borderId="14" xfId="0" applyNumberFormat="1" applyFont="1" applyFill="1" applyBorder="1" applyAlignment="1">
      <alignment horizontal="center" vertical="center" wrapText="1"/>
    </xf>
    <xf numFmtId="164" fontId="0" fillId="5" borderId="12" xfId="0" applyNumberFormat="1" applyFill="1" applyBorder="1" applyAlignment="1">
      <alignment horizontal="center" vertical="center" wrapText="1"/>
    </xf>
    <xf numFmtId="164" fontId="4" fillId="6" borderId="14" xfId="0" applyNumberFormat="1" applyFont="1" applyFill="1" applyBorder="1" applyAlignment="1">
      <alignment horizontal="center" vertical="center" wrapText="1"/>
    </xf>
    <xf numFmtId="164" fontId="3" fillId="6" borderId="12" xfId="0" applyNumberFormat="1" applyFont="1" applyFill="1" applyBorder="1" applyAlignment="1">
      <alignment horizontal="center" vertical="center" wrapText="1"/>
    </xf>
    <xf numFmtId="164" fontId="4" fillId="7" borderId="14" xfId="0" applyNumberFormat="1" applyFont="1" applyFill="1" applyBorder="1" applyAlignment="1">
      <alignment horizontal="center" vertical="center" wrapText="1"/>
    </xf>
    <xf numFmtId="164" fontId="3" fillId="7" borderId="12" xfId="0" applyNumberFormat="1" applyFont="1" applyFill="1" applyBorder="1" applyAlignment="1">
      <alignment horizontal="center" vertical="center" wrapText="1"/>
    </xf>
    <xf numFmtId="164" fontId="2" fillId="8" borderId="14" xfId="0" applyNumberFormat="1" applyFont="1" applyFill="1" applyBorder="1" applyAlignment="1">
      <alignment horizontal="center" vertical="center" wrapText="1"/>
    </xf>
    <xf numFmtId="164" fontId="0" fillId="8" borderId="12" xfId="0" applyNumberFormat="1" applyFill="1" applyBorder="1" applyAlignment="1">
      <alignment horizontal="center" vertical="center" wrapText="1"/>
    </xf>
    <xf numFmtId="164" fontId="4" fillId="9" borderId="14" xfId="0" applyNumberFormat="1" applyFont="1" applyFill="1" applyBorder="1" applyAlignment="1">
      <alignment horizontal="center" vertical="center" wrapText="1"/>
    </xf>
    <xf numFmtId="164" fontId="3" fillId="9" borderId="12" xfId="0" applyNumberFormat="1" applyFont="1" applyFill="1" applyBorder="1" applyAlignment="1">
      <alignment horizontal="center" vertical="center" wrapText="1"/>
    </xf>
    <xf numFmtId="164" fontId="4" fillId="10" borderId="9" xfId="0" applyNumberFormat="1" applyFont="1" applyFill="1" applyBorder="1" applyAlignment="1">
      <alignment horizontal="center" vertical="center" wrapText="1"/>
    </xf>
    <xf numFmtId="164" fontId="3" fillId="10" borderId="3" xfId="0" applyNumberFormat="1" applyFont="1" applyFill="1" applyBorder="1" applyAlignment="1">
      <alignment horizontal="center" vertical="center" wrapText="1"/>
    </xf>
    <xf numFmtId="164" fontId="0" fillId="0" borderId="7" xfId="0" applyNumberFormat="1" applyBorder="1"/>
    <xf numFmtId="165" fontId="0" fillId="0" borderId="1" xfId="0" applyNumberFormat="1" applyBorder="1"/>
    <xf numFmtId="164" fontId="0" fillId="0" borderId="1" xfId="0" applyNumberFormat="1" applyBorder="1"/>
    <xf numFmtId="164" fontId="0" fillId="0" borderId="5" xfId="0" applyNumberFormat="1" applyBorder="1"/>
    <xf numFmtId="0" fontId="5" fillId="2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4" fontId="0" fillId="0" borderId="12" xfId="0" applyNumberFormat="1" applyBorder="1"/>
    <xf numFmtId="0" fontId="0" fillId="0" borderId="1" xfId="0" applyBorder="1" applyAlignment="1">
      <alignment wrapText="1"/>
    </xf>
    <xf numFmtId="0" fontId="0" fillId="0" borderId="1" xfId="0" applyBorder="1"/>
    <xf numFmtId="44" fontId="0" fillId="0" borderId="1" xfId="0" applyNumberFormat="1" applyBorder="1"/>
    <xf numFmtId="164" fontId="4" fillId="7" borderId="12" xfId="0" applyNumberFormat="1" applyFont="1" applyFill="1" applyBorder="1" applyAlignment="1">
      <alignment horizontal="center" vertical="center" wrapText="1"/>
    </xf>
    <xf numFmtId="164" fontId="2" fillId="8" borderId="12" xfId="0" applyNumberFormat="1" applyFont="1" applyFill="1" applyBorder="1" applyAlignment="1">
      <alignment horizontal="center" vertical="center" wrapText="1"/>
    </xf>
    <xf numFmtId="164" fontId="4" fillId="9" borderId="12" xfId="0" applyNumberFormat="1" applyFont="1" applyFill="1" applyBorder="1" applyAlignment="1">
      <alignment horizontal="center" vertical="center" wrapText="1"/>
    </xf>
    <xf numFmtId="164" fontId="4" fillId="10" borderId="3" xfId="0" applyNumberFormat="1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horizontal="center" vertical="center" wrapText="1"/>
    </xf>
    <xf numFmtId="166" fontId="0" fillId="0" borderId="4" xfId="0" applyNumberFormat="1" applyBorder="1" applyAlignment="1">
      <alignment wrapText="1"/>
    </xf>
    <xf numFmtId="166" fontId="0" fillId="0" borderId="6" xfId="0" applyNumberFormat="1" applyBorder="1" applyAlignment="1">
      <alignment wrapText="1"/>
    </xf>
    <xf numFmtId="166" fontId="0" fillId="0" borderId="0" xfId="0" applyNumberFormat="1" applyAlignment="1">
      <alignment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5" fontId="0" fillId="0" borderId="0" xfId="0" applyNumberFormat="1" applyProtection="1">
      <protection locked="0"/>
    </xf>
    <xf numFmtId="165" fontId="0" fillId="4" borderId="12" xfId="0" applyNumberFormat="1" applyFill="1" applyBorder="1" applyAlignment="1" applyProtection="1">
      <alignment horizontal="center" vertical="center" wrapText="1"/>
      <protection locked="0"/>
    </xf>
    <xf numFmtId="165" fontId="0" fillId="0" borderId="13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164" fontId="0" fillId="0" borderId="0" xfId="0" applyNumberFormat="1" applyProtection="1">
      <protection locked="0"/>
    </xf>
    <xf numFmtId="164" fontId="0" fillId="4" borderId="12" xfId="0" applyNumberFormat="1" applyFill="1" applyBorder="1" applyAlignment="1" applyProtection="1">
      <alignment horizontal="center" vertical="center" wrapText="1"/>
      <protection locked="0"/>
    </xf>
    <xf numFmtId="164" fontId="0" fillId="0" borderId="13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2" fillId="4" borderId="14" xfId="0" applyNumberFormat="1" applyFont="1" applyFill="1" applyBorder="1" applyAlignment="1">
      <alignment horizontal="center" vertical="center" wrapText="1"/>
    </xf>
    <xf numFmtId="165" fontId="2" fillId="4" borderId="14" xfId="0" applyNumberFormat="1" applyFont="1" applyFill="1" applyBorder="1" applyAlignment="1">
      <alignment horizontal="center" vertical="center" wrapText="1"/>
    </xf>
    <xf numFmtId="165" fontId="0" fillId="4" borderId="12" xfId="0" applyNumberForma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44" fontId="0" fillId="0" borderId="13" xfId="0" applyNumberFormat="1" applyBorder="1"/>
    <xf numFmtId="9" fontId="0" fillId="3" borderId="11" xfId="1" applyFont="1" applyFill="1" applyBorder="1" applyAlignment="1" applyProtection="1">
      <alignment horizontal="center" vertical="center"/>
      <protection locked="0"/>
    </xf>
    <xf numFmtId="8" fontId="0" fillId="0" borderId="1" xfId="0" applyNumberFormat="1" applyBorder="1" applyAlignment="1" applyProtection="1">
      <alignment horizontal="center" vertical="center"/>
      <protection locked="0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2" borderId="1" xfId="0" applyFill="1" applyBorder="1" applyAlignment="1">
      <alignment horizontal="center"/>
    </xf>
    <xf numFmtId="44" fontId="0" fillId="12" borderId="1" xfId="2" applyFont="1" applyFill="1" applyBorder="1" applyAlignment="1">
      <alignment horizontal="center"/>
    </xf>
    <xf numFmtId="0" fontId="6" fillId="11" borderId="0" xfId="0" applyFont="1" applyFill="1"/>
    <xf numFmtId="44" fontId="0" fillId="7" borderId="1" xfId="2" applyFont="1" applyFill="1" applyBorder="1" applyAlignment="1">
      <alignment horizontal="center"/>
    </xf>
    <xf numFmtId="44" fontId="0" fillId="8" borderId="1" xfId="2" applyFont="1" applyFill="1" applyBorder="1" applyAlignment="1">
      <alignment horizontal="center"/>
    </xf>
    <xf numFmtId="44" fontId="0" fillId="9" borderId="1" xfId="2" applyFont="1" applyFill="1" applyBorder="1" applyAlignment="1">
      <alignment horizontal="center"/>
    </xf>
    <xf numFmtId="44" fontId="0" fillId="10" borderId="1" xfId="2" applyFont="1" applyFill="1" applyBorder="1" applyAlignment="1">
      <alignment horizontal="center"/>
    </xf>
    <xf numFmtId="0" fontId="0" fillId="11" borderId="15" xfId="0" applyFill="1" applyBorder="1"/>
    <xf numFmtId="0" fontId="0" fillId="12" borderId="1" xfId="0" applyFill="1" applyBorder="1" applyAlignment="1" applyProtection="1">
      <alignment shrinkToFit="1"/>
      <protection locked="0"/>
    </xf>
    <xf numFmtId="0" fontId="7" fillId="0" borderId="13" xfId="0" applyFont="1" applyBorder="1"/>
    <xf numFmtId="8" fontId="0" fillId="0" borderId="13" xfId="0" applyNumberFormat="1" applyBorder="1" applyAlignment="1" applyProtection="1">
      <alignment horizontal="center" vertical="center"/>
      <protection locked="0"/>
    </xf>
    <xf numFmtId="164" fontId="0" fillId="13" borderId="12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164" fontId="0" fillId="15" borderId="5" xfId="0" applyNumberFormat="1" applyFill="1" applyBorder="1" applyAlignment="1">
      <alignment horizontal="center" vertical="center"/>
    </xf>
    <xf numFmtId="164" fontId="0" fillId="16" borderId="5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9" borderId="1" xfId="0" applyNumberForma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center" vertical="center"/>
    </xf>
    <xf numFmtId="164" fontId="0" fillId="22" borderId="1" xfId="0" applyNumberFormat="1" applyFill="1" applyBorder="1" applyAlignment="1">
      <alignment horizontal="center" vertical="center"/>
    </xf>
    <xf numFmtId="0" fontId="0" fillId="0" borderId="13" xfId="0" applyBorder="1" applyAlignment="1">
      <alignment wrapText="1"/>
    </xf>
    <xf numFmtId="165" fontId="0" fillId="0" borderId="16" xfId="0" applyNumberFormat="1" applyBorder="1" applyProtection="1">
      <protection locked="0"/>
    </xf>
    <xf numFmtId="165" fontId="0" fillId="0" borderId="16" xfId="0" applyNumberFormat="1" applyBorder="1"/>
    <xf numFmtId="164" fontId="0" fillId="0" borderId="16" xfId="0" applyNumberFormat="1" applyBorder="1"/>
    <xf numFmtId="0" fontId="0" fillId="0" borderId="1" xfId="0" applyNumberFormat="1" applyBorder="1" applyAlignment="1" applyProtection="1">
      <alignment horizontal="center" vertical="center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</cellXfs>
  <cellStyles count="3">
    <cellStyle name="Moneda" xfId="2" builtinId="4"/>
    <cellStyle name="Normal" xfId="0" builtinId="0"/>
    <cellStyle name="Porcentaje" xfId="1" builtinId="5"/>
  </cellStyles>
  <dxfs count="64"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$-80A]* #,##0.00_-;\-[$$-80A]* #,##0.00_-;_-[$$-80A]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0;\-0;;@"/>
      <alignment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80A]* #,##0.00_-;\-[$$-80A]* #,##0.00_-;_-[$$-80A]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_-[$$-80A]* #,##0.00_-;\-[$$-80A]* #,##0.00_-;_-[$$-80A]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[$$-409]* #,##0.00_ ;_-[$$-409]* \-#,##0.00\ ;_-[$$-409]* &quot;-&quot;??_ ;_-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_-[$$-409]* #,##0.00_ ;_-[$$-409]* \-#,##0.00\ ;_-[$$-409]* &quot;-&quot;??_ ;_-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_-[$$-409]* #,##0.00_ ;_-[$$-409]* \-#,##0.00\ ;_-[$$-409]* &quot;-&quot;??_ ;_-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C5"/>
      <color rgb="FFFFF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13607</xdr:colOff>
      <xdr:row>7</xdr:row>
      <xdr:rowOff>66675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960D387-05ED-19A2-B9E7-1B2F5B620343}"/>
            </a:ext>
          </a:extLst>
        </xdr:cNvPr>
        <xdr:cNvSpPr/>
      </xdr:nvSpPr>
      <xdr:spPr>
        <a:xfrm>
          <a:off x="0" y="0"/>
          <a:ext cx="12749893" cy="1304925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1038225</xdr:colOff>
      <xdr:row>3</xdr:row>
      <xdr:rowOff>147019</xdr:rowOff>
    </xdr:from>
    <xdr:to>
      <xdr:col>5</xdr:col>
      <xdr:colOff>790576</xdr:colOff>
      <xdr:row>6</xdr:row>
      <xdr:rowOff>104775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4597E29-9958-404F-A649-19E402AFB2C2}"/>
            </a:ext>
          </a:extLst>
        </xdr:cNvPr>
        <xdr:cNvSpPr txBox="1"/>
      </xdr:nvSpPr>
      <xdr:spPr>
        <a:xfrm>
          <a:off x="4333875" y="689944"/>
          <a:ext cx="4133851" cy="500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400" b="1">
              <a:solidFill>
                <a:schemeClr val="bg1"/>
              </a:solidFill>
              <a:latin typeface="Century" panose="02040604050505020304" pitchFamily="18" charset="0"/>
            </a:rPr>
            <a:t>Tabla</a:t>
          </a:r>
          <a:r>
            <a:rPr lang="es-MX" sz="2400" b="1" baseline="0">
              <a:solidFill>
                <a:schemeClr val="bg1"/>
              </a:solidFill>
              <a:latin typeface="Century" panose="02040604050505020304" pitchFamily="18" charset="0"/>
            </a:rPr>
            <a:t> de Precios Universal</a:t>
          </a:r>
          <a:endParaRPr lang="es-MX" sz="2400" b="1">
            <a:solidFill>
              <a:schemeClr val="bg1"/>
            </a:solidFill>
            <a:latin typeface="Century" panose="02040604050505020304" pitchFamily="18" charset="0"/>
          </a:endParaRPr>
        </a:p>
      </xdr:txBody>
    </xdr:sp>
    <xdr:clientData/>
  </xdr:twoCellAnchor>
  <xdr:twoCellAnchor>
    <xdr:from>
      <xdr:col>1</xdr:col>
      <xdr:colOff>514350</xdr:colOff>
      <xdr:row>0</xdr:row>
      <xdr:rowOff>95251</xdr:rowOff>
    </xdr:from>
    <xdr:to>
      <xdr:col>5</xdr:col>
      <xdr:colOff>409575</xdr:colOff>
      <xdr:row>4</xdr:row>
      <xdr:rowOff>87671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C7A566CB-FD39-4809-9916-6F72783C9686}"/>
            </a:ext>
          </a:extLst>
        </xdr:cNvPr>
        <xdr:cNvGrpSpPr/>
      </xdr:nvGrpSpPr>
      <xdr:grpSpPr>
        <a:xfrm>
          <a:off x="1752600" y="95251"/>
          <a:ext cx="6334125" cy="716320"/>
          <a:chOff x="9925050" y="502879"/>
          <a:chExt cx="6334125" cy="716320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3C9459F3-0153-AD7D-F2E1-3EA539AE5A36}"/>
              </a:ext>
            </a:extLst>
          </xdr:cNvPr>
          <xdr:cNvSpPr txBox="1"/>
        </xdr:nvSpPr>
        <xdr:spPr>
          <a:xfrm>
            <a:off x="9925050" y="547687"/>
            <a:ext cx="6334125" cy="6715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2400" b="1">
                <a:solidFill>
                  <a:schemeClr val="bg1"/>
                </a:solidFill>
                <a:latin typeface="Century" panose="02040604050505020304" pitchFamily="18" charset="0"/>
              </a:rPr>
              <a:t>Des</a:t>
            </a:r>
            <a:r>
              <a:rPr lang="es-MX" sz="2400" b="1" baseline="0">
                <a:solidFill>
                  <a:schemeClr val="bg1"/>
                </a:solidFill>
                <a:latin typeface="Century" panose="02040604050505020304" pitchFamily="18" charset="0"/>
              </a:rPr>
              <a:t>  </a:t>
            </a:r>
            <a:r>
              <a:rPr lang="es-MX" sz="2400" b="1">
                <a:solidFill>
                  <a:schemeClr val="bg1"/>
                </a:solidFill>
                <a:latin typeface="Century" panose="02040604050505020304" pitchFamily="18" charset="0"/>
              </a:rPr>
              <a:t>nGlass Smart Windows</a:t>
            </a:r>
          </a:p>
        </xdr:txBody>
      </xdr:sp>
      <xdr:pic>
        <xdr:nvPicPr>
          <xdr:cNvPr id="7" name="Imagen 6">
            <a:extLst>
              <a:ext uri="{FF2B5EF4-FFF2-40B4-BE49-F238E27FC236}">
                <a16:creationId xmlns:a16="http://schemas.microsoft.com/office/drawing/2014/main" id="{CDFB68EB-FE59-04EA-A0D2-EF895D2E61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-3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64627" y="502879"/>
            <a:ext cx="765356" cy="59055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238125</xdr:colOff>
      <xdr:row>1</xdr:row>
      <xdr:rowOff>85726</xdr:rowOff>
    </xdr:from>
    <xdr:to>
      <xdr:col>1</xdr:col>
      <xdr:colOff>362576</xdr:colOff>
      <xdr:row>5</xdr:row>
      <xdr:rowOff>123826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8647F47-7D0E-85A3-8275-20941F92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266701"/>
          <a:ext cx="1362701" cy="762000"/>
        </a:xfrm>
        <a:prstGeom prst="rect">
          <a:avLst/>
        </a:prstGeom>
      </xdr:spPr>
    </xdr:pic>
    <xdr:clientData/>
  </xdr:twoCellAnchor>
  <xdr:twoCellAnchor>
    <xdr:from>
      <xdr:col>5</xdr:col>
      <xdr:colOff>981074</xdr:colOff>
      <xdr:row>2</xdr:row>
      <xdr:rowOff>57149</xdr:rowOff>
    </xdr:from>
    <xdr:to>
      <xdr:col>6</xdr:col>
      <xdr:colOff>1285875</xdr:colOff>
      <xdr:row>4</xdr:row>
      <xdr:rowOff>161924</xdr:rowOff>
    </xdr:to>
    <xdr:sp macro="[0]!MostrarListado" textlink="">
      <xdr:nvSpPr>
        <xdr:cNvPr id="16" name="Rectángulo 15">
          <a:extLst>
            <a:ext uri="{FF2B5EF4-FFF2-40B4-BE49-F238E27FC236}">
              <a16:creationId xmlns:a16="http://schemas.microsoft.com/office/drawing/2014/main" id="{D27FEA92-1FCF-41BF-9FE3-25D83ADF7A39}"/>
            </a:ext>
          </a:extLst>
        </xdr:cNvPr>
        <xdr:cNvSpPr/>
      </xdr:nvSpPr>
      <xdr:spPr>
        <a:xfrm>
          <a:off x="8658224" y="419099"/>
          <a:ext cx="1438276" cy="46672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EDITAR</a:t>
          </a:r>
          <a:r>
            <a:rPr lang="es-MX" sz="11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</a:t>
          </a:r>
          <a:r>
            <a:rPr lang="es-MX" sz="11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PRECIO</a:t>
          </a:r>
          <a:r>
            <a:rPr lang="es-MX" sz="11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DE PRODUCTOS </a:t>
          </a:r>
          <a:endParaRPr lang="es-MX" sz="1100">
            <a:solidFill>
              <a:schemeClr val="tx1"/>
            </a:solidFill>
            <a:latin typeface="Traveling _Typewriter" panose="02000506000000020004" pitchFamily="50" charset="0"/>
            <a:ea typeface="Minecraft" panose="02000603000000000000" pitchFamily="2" charset="0"/>
            <a:cs typeface="Minecraftia" panose="00000400000000000000" pitchFamily="2" charset="0"/>
          </a:endParaRPr>
        </a:p>
      </xdr:txBody>
    </xdr:sp>
    <xdr:clientData/>
  </xdr:twoCellAnchor>
  <xdr:twoCellAnchor>
    <xdr:from>
      <xdr:col>6</xdr:col>
      <xdr:colOff>1514475</xdr:colOff>
      <xdr:row>2</xdr:row>
      <xdr:rowOff>57149</xdr:rowOff>
    </xdr:from>
    <xdr:to>
      <xdr:col>7</xdr:col>
      <xdr:colOff>942975</xdr:colOff>
      <xdr:row>4</xdr:row>
      <xdr:rowOff>152400</xdr:rowOff>
    </xdr:to>
    <xdr:sp macro="[0]!MostarListPrice" textlink="">
      <xdr:nvSpPr>
        <xdr:cNvPr id="17" name="Rectángulo 16">
          <a:extLst>
            <a:ext uri="{FF2B5EF4-FFF2-40B4-BE49-F238E27FC236}">
              <a16:creationId xmlns:a16="http://schemas.microsoft.com/office/drawing/2014/main" id="{B1C8D424-9E88-46C1-A452-FEE091169B18}"/>
            </a:ext>
          </a:extLst>
        </xdr:cNvPr>
        <xdr:cNvSpPr/>
      </xdr:nvSpPr>
      <xdr:spPr>
        <a:xfrm>
          <a:off x="10325100" y="419099"/>
          <a:ext cx="1428750" cy="457201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PRECIO</a:t>
          </a:r>
          <a:r>
            <a:rPr lang="es-MX" sz="11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DE PRODUCTOS </a:t>
          </a:r>
          <a:endParaRPr lang="es-MX" sz="1100">
            <a:solidFill>
              <a:schemeClr val="tx1"/>
            </a:solidFill>
            <a:latin typeface="Traveling _Typewriter" panose="02000506000000020004" pitchFamily="50" charset="0"/>
            <a:ea typeface="Minecraft" panose="02000603000000000000" pitchFamily="2" charset="0"/>
            <a:cs typeface="Minecraftia" panose="00000400000000000000" pitchFamily="2" charset="0"/>
          </a:endParaRPr>
        </a:p>
      </xdr:txBody>
    </xdr:sp>
    <xdr:clientData/>
  </xdr:twoCellAnchor>
  <xdr:twoCellAnchor>
    <xdr:from>
      <xdr:col>2</xdr:col>
      <xdr:colOff>1076325</xdr:colOff>
      <xdr:row>17</xdr:row>
      <xdr:rowOff>156545</xdr:rowOff>
    </xdr:from>
    <xdr:to>
      <xdr:col>5</xdr:col>
      <xdr:colOff>942975</xdr:colOff>
      <xdr:row>20</xdr:row>
      <xdr:rowOff>104776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B5E63E5C-B2CD-43D4-AEFD-83CE7A429E7C}"/>
            </a:ext>
          </a:extLst>
        </xdr:cNvPr>
        <xdr:cNvSpPr txBox="1"/>
      </xdr:nvSpPr>
      <xdr:spPr>
        <a:xfrm>
          <a:off x="4371975" y="3004520"/>
          <a:ext cx="4248150" cy="4911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800" b="1">
              <a:solidFill>
                <a:schemeClr val="tx1"/>
              </a:solidFill>
              <a:latin typeface="Century" panose="02040604050505020304" pitchFamily="18" charset="0"/>
            </a:rPr>
            <a:t>Precios</a:t>
          </a:r>
          <a:r>
            <a:rPr lang="es-MX" sz="1800" b="1" baseline="0">
              <a:solidFill>
                <a:schemeClr val="tx1"/>
              </a:solidFill>
              <a:latin typeface="Century" panose="02040604050505020304" pitchFamily="18" charset="0"/>
            </a:rPr>
            <a:t> DesinGlass Smart Windows</a:t>
          </a:r>
          <a:endParaRPr lang="es-MX" sz="1800" b="1">
            <a:solidFill>
              <a:schemeClr val="tx1"/>
            </a:solidFill>
            <a:latin typeface="Century" panose="020406040505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0</xdr:row>
      <xdr:rowOff>352424</xdr:rowOff>
    </xdr:from>
    <xdr:to>
      <xdr:col>23</xdr:col>
      <xdr:colOff>1647825</xdr:colOff>
      <xdr:row>11</xdr:row>
      <xdr:rowOff>171449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E9518BDC-6064-28CD-0760-BA2FB94FF8B4}"/>
            </a:ext>
          </a:extLst>
        </xdr:cNvPr>
        <xdr:cNvSpPr/>
      </xdr:nvSpPr>
      <xdr:spPr>
        <a:xfrm>
          <a:off x="4895850" y="352424"/>
          <a:ext cx="26850975" cy="2019300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742948</xdr:colOff>
      <xdr:row>0</xdr:row>
      <xdr:rowOff>142872</xdr:rowOff>
    </xdr:from>
    <xdr:to>
      <xdr:col>6</xdr:col>
      <xdr:colOff>323850</xdr:colOff>
      <xdr:row>12</xdr:row>
      <xdr:rowOff>47624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EC89BBD-6560-9FB4-1117-7C778562EE81}"/>
            </a:ext>
          </a:extLst>
        </xdr:cNvPr>
        <xdr:cNvSpPr/>
      </xdr:nvSpPr>
      <xdr:spPr>
        <a:xfrm>
          <a:off x="6010273" y="142872"/>
          <a:ext cx="3667127" cy="2305052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3</xdr:col>
      <xdr:colOff>1181100</xdr:colOff>
      <xdr:row>2</xdr:row>
      <xdr:rowOff>76201</xdr:rowOff>
    </xdr:from>
    <xdr:to>
      <xdr:col>5</xdr:col>
      <xdr:colOff>1057275</xdr:colOff>
      <xdr:row>10</xdr:row>
      <xdr:rowOff>31453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BBD53DF-C5D3-9977-9EA5-FE3D2DFAF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425" y="628651"/>
          <a:ext cx="2543175" cy="1422102"/>
        </a:xfrm>
        <a:prstGeom prst="rect">
          <a:avLst/>
        </a:prstGeom>
      </xdr:spPr>
    </xdr:pic>
    <xdr:clientData/>
  </xdr:twoCellAnchor>
  <xdr:twoCellAnchor>
    <xdr:from>
      <xdr:col>8</xdr:col>
      <xdr:colOff>408476</xdr:colOff>
      <xdr:row>6</xdr:row>
      <xdr:rowOff>49822</xdr:rowOff>
    </xdr:from>
    <xdr:to>
      <xdr:col>13</xdr:col>
      <xdr:colOff>75101</xdr:colOff>
      <xdr:row>9</xdr:row>
      <xdr:rowOff>168884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BAC263C-0688-456F-BE9C-20BFB3A26DCC}"/>
            </a:ext>
          </a:extLst>
        </xdr:cNvPr>
        <xdr:cNvSpPr txBox="1"/>
      </xdr:nvSpPr>
      <xdr:spPr>
        <a:xfrm>
          <a:off x="12095651" y="1345222"/>
          <a:ext cx="6334125" cy="6619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200" b="1">
              <a:solidFill>
                <a:schemeClr val="bg1"/>
              </a:solidFill>
              <a:latin typeface="Century" panose="02040604050505020304" pitchFamily="18" charset="0"/>
            </a:rPr>
            <a:t>Tabla</a:t>
          </a:r>
          <a:r>
            <a:rPr lang="es-MX" sz="3200" b="1" baseline="0">
              <a:solidFill>
                <a:schemeClr val="bg1"/>
              </a:solidFill>
              <a:latin typeface="Century" panose="02040604050505020304" pitchFamily="18" charset="0"/>
            </a:rPr>
            <a:t> de Precios Universal</a:t>
          </a:r>
          <a:endParaRPr lang="es-MX" sz="3200" b="1">
            <a:solidFill>
              <a:schemeClr val="bg1"/>
            </a:solidFill>
            <a:latin typeface="Century" panose="02040604050505020304" pitchFamily="18" charset="0"/>
          </a:endParaRPr>
        </a:p>
      </xdr:txBody>
    </xdr:sp>
    <xdr:clientData/>
  </xdr:twoCellAnchor>
  <xdr:twoCellAnchor>
    <xdr:from>
      <xdr:col>8</xdr:col>
      <xdr:colOff>400050</xdr:colOff>
      <xdr:row>1</xdr:row>
      <xdr:rowOff>64728</xdr:rowOff>
    </xdr:from>
    <xdr:to>
      <xdr:col>13</xdr:col>
      <xdr:colOff>66675</xdr:colOff>
      <xdr:row>6</xdr:row>
      <xdr:rowOff>37831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AC1BAC73-09B8-0892-D411-DFA741CB9A38}"/>
            </a:ext>
          </a:extLst>
        </xdr:cNvPr>
        <xdr:cNvGrpSpPr/>
      </xdr:nvGrpSpPr>
      <xdr:grpSpPr>
        <a:xfrm>
          <a:off x="10782300" y="426678"/>
          <a:ext cx="6334125" cy="906553"/>
          <a:chOff x="9925050" y="426678"/>
          <a:chExt cx="6334125" cy="906553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4DBF19C7-FF26-1217-E391-32F834D41380}"/>
              </a:ext>
            </a:extLst>
          </xdr:cNvPr>
          <xdr:cNvSpPr txBox="1"/>
        </xdr:nvSpPr>
        <xdr:spPr>
          <a:xfrm>
            <a:off x="9925050" y="547687"/>
            <a:ext cx="6334125" cy="6715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3600" b="1">
                <a:solidFill>
                  <a:schemeClr val="bg1"/>
                </a:solidFill>
                <a:latin typeface="Century" panose="02040604050505020304" pitchFamily="18" charset="0"/>
              </a:rPr>
              <a:t>Des</a:t>
            </a:r>
            <a:r>
              <a:rPr lang="es-MX" sz="3600" b="1" baseline="0">
                <a:solidFill>
                  <a:schemeClr val="bg1"/>
                </a:solidFill>
                <a:latin typeface="Century" panose="02040604050505020304" pitchFamily="18" charset="0"/>
              </a:rPr>
              <a:t>  </a:t>
            </a:r>
            <a:r>
              <a:rPr lang="es-MX" sz="3600" b="1">
                <a:solidFill>
                  <a:schemeClr val="bg1"/>
                </a:solidFill>
                <a:latin typeface="Century" panose="02040604050505020304" pitchFamily="18" charset="0"/>
              </a:rPr>
              <a:t>nGlass Smart Windows</a:t>
            </a: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193B3443-D758-0615-BA51-87E6EF20F2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-3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59877" y="426678"/>
            <a:ext cx="1174898" cy="9065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1285339</xdr:colOff>
      <xdr:row>1</xdr:row>
      <xdr:rowOff>18489</xdr:rowOff>
    </xdr:from>
    <xdr:to>
      <xdr:col>22</xdr:col>
      <xdr:colOff>99734</xdr:colOff>
      <xdr:row>10</xdr:row>
      <xdr:rowOff>172572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131A8136-C886-1A37-F787-72FEC3415ACF}"/>
            </a:ext>
          </a:extLst>
        </xdr:cNvPr>
        <xdr:cNvGrpSpPr/>
      </xdr:nvGrpSpPr>
      <xdr:grpSpPr>
        <a:xfrm>
          <a:off x="18335089" y="380439"/>
          <a:ext cx="10282495" cy="1811433"/>
          <a:chOff x="17477839" y="380439"/>
          <a:chExt cx="10282495" cy="1811433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CC070897-D2C7-4E79-883B-7D1E8B10A652}"/>
              </a:ext>
            </a:extLst>
          </xdr:cNvPr>
          <xdr:cNvSpPr txBox="1"/>
        </xdr:nvSpPr>
        <xdr:spPr>
          <a:xfrm>
            <a:off x="17477839" y="380439"/>
            <a:ext cx="2435576" cy="858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3200" b="1">
                <a:solidFill>
                  <a:schemeClr val="bg1"/>
                </a:solidFill>
                <a:latin typeface="Century" panose="02040604050505020304" pitchFamily="18" charset="0"/>
              </a:rPr>
              <a:t>Simbología:</a:t>
            </a:r>
            <a:r>
              <a:rPr lang="es-MX" sz="3200" b="1" baseline="0">
                <a:solidFill>
                  <a:schemeClr val="bg1"/>
                </a:solidFill>
                <a:latin typeface="Century" panose="02040604050505020304" pitchFamily="18" charset="0"/>
              </a:rPr>
              <a:t> </a:t>
            </a:r>
            <a:endParaRPr lang="es-MX" sz="3200" b="1">
              <a:solidFill>
                <a:schemeClr val="bg1"/>
              </a:solidFill>
              <a:latin typeface="Century" panose="02040604050505020304" pitchFamily="18" charset="0"/>
            </a:endParaRPr>
          </a:p>
        </xdr:txBody>
      </xdr:sp>
      <xdr:grpSp>
        <xdr:nvGrpSpPr>
          <xdr:cNvPr id="29" name="Grupo 28">
            <a:extLst>
              <a:ext uri="{FF2B5EF4-FFF2-40B4-BE49-F238E27FC236}">
                <a16:creationId xmlns:a16="http://schemas.microsoft.com/office/drawing/2014/main" id="{C0A37987-8368-9A14-C7AC-40EB8E5CA55E}"/>
              </a:ext>
            </a:extLst>
          </xdr:cNvPr>
          <xdr:cNvGrpSpPr/>
        </xdr:nvGrpSpPr>
        <xdr:grpSpPr>
          <a:xfrm>
            <a:off x="17554576" y="981636"/>
            <a:ext cx="10205758" cy="1210236"/>
            <a:chOff x="17554576" y="981636"/>
            <a:chExt cx="10205758" cy="1210236"/>
          </a:xfrm>
        </xdr:grpSpPr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33C546FD-522A-45CF-E79A-84355871AD8C}"/>
                </a:ext>
              </a:extLst>
            </xdr:cNvPr>
            <xdr:cNvGrpSpPr/>
          </xdr:nvGrpSpPr>
          <xdr:grpSpPr>
            <a:xfrm>
              <a:off x="17554576" y="1014132"/>
              <a:ext cx="7635416" cy="1096225"/>
              <a:chOff x="17566342" y="786652"/>
              <a:chExt cx="7643821" cy="1086140"/>
            </a:xfrm>
          </xdr:grpSpPr>
          <xdr:sp macro="" textlink="">
            <xdr:nvSpPr>
              <xdr:cNvPr id="11" name="Rectángulo 10">
                <a:extLst>
                  <a:ext uri="{FF2B5EF4-FFF2-40B4-BE49-F238E27FC236}">
                    <a16:creationId xmlns:a16="http://schemas.microsoft.com/office/drawing/2014/main" id="{6F0B51AD-E4FE-E8A4-AACC-D07A2A2D888E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4832235" y="1512792"/>
                <a:ext cx="360000" cy="360000"/>
              </a:xfrm>
              <a:prstGeom prst="rect">
                <a:avLst/>
              </a:prstGeom>
              <a:solidFill>
                <a:srgbClr val="0070C0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2" name="Rectángulo 11">
                <a:extLst>
                  <a:ext uri="{FF2B5EF4-FFF2-40B4-BE49-F238E27FC236}">
                    <a16:creationId xmlns:a16="http://schemas.microsoft.com/office/drawing/2014/main" id="{9BE1698A-9794-4788-B2BE-376A58A1F70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7577546" y="1497105"/>
                <a:ext cx="360000" cy="360000"/>
              </a:xfrm>
              <a:prstGeom prst="rect">
                <a:avLst/>
              </a:prstGeom>
              <a:solidFill>
                <a:schemeClr val="accent4">
                  <a:lumMod val="75000"/>
                </a:schemeClr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3" name="Rectángulo 12">
                <a:extLst>
                  <a:ext uri="{FF2B5EF4-FFF2-40B4-BE49-F238E27FC236}">
                    <a16:creationId xmlns:a16="http://schemas.microsoft.com/office/drawing/2014/main" id="{A855060B-1006-4739-9975-EB143A3FE68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9859063" y="786652"/>
                <a:ext cx="360000" cy="360000"/>
              </a:xfrm>
              <a:prstGeom prst="rect">
                <a:avLst/>
              </a:prstGeom>
              <a:solidFill>
                <a:srgbClr val="92D050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4" name="Rectángulo 13">
                <a:extLst>
                  <a:ext uri="{FF2B5EF4-FFF2-40B4-BE49-F238E27FC236}">
                    <a16:creationId xmlns:a16="http://schemas.microsoft.com/office/drawing/2014/main" id="{2386179C-CD86-4F7D-AB03-B24478CC666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9843374" y="1476934"/>
                <a:ext cx="360000" cy="360000"/>
              </a:xfrm>
              <a:prstGeom prst="rect">
                <a:avLst/>
              </a:prstGeom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5" name="Rectángulo 14">
                <a:extLst>
                  <a:ext uri="{FF2B5EF4-FFF2-40B4-BE49-F238E27FC236}">
                    <a16:creationId xmlns:a16="http://schemas.microsoft.com/office/drawing/2014/main" id="{7AFC0C4A-7741-433B-A148-12DEA880FE7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2281775" y="1506068"/>
                <a:ext cx="360000" cy="360000"/>
              </a:xfrm>
              <a:prstGeom prst="rect">
                <a:avLst/>
              </a:prstGeom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6" name="Rectángulo 15">
                <a:extLst>
                  <a:ext uri="{FF2B5EF4-FFF2-40B4-BE49-F238E27FC236}">
                    <a16:creationId xmlns:a16="http://schemas.microsoft.com/office/drawing/2014/main" id="{2E3359E9-5C15-4E5A-99BC-329FF8231A1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2299704" y="795617"/>
                <a:ext cx="360000" cy="36000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98A2175E-9DEF-45BF-9A8F-9519B1C87C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4850163" y="802340"/>
                <a:ext cx="360000" cy="360000"/>
              </a:xfrm>
              <a:prstGeom prst="rect">
                <a:avLst/>
              </a:prstGeom>
              <a:solidFill>
                <a:srgbClr val="FFFF00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8" name="Rectángulo 17">
                <a:extLst>
                  <a:ext uri="{FF2B5EF4-FFF2-40B4-BE49-F238E27FC236}">
                    <a16:creationId xmlns:a16="http://schemas.microsoft.com/office/drawing/2014/main" id="{D34A9D50-B138-409C-9515-C7C38C8FAC06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7566342" y="802340"/>
                <a:ext cx="360000" cy="360000"/>
              </a:xfrm>
              <a:prstGeom prst="rect">
                <a:avLst/>
              </a:prstGeom>
              <a:solidFill>
                <a:srgbClr val="002060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</xdr:grpSp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DEF40EB2-F774-4662-82D6-DD1E9A717E6A}"/>
                </a:ext>
              </a:extLst>
            </xdr:cNvPr>
            <xdr:cNvSpPr txBox="1"/>
          </xdr:nvSpPr>
          <xdr:spPr>
            <a:xfrm>
              <a:off x="25296742" y="1694329"/>
              <a:ext cx="2434456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Ingresar Dato 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E3FCD58F-3470-4585-AFEF-D539C4E26A55}"/>
                </a:ext>
              </a:extLst>
            </xdr:cNvPr>
            <xdr:cNvSpPr txBox="1"/>
          </xdr:nvSpPr>
          <xdr:spPr>
            <a:xfrm>
              <a:off x="25325878" y="988359"/>
              <a:ext cx="2434456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Precio ML 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5B9513FE-F527-45EC-889C-ED906642EE8A}"/>
                </a:ext>
              </a:extLst>
            </xdr:cNvPr>
            <xdr:cNvSpPr txBox="1"/>
          </xdr:nvSpPr>
          <xdr:spPr>
            <a:xfrm>
              <a:off x="22650474" y="1696570"/>
              <a:ext cx="2428292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Precio Wix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17B0435-DD25-4B68-BEB4-4FD120005BB2}"/>
                </a:ext>
              </a:extLst>
            </xdr:cNvPr>
            <xdr:cNvSpPr txBox="1"/>
          </xdr:nvSpPr>
          <xdr:spPr>
            <a:xfrm>
              <a:off x="22679610" y="1046630"/>
              <a:ext cx="2428292" cy="47232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0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Precio Brocker</a:t>
              </a:r>
              <a:endParaRPr lang="es-MX" sz="20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115B349D-BE71-405C-B3BE-AC5AD3D2CB12}"/>
                </a:ext>
              </a:extLst>
            </xdr:cNvPr>
            <xdr:cNvSpPr txBox="1"/>
          </xdr:nvSpPr>
          <xdr:spPr>
            <a:xfrm>
              <a:off x="20235048" y="1721224"/>
              <a:ext cx="2432774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0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Precio Oficina</a:t>
              </a:r>
              <a:endParaRPr lang="es-MX" sz="20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6E1FD732-D902-4F7C-A005-66AD00BE8390}"/>
                </a:ext>
              </a:extLst>
            </xdr:cNvPr>
            <xdr:cNvSpPr txBox="1"/>
          </xdr:nvSpPr>
          <xdr:spPr>
            <a:xfrm>
              <a:off x="20208154" y="981636"/>
              <a:ext cx="2432774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Precio Base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B2209FBF-1363-4F23-8818-C8EA7A806DAE}"/>
                </a:ext>
              </a:extLst>
            </xdr:cNvPr>
            <xdr:cNvSpPr txBox="1"/>
          </xdr:nvSpPr>
          <xdr:spPr>
            <a:xfrm>
              <a:off x="17983226" y="1678642"/>
              <a:ext cx="2437257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Resultados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3579E680-A81A-46D2-9B2F-BBB03476F3EC}"/>
                </a:ext>
              </a:extLst>
            </xdr:cNvPr>
            <xdr:cNvSpPr txBox="1"/>
          </xdr:nvSpPr>
          <xdr:spPr>
            <a:xfrm>
              <a:off x="18001155" y="983878"/>
              <a:ext cx="2437257" cy="4706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MX" sz="2400" b="1" baseline="0">
                  <a:solidFill>
                    <a:schemeClr val="bg1"/>
                  </a:solidFill>
                  <a:latin typeface="Century" panose="02040604050505020304" pitchFamily="18" charset="0"/>
                </a:rPr>
                <a:t>Formula</a:t>
              </a:r>
              <a:endParaRPr lang="es-MX" sz="2400" b="1">
                <a:solidFill>
                  <a:schemeClr val="bg1"/>
                </a:solidFill>
                <a:latin typeface="Century" panose="02040604050505020304" pitchFamily="18" charset="0"/>
              </a:endParaRPr>
            </a:p>
          </xdr:txBody>
        </xdr:sp>
      </xdr:grpSp>
    </xdr:grpSp>
    <xdr:clientData/>
  </xdr:twoCellAnchor>
  <xdr:twoCellAnchor editAs="oneCell">
    <xdr:from>
      <xdr:col>22</xdr:col>
      <xdr:colOff>747432</xdr:colOff>
      <xdr:row>0</xdr:row>
      <xdr:rowOff>195543</xdr:rowOff>
    </xdr:from>
    <xdr:to>
      <xdr:col>23</xdr:col>
      <xdr:colOff>1491463</xdr:colOff>
      <xdr:row>12</xdr:row>
      <xdr:rowOff>145677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CE6AEE28-C7DC-404D-9ADA-EFEDAD346E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738" t="14908" r="26873" b="21822"/>
        <a:stretch/>
      </xdr:blipFill>
      <xdr:spPr>
        <a:xfrm>
          <a:off x="30570207" y="195543"/>
          <a:ext cx="2068006" cy="2331384"/>
        </a:xfrm>
        <a:prstGeom prst="rect">
          <a:avLst/>
        </a:prstGeom>
      </xdr:spPr>
    </xdr:pic>
    <xdr:clientData/>
  </xdr:twoCellAnchor>
  <xdr:twoCellAnchor>
    <xdr:from>
      <xdr:col>6</xdr:col>
      <xdr:colOff>542925</xdr:colOff>
      <xdr:row>7</xdr:row>
      <xdr:rowOff>9525</xdr:rowOff>
    </xdr:from>
    <xdr:to>
      <xdr:col>8</xdr:col>
      <xdr:colOff>57150</xdr:colOff>
      <xdr:row>9</xdr:row>
      <xdr:rowOff>133350</xdr:rowOff>
    </xdr:to>
    <xdr:sp macro="[0]!MostrarListado" textlink="">
      <xdr:nvSpPr>
        <xdr:cNvPr id="32" name="Rectángulo 31">
          <a:extLst>
            <a:ext uri="{FF2B5EF4-FFF2-40B4-BE49-F238E27FC236}">
              <a16:creationId xmlns:a16="http://schemas.microsoft.com/office/drawing/2014/main" id="{A5557512-B864-D178-3988-3CD09E613F19}"/>
            </a:ext>
          </a:extLst>
        </xdr:cNvPr>
        <xdr:cNvSpPr/>
      </xdr:nvSpPr>
      <xdr:spPr>
        <a:xfrm>
          <a:off x="8848725" y="1485900"/>
          <a:ext cx="1847850" cy="4857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EDITAR</a:t>
          </a:r>
          <a:r>
            <a:rPr lang="es-MX" sz="12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</a:t>
          </a:r>
          <a:r>
            <a:rPr lang="es-MX" sz="12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PRECIO</a:t>
          </a:r>
          <a:r>
            <a:rPr lang="es-MX" sz="12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DE PRODUCTOS </a:t>
          </a:r>
          <a:endParaRPr lang="es-MX" sz="1200">
            <a:solidFill>
              <a:schemeClr val="tx1"/>
            </a:solidFill>
            <a:latin typeface="Traveling _Typewriter" panose="02000506000000020004" pitchFamily="50" charset="0"/>
            <a:ea typeface="Minecraft" panose="02000603000000000000" pitchFamily="2" charset="0"/>
            <a:cs typeface="Minecraftia" panose="00000400000000000000" pitchFamily="2" charset="0"/>
          </a:endParaRPr>
        </a:p>
      </xdr:txBody>
    </xdr:sp>
    <xdr:clientData/>
  </xdr:twoCellAnchor>
  <xdr:twoCellAnchor>
    <xdr:from>
      <xdr:col>6</xdr:col>
      <xdr:colOff>542925</xdr:colOff>
      <xdr:row>3</xdr:row>
      <xdr:rowOff>57150</xdr:rowOff>
    </xdr:from>
    <xdr:to>
      <xdr:col>8</xdr:col>
      <xdr:colOff>57150</xdr:colOff>
      <xdr:row>6</xdr:row>
      <xdr:rowOff>0</xdr:rowOff>
    </xdr:to>
    <xdr:sp macro="[0]!MostarListPrice" textlink="">
      <xdr:nvSpPr>
        <xdr:cNvPr id="33" name="Rectángulo 32">
          <a:extLst>
            <a:ext uri="{FF2B5EF4-FFF2-40B4-BE49-F238E27FC236}">
              <a16:creationId xmlns:a16="http://schemas.microsoft.com/office/drawing/2014/main" id="{6A8D70D4-65F4-461A-943E-A12FB3C88BE5}"/>
            </a:ext>
          </a:extLst>
        </xdr:cNvPr>
        <xdr:cNvSpPr/>
      </xdr:nvSpPr>
      <xdr:spPr>
        <a:xfrm>
          <a:off x="8848725" y="809625"/>
          <a:ext cx="1847850" cy="4857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PRECIO</a:t>
          </a:r>
          <a:r>
            <a:rPr lang="es-MX" sz="1200" baseline="0">
              <a:solidFill>
                <a:schemeClr val="tx1"/>
              </a:solidFill>
              <a:latin typeface="Traveling _Typewriter" panose="02000506000000020004" pitchFamily="50" charset="0"/>
              <a:ea typeface="Minecraft" panose="02000603000000000000" pitchFamily="2" charset="0"/>
              <a:cs typeface="Minecraftia" panose="00000400000000000000" pitchFamily="2" charset="0"/>
            </a:rPr>
            <a:t> DE PRODUCTOS </a:t>
          </a:r>
          <a:endParaRPr lang="es-MX" sz="1200">
            <a:solidFill>
              <a:schemeClr val="tx1"/>
            </a:solidFill>
            <a:latin typeface="Traveling _Typewriter" panose="02000506000000020004" pitchFamily="50" charset="0"/>
            <a:ea typeface="Minecraft" panose="02000603000000000000" pitchFamily="2" charset="0"/>
            <a:cs typeface="Minecraftia" panose="00000400000000000000" pitchFamily="2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FICINA\Documents\DESIN%20GLASS\InventarioSW\Programa%20DGSW.xlsm" TargetMode="External"/><Relationship Id="rId1" Type="http://schemas.openxmlformats.org/officeDocument/2006/relationships/externalLinkPath" Target="Programa%20DGS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ductos"/>
      <sheetName val="Movimientos"/>
      <sheetName val="DESINGLASS "/>
      <sheetName val="HOJA MAESTRA"/>
      <sheetName val="Tabla de Precios"/>
      <sheetName val="Tabla CT Precios"/>
      <sheetName val="Conversor de precios "/>
      <sheetName val="Hoja1"/>
      <sheetName val="Hoja para inventario"/>
      <sheetName val="Lista de Precios"/>
    </sheetNames>
    <sheetDataSet>
      <sheetData sheetId="0"/>
      <sheetData sheetId="1"/>
      <sheetData sheetId="2"/>
      <sheetData sheetId="3"/>
      <sheetData sheetId="4">
        <row r="2">
          <cell r="K2">
            <v>499.16666731558331</v>
          </cell>
          <cell r="L2">
            <v>900.26400104034326</v>
          </cell>
          <cell r="M2">
            <v>599.00000077870004</v>
          </cell>
        </row>
        <row r="3">
          <cell r="K3">
            <v>1040.8333346864165</v>
          </cell>
          <cell r="L3">
            <v>1768.6640021692629</v>
          </cell>
          <cell r="M3">
            <v>1249.0000016236997</v>
          </cell>
        </row>
        <row r="4">
          <cell r="K4">
            <v>1666.6583354999852</v>
          </cell>
          <cell r="L4">
            <v>2771.9866434735764</v>
          </cell>
          <cell r="M4">
            <v>1999.9900025999823</v>
          </cell>
        </row>
        <row r="5">
          <cell r="K5">
            <v>1666.6583354999893</v>
          </cell>
          <cell r="L5">
            <v>2771.9866434735832</v>
          </cell>
          <cell r="M5">
            <v>1999.9900025999873</v>
          </cell>
        </row>
        <row r="6">
          <cell r="K6">
            <v>458.33333392916671</v>
          </cell>
          <cell r="L6">
            <v>834.80000095524008</v>
          </cell>
          <cell r="M6">
            <v>550.00000071500006</v>
          </cell>
        </row>
        <row r="7">
          <cell r="K7">
            <v>287.29000014364499</v>
          </cell>
          <cell r="L7">
            <v>560.58332823029161</v>
          </cell>
          <cell r="M7">
            <v>344.74800017237396</v>
          </cell>
        </row>
        <row r="8">
          <cell r="K8">
            <v>458.33333379166675</v>
          </cell>
          <cell r="L8">
            <v>834.80000073480016</v>
          </cell>
          <cell r="M8">
            <v>550.0000005500001</v>
          </cell>
        </row>
        <row r="9">
          <cell r="K9">
            <v>517.52000025876009</v>
          </cell>
          <cell r="L9">
            <v>929.68806441484412</v>
          </cell>
          <cell r="M9">
            <v>621.02400031051206</v>
          </cell>
        </row>
        <row r="10">
          <cell r="K10">
            <v>517.52000025876009</v>
          </cell>
          <cell r="L10">
            <v>929.68806441484412</v>
          </cell>
          <cell r="M10">
            <v>1242.0480006210241</v>
          </cell>
        </row>
        <row r="11">
          <cell r="K11">
            <v>417.11000020855499</v>
          </cell>
          <cell r="L11">
            <v>768.71075233435533</v>
          </cell>
          <cell r="M11">
            <v>500.53200025026598</v>
          </cell>
        </row>
        <row r="12">
          <cell r="K12">
            <v>417.11000020855499</v>
          </cell>
          <cell r="L12">
            <v>768.71075233435533</v>
          </cell>
          <cell r="M12">
            <v>500.53200025026598</v>
          </cell>
        </row>
        <row r="13">
          <cell r="K13">
            <v>417.11000020855499</v>
          </cell>
          <cell r="L13">
            <v>768.71075233435533</v>
          </cell>
          <cell r="M13">
            <v>500.53200025026598</v>
          </cell>
        </row>
        <row r="14">
          <cell r="K14">
            <v>417.11000020855499</v>
          </cell>
          <cell r="L14">
            <v>768.71075233435533</v>
          </cell>
          <cell r="M14">
            <v>500.53200025026598</v>
          </cell>
        </row>
        <row r="15">
          <cell r="K15">
            <v>539.51000026975498</v>
          </cell>
          <cell r="L15">
            <v>964.94243243247126</v>
          </cell>
          <cell r="M15">
            <v>647.41200032370602</v>
          </cell>
        </row>
        <row r="16">
          <cell r="K16">
            <v>433.33333333896667</v>
          </cell>
          <cell r="L16">
            <v>794.72000000903142</v>
          </cell>
          <cell r="M16">
            <v>520.00000000676005</v>
          </cell>
        </row>
        <row r="17">
          <cell r="K17">
            <v>433.33333333896667</v>
          </cell>
          <cell r="L17">
            <v>794.72000000903142</v>
          </cell>
          <cell r="M17">
            <v>520.00000000676005</v>
          </cell>
        </row>
        <row r="18">
          <cell r="K18">
            <v>433.33333333896667</v>
          </cell>
          <cell r="L18">
            <v>794.72000000903142</v>
          </cell>
          <cell r="M18">
            <v>520.00000000676005</v>
          </cell>
        </row>
        <row r="19">
          <cell r="K19">
            <v>433.33333333896667</v>
          </cell>
          <cell r="L19">
            <v>794.72000000903142</v>
          </cell>
          <cell r="M19">
            <v>520.00000000676005</v>
          </cell>
        </row>
        <row r="20">
          <cell r="K20">
            <v>565.18000028258984</v>
          </cell>
          <cell r="L20">
            <v>1006.0965764530481</v>
          </cell>
          <cell r="M20">
            <v>678.21600033910784</v>
          </cell>
        </row>
        <row r="21">
          <cell r="K21">
            <v>454.1666672570833</v>
          </cell>
          <cell r="L21">
            <v>828.12000094655605</v>
          </cell>
          <cell r="M21">
            <v>545.00000070850001</v>
          </cell>
        </row>
        <row r="22">
          <cell r="K22">
            <v>454.16666725708353</v>
          </cell>
          <cell r="L22">
            <v>828.12000094655627</v>
          </cell>
          <cell r="M22">
            <v>545.00000070850024</v>
          </cell>
        </row>
        <row r="23">
          <cell r="K23">
            <v>454.16666725708353</v>
          </cell>
          <cell r="L23">
            <v>828.12000094655627</v>
          </cell>
          <cell r="M23">
            <v>545.00000070850024</v>
          </cell>
        </row>
        <row r="24">
          <cell r="K24">
            <v>454.16666725708353</v>
          </cell>
          <cell r="L24">
            <v>828.12000094655627</v>
          </cell>
          <cell r="M24">
            <v>545.00000070850024</v>
          </cell>
        </row>
        <row r="25">
          <cell r="K25">
            <v>483.62500000628711</v>
          </cell>
          <cell r="L25">
            <v>875.34760001007953</v>
          </cell>
          <cell r="M25">
            <v>580.35000000754451</v>
          </cell>
        </row>
        <row r="26">
          <cell r="K26">
            <v>549.90000027495</v>
          </cell>
          <cell r="L26">
            <v>981.59968044079983</v>
          </cell>
          <cell r="M26">
            <v>659.88000032994</v>
          </cell>
        </row>
        <row r="27">
          <cell r="K27">
            <v>158.33333353916666</v>
          </cell>
          <cell r="L27">
            <v>353.84000032999199</v>
          </cell>
          <cell r="M27">
            <v>190.000000247</v>
          </cell>
        </row>
        <row r="28">
          <cell r="K28">
            <v>91.666666785833314</v>
          </cell>
          <cell r="L28">
            <v>246.96000019104798</v>
          </cell>
          <cell r="M28">
            <v>110.00000014299998</v>
          </cell>
        </row>
        <row r="29">
          <cell r="K29">
            <v>625.54166747987074</v>
          </cell>
          <cell r="L29">
            <v>1102.8684013037289</v>
          </cell>
          <cell r="M29">
            <v>750.65000097584493</v>
          </cell>
        </row>
        <row r="30">
          <cell r="K30">
            <v>133.83333350731667</v>
          </cell>
          <cell r="L30">
            <v>314.56160027893009</v>
          </cell>
          <cell r="M30">
            <v>160.60000020877999</v>
          </cell>
        </row>
        <row r="31">
          <cell r="K31">
            <v>134.34000006717</v>
          </cell>
          <cell r="L31">
            <v>315.37388810768692</v>
          </cell>
          <cell r="M31">
            <v>161.20800008060399</v>
          </cell>
        </row>
        <row r="32">
          <cell r="K32">
            <v>541.66666737083335</v>
          </cell>
          <cell r="L32">
            <v>968.40000112892005</v>
          </cell>
          <cell r="M32">
            <v>650.00000084500005</v>
          </cell>
        </row>
        <row r="33">
          <cell r="K33">
            <v>1586.2500007931249</v>
          </cell>
          <cell r="L33">
            <v>2643.0760012715377</v>
          </cell>
          <cell r="M33">
            <v>1903.5000009517498</v>
          </cell>
        </row>
        <row r="34">
          <cell r="K34">
            <v>275.000000003575</v>
          </cell>
          <cell r="L34">
            <v>540.8800000057314</v>
          </cell>
          <cell r="M34">
            <v>330.00000000428997</v>
          </cell>
        </row>
        <row r="35">
          <cell r="K35">
            <v>260.85000013042497</v>
          </cell>
          <cell r="L35">
            <v>518.19472020909734</v>
          </cell>
          <cell r="M35">
            <v>313.02000015650998</v>
          </cell>
        </row>
        <row r="36">
          <cell r="K36">
            <v>100.00000000130001</v>
          </cell>
          <cell r="L36">
            <v>260.32000000208416</v>
          </cell>
          <cell r="M36">
            <v>120.00000000156001</v>
          </cell>
        </row>
        <row r="37">
          <cell r="K37">
            <v>583.33333409166653</v>
          </cell>
          <cell r="L37">
            <v>1035.2000012157598</v>
          </cell>
          <cell r="M37">
            <v>700.00000090999981</v>
          </cell>
        </row>
        <row r="38">
          <cell r="K38">
            <v>625.00000081250005</v>
          </cell>
          <cell r="L38">
            <v>1102.0000013026001</v>
          </cell>
          <cell r="M38">
            <v>750.00000097500003</v>
          </cell>
        </row>
        <row r="39">
          <cell r="K39">
            <v>1083.3333347416667</v>
          </cell>
          <cell r="L39">
            <v>1836.8000022578401</v>
          </cell>
          <cell r="M39">
            <v>1300.0000016900001</v>
          </cell>
        </row>
        <row r="40">
          <cell r="K40">
            <v>625.00000081250005</v>
          </cell>
          <cell r="L40">
            <v>1102.0000013026001</v>
          </cell>
          <cell r="M40">
            <v>750.00000097500003</v>
          </cell>
        </row>
        <row r="41">
          <cell r="K41">
            <v>574.16666741308336</v>
          </cell>
          <cell r="L41">
            <v>1020.5040011966553</v>
          </cell>
          <cell r="M41">
            <v>689.00000089570005</v>
          </cell>
        </row>
        <row r="42">
          <cell r="K42">
            <v>541.66666737083335</v>
          </cell>
          <cell r="L42">
            <v>968.40000112892005</v>
          </cell>
          <cell r="M42">
            <v>650.00000084500005</v>
          </cell>
        </row>
        <row r="43">
          <cell r="K43">
            <v>1069.98000053499</v>
          </cell>
          <cell r="L43">
            <v>1815.3919368576962</v>
          </cell>
          <cell r="M43">
            <v>1283.9760006419881</v>
          </cell>
        </row>
        <row r="44">
          <cell r="K44">
            <v>20383.372035398228</v>
          </cell>
          <cell r="L44">
            <v>32778.622047150435</v>
          </cell>
          <cell r="M44">
            <v>24460.046442477873</v>
          </cell>
        </row>
        <row r="45">
          <cell r="K45">
            <v>0</v>
          </cell>
          <cell r="L45">
            <v>100</v>
          </cell>
          <cell r="M45">
            <v>0</v>
          </cell>
        </row>
        <row r="46">
          <cell r="K46">
            <v>341.87000017093499</v>
          </cell>
          <cell r="L46">
            <v>648.08598427404297</v>
          </cell>
          <cell r="M46">
            <v>410.24400020512201</v>
          </cell>
        </row>
        <row r="47">
          <cell r="K47">
            <v>78.210000000000008</v>
          </cell>
          <cell r="L47">
            <v>225.38627200000002</v>
          </cell>
          <cell r="M47">
            <v>93.852000000000004</v>
          </cell>
        </row>
        <row r="48">
          <cell r="K48">
            <v>587.27000029363501</v>
          </cell>
          <cell r="L48">
            <v>1041.5112644707556</v>
          </cell>
          <cell r="M48">
            <v>704.72400035236205</v>
          </cell>
        </row>
        <row r="49">
          <cell r="K49">
            <v>151.785</v>
          </cell>
          <cell r="L49">
            <v>343.34171200000003</v>
          </cell>
          <cell r="M49">
            <v>182.142</v>
          </cell>
        </row>
        <row r="50">
          <cell r="K50">
            <v>1083.3250014083224</v>
          </cell>
          <cell r="L50">
            <v>1836.7866422578227</v>
          </cell>
          <cell r="M50">
            <v>1299.9900016899869</v>
          </cell>
        </row>
        <row r="51">
          <cell r="K51">
            <v>306.95999999999998</v>
          </cell>
          <cell r="L51">
            <v>592.11827199999993</v>
          </cell>
          <cell r="M51">
            <v>368.35199999999998</v>
          </cell>
        </row>
        <row r="52">
          <cell r="K52">
            <v>600.00000078000005</v>
          </cell>
          <cell r="L52">
            <v>1061.9200012504962</v>
          </cell>
          <cell r="M52">
            <v>720.00000093600011</v>
          </cell>
        </row>
        <row r="53">
          <cell r="K53">
            <v>432.46500000000003</v>
          </cell>
          <cell r="L53">
            <v>793.32788800000014</v>
          </cell>
          <cell r="M53">
            <v>518.95800000000008</v>
          </cell>
        </row>
        <row r="54">
          <cell r="K54">
            <v>2358.3333363991669</v>
          </cell>
          <cell r="L54">
            <v>3880.8800049151441</v>
          </cell>
          <cell r="M54">
            <v>2830.0000036790002</v>
          </cell>
        </row>
        <row r="55">
          <cell r="K55">
            <v>2583.3333366916668</v>
          </cell>
          <cell r="L55">
            <v>4241.6000053840799</v>
          </cell>
          <cell r="M55">
            <v>3100.0000040300001</v>
          </cell>
        </row>
        <row r="56">
          <cell r="K56">
            <v>676.80000033839997</v>
          </cell>
          <cell r="L56">
            <v>1185.0457605425227</v>
          </cell>
          <cell r="M56">
            <v>812.16000040607992</v>
          </cell>
        </row>
        <row r="57">
          <cell r="K57">
            <v>676.80000033839997</v>
          </cell>
          <cell r="L57">
            <v>1185.0457605425227</v>
          </cell>
          <cell r="M57">
            <v>812.16000040607992</v>
          </cell>
        </row>
        <row r="58">
          <cell r="K58">
            <v>3300.0000016500003</v>
          </cell>
          <cell r="L58">
            <v>5390.5600026452812</v>
          </cell>
          <cell r="M58">
            <v>3960.0000019800004</v>
          </cell>
        </row>
        <row r="59">
          <cell r="K59">
            <v>564.56999999999994</v>
          </cell>
          <cell r="L59">
            <v>1005.118624</v>
          </cell>
          <cell r="M59">
            <v>677.48399999999992</v>
          </cell>
        </row>
        <row r="60">
          <cell r="K60">
            <v>410.25641066666662</v>
          </cell>
          <cell r="L60">
            <v>757.7230775807999</v>
          </cell>
          <cell r="M60">
            <v>492.30769279999993</v>
          </cell>
        </row>
        <row r="61">
          <cell r="K61">
            <v>141.27000000000001</v>
          </cell>
          <cell r="L61">
            <v>326.48406399999999</v>
          </cell>
          <cell r="M61">
            <v>169.524</v>
          </cell>
        </row>
        <row r="62">
          <cell r="K62">
            <v>719.45000035972498</v>
          </cell>
          <cell r="L62">
            <v>1253.4222405767111</v>
          </cell>
          <cell r="M62">
            <v>863.34000043166998</v>
          </cell>
        </row>
        <row r="63">
          <cell r="K63">
            <v>476.98500000000001</v>
          </cell>
          <cell r="L63">
            <v>864.70235200000013</v>
          </cell>
          <cell r="M63">
            <v>572.38200000000006</v>
          </cell>
        </row>
        <row r="64">
          <cell r="K64">
            <v>0</v>
          </cell>
          <cell r="L64">
            <v>100</v>
          </cell>
          <cell r="M64">
            <v>0</v>
          </cell>
        </row>
        <row r="65">
          <cell r="K65">
            <v>0</v>
          </cell>
          <cell r="L65">
            <v>100</v>
          </cell>
          <cell r="M65">
            <v>0</v>
          </cell>
        </row>
        <row r="66">
          <cell r="K66">
            <v>408.33333333864169</v>
          </cell>
          <cell r="L66">
            <v>754.64000000851036</v>
          </cell>
          <cell r="M66">
            <v>490.00000000637004</v>
          </cell>
        </row>
        <row r="67">
          <cell r="K67">
            <v>879.4900004397449</v>
          </cell>
          <cell r="L67">
            <v>1509.9983687049992</v>
          </cell>
          <cell r="M67">
            <v>1055.388000527694</v>
          </cell>
        </row>
        <row r="68">
          <cell r="K68">
            <v>421.65668663023553</v>
          </cell>
          <cell r="L68">
            <v>776.00000000559362</v>
          </cell>
          <cell r="M68">
            <v>505.98802395628263</v>
          </cell>
        </row>
        <row r="69">
          <cell r="K69">
            <v>598.78499999999997</v>
          </cell>
          <cell r="L69">
            <v>1059.9721119999999</v>
          </cell>
          <cell r="M69">
            <v>718.54199999999992</v>
          </cell>
        </row>
        <row r="70">
          <cell r="K70">
            <v>208.33333333604165</v>
          </cell>
          <cell r="L70">
            <v>434.00000000434193</v>
          </cell>
          <cell r="M70">
            <v>250.00000000324997</v>
          </cell>
        </row>
        <row r="71">
          <cell r="K71">
            <v>208.33333333604165</v>
          </cell>
          <cell r="L71">
            <v>434.00000000434193</v>
          </cell>
          <cell r="M71">
            <v>250.00000000324997</v>
          </cell>
        </row>
        <row r="72">
          <cell r="K72">
            <v>533.530000266765</v>
          </cell>
          <cell r="L72">
            <v>955.35529642767767</v>
          </cell>
          <cell r="M72">
            <v>640.23600032011802</v>
          </cell>
        </row>
        <row r="73">
          <cell r="K73">
            <v>192</v>
          </cell>
          <cell r="L73">
            <v>407.81439999999998</v>
          </cell>
          <cell r="M73">
            <v>230.4</v>
          </cell>
        </row>
        <row r="74">
          <cell r="K74">
            <v>227.52</v>
          </cell>
          <cell r="L74">
            <v>464.760064</v>
          </cell>
          <cell r="M74">
            <v>273.024</v>
          </cell>
        </row>
        <row r="75">
          <cell r="K75">
            <v>173.73</v>
          </cell>
          <cell r="L75">
            <v>378.52393599999999</v>
          </cell>
          <cell r="M75">
            <v>208.476</v>
          </cell>
        </row>
        <row r="76">
          <cell r="K76">
            <v>500.00000065</v>
          </cell>
          <cell r="L76">
            <v>901.60000104208007</v>
          </cell>
          <cell r="M76">
            <v>600.00000078000005</v>
          </cell>
        </row>
        <row r="77">
          <cell r="K77">
            <v>541.66666737083335</v>
          </cell>
          <cell r="L77">
            <v>968.40000112892005</v>
          </cell>
          <cell r="M77">
            <v>650.00000084500005</v>
          </cell>
        </row>
        <row r="78">
          <cell r="K78">
            <v>678.84615452499997</v>
          </cell>
          <cell r="L78">
            <v>1188.32615493448</v>
          </cell>
          <cell r="M78">
            <v>814.61538542999995</v>
          </cell>
        </row>
        <row r="79">
          <cell r="K79">
            <v>875.61000043780507</v>
          </cell>
          <cell r="L79">
            <v>1503.7779527018893</v>
          </cell>
          <cell r="M79">
            <v>1050.7320005253662</v>
          </cell>
        </row>
        <row r="80">
          <cell r="K80">
            <v>243.58974383333398</v>
          </cell>
          <cell r="L80">
            <v>490.52307731360105</v>
          </cell>
          <cell r="M80">
            <v>292.30769260000079</v>
          </cell>
        </row>
        <row r="81">
          <cell r="K81">
            <v>256.4102566666665</v>
          </cell>
          <cell r="L81">
            <v>511.07692348799975</v>
          </cell>
          <cell r="M81">
            <v>307.6923079999998</v>
          </cell>
        </row>
        <row r="82">
          <cell r="K82">
            <v>605.09999999999991</v>
          </cell>
          <cell r="L82">
            <v>1070.0963199999999</v>
          </cell>
          <cell r="M82">
            <v>726.11999999999989</v>
          </cell>
        </row>
        <row r="83">
          <cell r="K83">
            <v>605.10000030254992</v>
          </cell>
          <cell r="L83">
            <v>1070.0963204850482</v>
          </cell>
          <cell r="M83">
            <v>726.12000036305994</v>
          </cell>
        </row>
        <row r="84">
          <cell r="K84">
            <v>240</v>
          </cell>
          <cell r="L84">
            <v>484.76800000000003</v>
          </cell>
          <cell r="M84">
            <v>288</v>
          </cell>
        </row>
        <row r="85">
          <cell r="K85">
            <v>133.33333350666666</v>
          </cell>
          <cell r="L85">
            <v>313.76000027788803</v>
          </cell>
          <cell r="M85">
            <v>160.00000020799999</v>
          </cell>
        </row>
        <row r="86">
          <cell r="K86">
            <v>96.076923172999983</v>
          </cell>
          <cell r="L86">
            <v>254.03052323095358</v>
          </cell>
          <cell r="M86">
            <v>115.29230780759998</v>
          </cell>
        </row>
        <row r="87">
          <cell r="K87">
            <v>407.69166719666589</v>
          </cell>
          <cell r="L87">
            <v>753.61128084969482</v>
          </cell>
          <cell r="M87">
            <v>489.23000063599909</v>
          </cell>
        </row>
        <row r="88">
          <cell r="K88">
            <v>336.53846187500005</v>
          </cell>
          <cell r="L88">
            <v>639.53846207800007</v>
          </cell>
          <cell r="M88">
            <v>403.84615425000004</v>
          </cell>
        </row>
        <row r="89">
          <cell r="K89">
            <v>527.34000026366994</v>
          </cell>
          <cell r="L89">
            <v>945.43148842271557</v>
          </cell>
          <cell r="M89">
            <v>632.80800031640388</v>
          </cell>
        </row>
        <row r="90">
          <cell r="K90">
            <v>650.00000084499993</v>
          </cell>
          <cell r="L90">
            <v>1142.0800013547041</v>
          </cell>
          <cell r="M90">
            <v>780.00000101399996</v>
          </cell>
        </row>
        <row r="91">
          <cell r="K91">
            <v>263.25</v>
          </cell>
          <cell r="L91">
            <v>522.04240000000004</v>
          </cell>
          <cell r="M91">
            <v>315.89999999999998</v>
          </cell>
        </row>
        <row r="92">
          <cell r="K92">
            <v>1083.3333347416667</v>
          </cell>
          <cell r="L92">
            <v>1836.8000022578401</v>
          </cell>
          <cell r="M92">
            <v>1300.0000016900001</v>
          </cell>
        </row>
        <row r="93">
          <cell r="K93">
            <v>990.13000049506491</v>
          </cell>
          <cell r="L93">
            <v>1687.3764167936879</v>
          </cell>
          <cell r="M93">
            <v>1188.1560005940778</v>
          </cell>
        </row>
        <row r="94">
          <cell r="K94">
            <v>658.33333418916675</v>
          </cell>
          <cell r="L94">
            <v>1155.4400013720719</v>
          </cell>
          <cell r="M94">
            <v>790.00000102700005</v>
          </cell>
        </row>
        <row r="95">
          <cell r="K95">
            <v>428.76</v>
          </cell>
          <cell r="L95">
            <v>787.38803199999995</v>
          </cell>
          <cell r="M95">
            <v>514.51199999999994</v>
          </cell>
        </row>
        <row r="96">
          <cell r="K96">
            <v>746.33000037316492</v>
          </cell>
          <cell r="L96">
            <v>1296.516256598258</v>
          </cell>
          <cell r="M96">
            <v>895.59600044779791</v>
          </cell>
        </row>
        <row r="97">
          <cell r="K97">
            <v>379.16666715958331</v>
          </cell>
          <cell r="L97">
            <v>707.88000079024403</v>
          </cell>
          <cell r="M97">
            <v>455.0000005915</v>
          </cell>
        </row>
        <row r="98">
          <cell r="K98">
            <v>375.06000018753002</v>
          </cell>
          <cell r="L98">
            <v>701.29619230064816</v>
          </cell>
          <cell r="M98">
            <v>450.07200022503605</v>
          </cell>
        </row>
        <row r="99">
          <cell r="K99">
            <v>419.48000020974007</v>
          </cell>
          <cell r="L99">
            <v>772.51033633625525</v>
          </cell>
          <cell r="M99">
            <v>503.37600025168808</v>
          </cell>
        </row>
        <row r="100">
          <cell r="K100">
            <v>201.18000010059001</v>
          </cell>
          <cell r="L100">
            <v>422.53177616126595</v>
          </cell>
          <cell r="M100">
            <v>241.41600012070802</v>
          </cell>
        </row>
        <row r="101">
          <cell r="K101">
            <v>0</v>
          </cell>
          <cell r="L101">
            <v>100</v>
          </cell>
          <cell r="M101">
            <v>0</v>
          </cell>
        </row>
        <row r="102">
          <cell r="K102">
            <v>0</v>
          </cell>
          <cell r="L102">
            <v>100</v>
          </cell>
          <cell r="M102">
            <v>0</v>
          </cell>
        </row>
        <row r="103">
          <cell r="K103">
            <v>1985.28000099264</v>
          </cell>
          <cell r="L103">
            <v>3282.8008975914008</v>
          </cell>
          <cell r="M103">
            <v>2382.3360011911682</v>
          </cell>
        </row>
        <row r="104">
          <cell r="K104">
            <v>0</v>
          </cell>
          <cell r="L104">
            <v>100</v>
          </cell>
          <cell r="M104">
            <v>0</v>
          </cell>
        </row>
        <row r="105">
          <cell r="K105">
            <v>0</v>
          </cell>
          <cell r="L105">
            <v>100</v>
          </cell>
          <cell r="M105">
            <v>0</v>
          </cell>
        </row>
        <row r="106">
          <cell r="K106">
            <v>144.06</v>
          </cell>
          <cell r="L106">
            <v>330.95699200000001</v>
          </cell>
          <cell r="M106">
            <v>172.87200000000001</v>
          </cell>
        </row>
        <row r="107">
          <cell r="K107">
            <v>117.2250001523925</v>
          </cell>
          <cell r="L107">
            <v>287.93512024431567</v>
          </cell>
          <cell r="M107">
            <v>140.67000018287101</v>
          </cell>
        </row>
        <row r="108">
          <cell r="K108">
            <v>437.66000021883002</v>
          </cell>
          <cell r="L108">
            <v>801.65651235082828</v>
          </cell>
          <cell r="M108">
            <v>525.19200026259603</v>
          </cell>
        </row>
        <row r="109">
          <cell r="K109">
            <v>309.85000015492506</v>
          </cell>
          <cell r="L109">
            <v>596.75152024837587</v>
          </cell>
          <cell r="M109">
            <v>371.82000018591009</v>
          </cell>
        </row>
        <row r="110">
          <cell r="K110">
            <v>358.630000179315</v>
          </cell>
          <cell r="L110">
            <v>674.95561628747782</v>
          </cell>
          <cell r="M110">
            <v>430.35600021517803</v>
          </cell>
        </row>
        <row r="111">
          <cell r="K111">
            <v>416.66666720833337</v>
          </cell>
          <cell r="L111">
            <v>768.00000086840009</v>
          </cell>
          <cell r="M111">
            <v>500.00000065000006</v>
          </cell>
        </row>
        <row r="112">
          <cell r="K112">
            <v>375.00000048750002</v>
          </cell>
          <cell r="L112">
            <v>701.20000078155999</v>
          </cell>
          <cell r="M112">
            <v>450.00000058500001</v>
          </cell>
        </row>
        <row r="113">
          <cell r="K113">
            <v>375.00000048750002</v>
          </cell>
          <cell r="L113">
            <v>701.20000078155999</v>
          </cell>
          <cell r="M113">
            <v>450.00000058500001</v>
          </cell>
        </row>
        <row r="114">
          <cell r="K114">
            <v>1749.1666689405836</v>
          </cell>
          <cell r="L114">
            <v>2904.2640036455441</v>
          </cell>
          <cell r="M114">
            <v>2099.0000027287006</v>
          </cell>
        </row>
        <row r="115">
          <cell r="K115">
            <v>2004.6700010023351</v>
          </cell>
          <cell r="L115">
            <v>3313.8869456069433</v>
          </cell>
          <cell r="M115">
            <v>2405.604001202802</v>
          </cell>
        </row>
        <row r="116">
          <cell r="K116">
            <v>2004.6700010023351</v>
          </cell>
          <cell r="L116">
            <v>3313.8869456069433</v>
          </cell>
          <cell r="M116">
            <v>2405.604001202802</v>
          </cell>
        </row>
        <row r="117">
          <cell r="K117">
            <v>2004.6700010023351</v>
          </cell>
          <cell r="L117">
            <v>3313.8869456069433</v>
          </cell>
          <cell r="M117">
            <v>2405.604001202802</v>
          </cell>
        </row>
        <row r="118">
          <cell r="K118">
            <v>10416.670005208336</v>
          </cell>
          <cell r="L118">
            <v>16800.005352350003</v>
          </cell>
          <cell r="M118">
            <v>12500.004006250003</v>
          </cell>
        </row>
        <row r="119">
          <cell r="K119">
            <v>4000.0000052</v>
          </cell>
          <cell r="L119">
            <v>6512.8000083366405</v>
          </cell>
          <cell r="M119">
            <v>4800.0000062400004</v>
          </cell>
        </row>
        <row r="120">
          <cell r="K120">
            <v>183.87500023903749</v>
          </cell>
          <cell r="L120">
            <v>394.78840038322494</v>
          </cell>
          <cell r="M120">
            <v>220.650000286845</v>
          </cell>
        </row>
        <row r="121">
          <cell r="K121">
            <v>283.33333370166667</v>
          </cell>
          <cell r="L121">
            <v>554.24000059051195</v>
          </cell>
          <cell r="M121">
            <v>340.00000044199999</v>
          </cell>
        </row>
        <row r="122">
          <cell r="K122">
            <v>399.77000019988498</v>
          </cell>
          <cell r="L122">
            <v>740.91126432045564</v>
          </cell>
          <cell r="M122">
            <v>479.72400023986199</v>
          </cell>
        </row>
        <row r="123">
          <cell r="K123">
            <v>162.50000008124999</v>
          </cell>
          <cell r="L123">
            <v>360.52000013025997</v>
          </cell>
          <cell r="M123">
            <v>195.00000009749999</v>
          </cell>
        </row>
        <row r="124">
          <cell r="K124">
            <v>306.17000015308503</v>
          </cell>
          <cell r="L124">
            <v>590.85174424542583</v>
          </cell>
          <cell r="M124">
            <v>367.40400018370201</v>
          </cell>
        </row>
        <row r="125">
          <cell r="K125">
            <v>408.33333386416666</v>
          </cell>
          <cell r="L125">
            <v>754.64000085103203</v>
          </cell>
          <cell r="M125">
            <v>490.00000063699997</v>
          </cell>
        </row>
        <row r="126">
          <cell r="K126">
            <v>161.64000000000001</v>
          </cell>
          <cell r="L126">
            <v>359.14124800000002</v>
          </cell>
          <cell r="M126">
            <v>193.96800000000002</v>
          </cell>
        </row>
        <row r="127">
          <cell r="K127">
            <v>375.00000048750002</v>
          </cell>
          <cell r="L127">
            <v>701.20000078155999</v>
          </cell>
          <cell r="M127">
            <v>450.00000058500001</v>
          </cell>
        </row>
        <row r="128">
          <cell r="K128">
            <v>104.17500000000001</v>
          </cell>
          <cell r="L128">
            <v>267.01336000000003</v>
          </cell>
          <cell r="M128">
            <v>125.01000000000002</v>
          </cell>
        </row>
        <row r="129">
          <cell r="K129">
            <v>601.875</v>
          </cell>
          <cell r="L129">
            <v>1064.9259999999999</v>
          </cell>
          <cell r="M129">
            <v>722.25</v>
          </cell>
        </row>
        <row r="130">
          <cell r="K130">
            <v>549</v>
          </cell>
          <cell r="L130">
            <v>980.15679999999998</v>
          </cell>
          <cell r="M130">
            <v>658.8</v>
          </cell>
        </row>
        <row r="131">
          <cell r="K131">
            <v>291.66666704583326</v>
          </cell>
          <cell r="L131">
            <v>567.60000060787991</v>
          </cell>
          <cell r="M131">
            <v>350.00000045499991</v>
          </cell>
        </row>
        <row r="132">
          <cell r="K132">
            <v>750.00000097500003</v>
          </cell>
          <cell r="L132">
            <v>1302.40000156312</v>
          </cell>
          <cell r="M132">
            <v>900.00000117000002</v>
          </cell>
        </row>
        <row r="133">
          <cell r="K133">
            <v>466.6666672733333</v>
          </cell>
          <cell r="L133">
            <v>848.16000097260803</v>
          </cell>
          <cell r="M133">
            <v>560.00000072800003</v>
          </cell>
        </row>
        <row r="134">
          <cell r="K134">
            <v>563.82196721311482</v>
          </cell>
          <cell r="L134">
            <v>1003.9193778360657</v>
          </cell>
          <cell r="M134">
            <v>676.58636065573774</v>
          </cell>
        </row>
        <row r="135">
          <cell r="K135">
            <v>393.07000019653503</v>
          </cell>
          <cell r="L135">
            <v>730.16982431508495</v>
          </cell>
          <cell r="M135">
            <v>471.68400023584206</v>
          </cell>
        </row>
        <row r="136">
          <cell r="K136">
            <v>403.40999999999997</v>
          </cell>
          <cell r="L136">
            <v>746.74691199999995</v>
          </cell>
          <cell r="M136">
            <v>484.09199999999998</v>
          </cell>
        </row>
        <row r="137">
          <cell r="K137">
            <v>277.60500000000002</v>
          </cell>
          <cell r="L137">
            <v>545.0563360000001</v>
          </cell>
          <cell r="M137">
            <v>333.12600000000003</v>
          </cell>
        </row>
        <row r="138">
          <cell r="K138">
            <v>352.56410291666668</v>
          </cell>
          <cell r="L138">
            <v>665.230769796</v>
          </cell>
          <cell r="M138">
            <v>423.07692350000002</v>
          </cell>
        </row>
        <row r="139">
          <cell r="K139">
            <v>348.29000017414501</v>
          </cell>
          <cell r="L139">
            <v>658.37852827918925</v>
          </cell>
          <cell r="M139">
            <v>417.94800020897401</v>
          </cell>
        </row>
        <row r="140">
          <cell r="K140">
            <v>202.51499999999999</v>
          </cell>
          <cell r="L140">
            <v>424.67204799999996</v>
          </cell>
          <cell r="M140">
            <v>243.01799999999997</v>
          </cell>
        </row>
        <row r="141">
          <cell r="K141">
            <v>206.19</v>
          </cell>
          <cell r="L141">
            <v>430.56380799999999</v>
          </cell>
          <cell r="M141">
            <v>247.428</v>
          </cell>
        </row>
        <row r="142">
          <cell r="K142">
            <v>178.36500000000001</v>
          </cell>
          <cell r="L142">
            <v>385.954768</v>
          </cell>
          <cell r="M142">
            <v>214.03800000000001</v>
          </cell>
        </row>
        <row r="143">
          <cell r="K143">
            <v>1025.0000010250001</v>
          </cell>
          <cell r="L143">
            <v>1743.2800016432802</v>
          </cell>
          <cell r="M143">
            <v>1230.0000012300002</v>
          </cell>
        </row>
        <row r="144">
          <cell r="K144">
            <v>26.895</v>
          </cell>
          <cell r="L144">
            <v>143.118064</v>
          </cell>
          <cell r="M144">
            <v>32.274000000000001</v>
          </cell>
        </row>
        <row r="145">
          <cell r="K145">
            <v>1333.3333350666667</v>
          </cell>
          <cell r="L145">
            <v>2237.60000277888</v>
          </cell>
          <cell r="M145">
            <v>1600.0000020800001</v>
          </cell>
        </row>
        <row r="146">
          <cell r="K146">
            <v>249.255</v>
          </cell>
          <cell r="L146">
            <v>499.605616</v>
          </cell>
          <cell r="M146">
            <v>299.10599999999999</v>
          </cell>
        </row>
        <row r="147">
          <cell r="K147">
            <v>605.67000030283498</v>
          </cell>
          <cell r="L147">
            <v>1071.010144485505</v>
          </cell>
          <cell r="M147">
            <v>726.804000363402</v>
          </cell>
        </row>
        <row r="148">
          <cell r="K148">
            <v>8757.8287500000006</v>
          </cell>
          <cell r="L148">
            <v>14140.551052000001</v>
          </cell>
          <cell r="M148">
            <v>10509.3945</v>
          </cell>
        </row>
        <row r="149">
          <cell r="K149">
            <v>9228.911250000001</v>
          </cell>
          <cell r="L149">
            <v>14895.790516000001</v>
          </cell>
          <cell r="M149">
            <v>11074.693500000001</v>
          </cell>
        </row>
        <row r="150">
          <cell r="K150">
            <v>0</v>
          </cell>
          <cell r="L150">
            <v>100</v>
          </cell>
          <cell r="M150">
            <v>0</v>
          </cell>
        </row>
        <row r="151">
          <cell r="K151">
            <v>0</v>
          </cell>
          <cell r="L151">
            <v>100</v>
          </cell>
          <cell r="M151">
            <v>0</v>
          </cell>
        </row>
        <row r="152">
          <cell r="K152">
            <v>7500.0000037499995</v>
          </cell>
          <cell r="L152">
            <v>12124.000006012</v>
          </cell>
          <cell r="M152">
            <v>9000.0000044999997</v>
          </cell>
        </row>
        <row r="153">
          <cell r="K153">
            <v>6161.7000030808504</v>
          </cell>
          <cell r="L153">
            <v>9978.4374449392199</v>
          </cell>
          <cell r="M153">
            <v>7394.0400036970204</v>
          </cell>
        </row>
        <row r="154">
          <cell r="K154">
            <v>6161.7000030808504</v>
          </cell>
          <cell r="L154">
            <v>9978.4374449392199</v>
          </cell>
          <cell r="M154">
            <v>7394.0400036970204</v>
          </cell>
        </row>
        <row r="155">
          <cell r="K155">
            <v>3889.0401241935488</v>
          </cell>
          <cell r="L155">
            <v>6334.9091271070974</v>
          </cell>
          <cell r="M155">
            <v>4666.8481490322583</v>
          </cell>
        </row>
        <row r="156">
          <cell r="K156">
            <v>0</v>
          </cell>
          <cell r="L156">
            <v>100</v>
          </cell>
          <cell r="M156">
            <v>0</v>
          </cell>
        </row>
        <row r="157">
          <cell r="K157">
            <v>5530.65</v>
          </cell>
          <cell r="L157">
            <v>8966.7380799999992</v>
          </cell>
          <cell r="M157">
            <v>6636.78</v>
          </cell>
        </row>
        <row r="158">
          <cell r="K158">
            <v>5566.6652758064511</v>
          </cell>
          <cell r="L158">
            <v>9024.4777701729017</v>
          </cell>
          <cell r="M158">
            <v>6679.9983309677409</v>
          </cell>
        </row>
        <row r="159">
          <cell r="K159">
            <v>5021.3675214238601</v>
          </cell>
          <cell r="L159">
            <v>8150.2564103467321</v>
          </cell>
          <cell r="M159">
            <v>6025.6410257086318</v>
          </cell>
        </row>
        <row r="160">
          <cell r="K160">
            <v>625.16666747938348</v>
          </cell>
          <cell r="L160">
            <v>1102.2672013029476</v>
          </cell>
          <cell r="M160">
            <v>750.2000009752602</v>
          </cell>
        </row>
        <row r="161">
          <cell r="K161">
            <v>829.95833441227933</v>
          </cell>
          <cell r="L161">
            <v>1430.5892017297663</v>
          </cell>
          <cell r="M161">
            <v>995.95000129473522</v>
          </cell>
        </row>
        <row r="162">
          <cell r="K162">
            <v>474.16666728308337</v>
          </cell>
          <cell r="L162">
            <v>860.18400098823918</v>
          </cell>
          <cell r="M162">
            <v>569.0000007397</v>
          </cell>
        </row>
        <row r="163">
          <cell r="K163">
            <v>282.24</v>
          </cell>
          <cell r="L163">
            <v>552.487168</v>
          </cell>
          <cell r="M163">
            <v>338.68799999999999</v>
          </cell>
        </row>
        <row r="164">
          <cell r="K164">
            <v>193.20000000000002</v>
          </cell>
          <cell r="L164">
            <v>409.73824000000002</v>
          </cell>
          <cell r="M164">
            <v>231.84000000000003</v>
          </cell>
        </row>
        <row r="165">
          <cell r="K165">
            <v>153.63</v>
          </cell>
          <cell r="L165">
            <v>346.29961600000001</v>
          </cell>
          <cell r="M165">
            <v>184.35599999999999</v>
          </cell>
        </row>
        <row r="166">
          <cell r="K166">
            <v>933.42000046670989</v>
          </cell>
          <cell r="L166">
            <v>1596.4589447482294</v>
          </cell>
          <cell r="M166">
            <v>1120.1040005600519</v>
          </cell>
        </row>
        <row r="167">
          <cell r="K167">
            <v>88.89</v>
          </cell>
          <cell r="L167">
            <v>242.50844800000002</v>
          </cell>
          <cell r="M167">
            <v>106.66800000000001</v>
          </cell>
        </row>
        <row r="168">
          <cell r="K168">
            <v>259.5</v>
          </cell>
          <cell r="L168">
            <v>516.03039999999999</v>
          </cell>
          <cell r="M168">
            <v>311.39999999999998</v>
          </cell>
        </row>
        <row r="169">
          <cell r="K169">
            <v>479.40000023969992</v>
          </cell>
          <cell r="L169">
            <v>868.57408038428696</v>
          </cell>
          <cell r="M169">
            <v>575.28000028763995</v>
          </cell>
        </row>
        <row r="170">
          <cell r="K170">
            <v>329.21999999999997</v>
          </cell>
          <cell r="L170">
            <v>627.80550399999993</v>
          </cell>
          <cell r="M170">
            <v>395.06399999999996</v>
          </cell>
        </row>
        <row r="171">
          <cell r="K171">
            <v>1199.630000599815</v>
          </cell>
          <cell r="L171">
            <v>2023.2468169616234</v>
          </cell>
          <cell r="M171">
            <v>1439.556000719778</v>
          </cell>
        </row>
        <row r="172">
          <cell r="K172">
            <v>259.04999999999995</v>
          </cell>
          <cell r="L172">
            <v>515.30895999999996</v>
          </cell>
          <cell r="M172">
            <v>310.85999999999996</v>
          </cell>
        </row>
        <row r="173">
          <cell r="K173">
            <v>763.16000038157995</v>
          </cell>
          <cell r="L173">
            <v>1323.4981126117491</v>
          </cell>
          <cell r="M173">
            <v>915.79200045789594</v>
          </cell>
        </row>
        <row r="174">
          <cell r="K174">
            <v>5186.0400025930194</v>
          </cell>
          <cell r="L174">
            <v>8414.2593321571294</v>
          </cell>
          <cell r="M174">
            <v>6223.2480031116229</v>
          </cell>
        </row>
        <row r="175">
          <cell r="K175">
            <v>3300.0000016500003</v>
          </cell>
          <cell r="L175">
            <v>5390.5600026452812</v>
          </cell>
          <cell r="M175">
            <v>3960.0000019800004</v>
          </cell>
        </row>
        <row r="176">
          <cell r="K176">
            <v>0</v>
          </cell>
          <cell r="L176">
            <v>100</v>
          </cell>
          <cell r="M176">
            <v>0</v>
          </cell>
        </row>
        <row r="177">
          <cell r="K177">
            <v>2550.5000012752498</v>
          </cell>
          <cell r="L177">
            <v>4188.961602044481</v>
          </cell>
          <cell r="M177">
            <v>3060.6000015302998</v>
          </cell>
        </row>
        <row r="178">
          <cell r="K178">
            <v>0</v>
          </cell>
          <cell r="L178">
            <v>100</v>
          </cell>
          <cell r="M178">
            <v>0</v>
          </cell>
        </row>
        <row r="179">
          <cell r="K179">
            <v>840</v>
          </cell>
          <cell r="L179">
            <v>1446.6880000000001</v>
          </cell>
          <cell r="M179">
            <v>1008</v>
          </cell>
        </row>
        <row r="180">
          <cell r="K180">
            <v>788.16000000000008</v>
          </cell>
          <cell r="L180">
            <v>1363.5781120000001</v>
          </cell>
          <cell r="M180">
            <v>945.79200000000014</v>
          </cell>
        </row>
        <row r="181">
          <cell r="K181">
            <v>1485</v>
          </cell>
          <cell r="L181">
            <v>2480.752</v>
          </cell>
          <cell r="M181">
            <v>1782</v>
          </cell>
        </row>
        <row r="182">
          <cell r="K182">
            <v>900</v>
          </cell>
          <cell r="L182">
            <v>1542.88</v>
          </cell>
          <cell r="M182">
            <v>1080</v>
          </cell>
        </row>
        <row r="183">
          <cell r="K183">
            <v>2880.54</v>
          </cell>
          <cell r="L183">
            <v>4718.0817280000001</v>
          </cell>
          <cell r="M183">
            <v>3456.6480000000001</v>
          </cell>
        </row>
        <row r="184">
          <cell r="K184">
            <v>0</v>
          </cell>
          <cell r="L184">
            <v>100</v>
          </cell>
          <cell r="M184">
            <v>0</v>
          </cell>
        </row>
        <row r="185">
          <cell r="K185">
            <v>373.5</v>
          </cell>
          <cell r="L185">
            <v>698.79520000000002</v>
          </cell>
          <cell r="M185">
            <v>448.2</v>
          </cell>
        </row>
        <row r="186">
          <cell r="K186">
            <v>373.5</v>
          </cell>
          <cell r="L186">
            <v>698.79520000000002</v>
          </cell>
          <cell r="M186">
            <v>448.2</v>
          </cell>
        </row>
        <row r="187">
          <cell r="K187">
            <v>45449.80619469026</v>
          </cell>
          <cell r="L187">
            <v>72965.129291327423</v>
          </cell>
          <cell r="M187">
            <v>54539.767433628309</v>
          </cell>
        </row>
        <row r="188">
          <cell r="K188">
            <v>2711.5950000000003</v>
          </cell>
          <cell r="L188">
            <v>4447.229104</v>
          </cell>
          <cell r="M188">
            <v>3253.9140000000002</v>
          </cell>
        </row>
        <row r="189">
          <cell r="K189">
            <v>558.27</v>
          </cell>
          <cell r="L189">
            <v>995.01846399999999</v>
          </cell>
          <cell r="M189">
            <v>669.92399999999998</v>
          </cell>
        </row>
        <row r="190">
          <cell r="K190">
            <v>0</v>
          </cell>
          <cell r="L190">
            <v>100</v>
          </cell>
          <cell r="M190">
            <v>0</v>
          </cell>
        </row>
        <row r="191">
          <cell r="K191">
            <v>750</v>
          </cell>
          <cell r="L191">
            <v>1302.4000000000001</v>
          </cell>
          <cell r="M191">
            <v>900</v>
          </cell>
        </row>
        <row r="192">
          <cell r="K192">
            <v>316.5</v>
          </cell>
          <cell r="L192">
            <v>607.41280000000006</v>
          </cell>
          <cell r="M192">
            <v>379.8</v>
          </cell>
        </row>
        <row r="193">
          <cell r="K193">
            <v>430.5</v>
          </cell>
          <cell r="L193">
            <v>790.17759999999998</v>
          </cell>
          <cell r="M193">
            <v>516.6</v>
          </cell>
        </row>
        <row r="194">
          <cell r="K194">
            <v>1200</v>
          </cell>
          <cell r="L194">
            <v>2023.8400000000001</v>
          </cell>
          <cell r="M194">
            <v>1440</v>
          </cell>
        </row>
        <row r="195">
          <cell r="K195">
            <v>2242.5</v>
          </cell>
          <cell r="L195">
            <v>3695.1759999999999</v>
          </cell>
          <cell r="M195">
            <v>2691</v>
          </cell>
        </row>
        <row r="196">
          <cell r="K196">
            <v>2595</v>
          </cell>
          <cell r="L196">
            <v>4260.3040000000001</v>
          </cell>
          <cell r="M196">
            <v>3114</v>
          </cell>
        </row>
        <row r="197">
          <cell r="K197">
            <v>270</v>
          </cell>
          <cell r="L197">
            <v>532.86400000000003</v>
          </cell>
          <cell r="M197">
            <v>324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F353B0C-65D1-435D-883F-3ECDBA6DC39F}" autoFormatId="16" applyNumberFormats="0" applyBorderFormats="0" applyFontFormats="0" applyPatternFormats="0" applyAlignmentFormats="0" applyWidthHeightFormats="0">
  <queryTableRefresh nextId="3">
    <queryTableFields count="2">
      <queryTableField id="1" name="US Dollar▲" tableColumnId="1"/>
      <queryTableField id="2" name="1.00 USD▲▼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A5DC1B-8A9B-4078-AE1E-020E5F87AE43}" name="Divisas" displayName="Divisas" ref="A5:B11" tableType="queryTable" totalsRowShown="0" headerRowDxfId="63" headerRowBorderDxfId="62" tableBorderDxfId="61" totalsRowBorderDxfId="60">
  <autoFilter ref="A5:B11" xr:uid="{09A5DC1B-8A9B-4078-AE1E-020E5F87AE43}"/>
  <tableColumns count="2">
    <tableColumn id="1" xr3:uid="{E3E3CD50-F151-49B2-8169-C47E32C9FE2F}" uniqueName="1" name="US Dollar▲" queryTableFieldId="1" dataDxfId="1"/>
    <tableColumn id="2" xr3:uid="{07B4A226-9801-4622-BE70-4035A590970A}" uniqueName="2" name="1.00 USD▲▼" queryTableFieldId="2" dataDxfId="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C712B2-B834-4E97-B4A4-BBC1CA32D334}" name="TP" displayName="TP" ref="A15:X213" totalsRowShown="0" headerRowDxfId="59" headerRowBorderDxfId="58" tableBorderDxfId="57" totalsRowBorderDxfId="56">
  <autoFilter ref="A15:X213" xr:uid="{EFC712B2-B834-4E97-B4A4-BBC1CA32D33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D2FA8BF6-3A28-4B3E-B5CE-975F452C897E}" name="REFERENCIA" dataDxfId="2"/>
    <tableColumn id="6" xr3:uid="{D8D02258-271A-474B-BD1B-1AD786166880}" name="DÓLAR" dataDxfId="55"/>
    <tableColumn id="2" xr3:uid="{8776E75D-20F1-46B9-B3D4-6D0F50828518}" name="CANTIDAD" dataDxfId="54"/>
    <tableColumn id="3" xr3:uid="{91DC03AA-DACE-4951-A23B-239E9C344700}" name="Costo Real Unitario USD" dataDxfId="53"/>
    <tableColumn id="17" xr3:uid="{B79B81A5-51E4-41D9-A51D-649E4C5AD4B4}" name="Costo Total Pedido USD" dataDxfId="52"/>
    <tableColumn id="4" xr3:uid="{B8BD2877-0E6B-4742-BE32-6BC21060B6DC}" name="Costo de Envio Total UDS" dataDxfId="51"/>
    <tableColumn id="5" xr3:uid="{E044A23E-29F6-451D-A6D3-C2E002A8FC2A}" name="Costo de Envio Unitario UDS" dataDxfId="50">
      <calculatedColumnFormula>IFERROR(TP[[#This Row],[Costo Real Unitario USD]]*TP[[#This Row],[Costo de Envio Total UDS]]/TP[[#This Row],[Costo Total Pedido USD]], "Sin Datos")</calculatedColumnFormula>
    </tableColumn>
    <tableColumn id="24" xr3:uid="{FFFD64CE-D62A-4A0E-8921-65F13FB74978}" name="Costo Real UDS" dataDxfId="49">
      <calculatedColumnFormula>IFERROR(TP[[#This Row],[Costo Total Pedido USD]]+TP[[#This Row],[Costo de Envio Total UDS]],"Sin Datos")</calculatedColumnFormula>
    </tableColumn>
    <tableColumn id="7" xr3:uid="{E9E6335A-E02F-4F66-81CC-5A49CF48AA8D}" name="Impuesto UDS" dataDxfId="48"/>
    <tableColumn id="20" xr3:uid="{6C1AF6DE-6295-4F54-BDB3-66F98A3A755C}" name="Impuesto Unitario UDS" dataDxfId="47">
      <calculatedColumnFormula>IFERROR((TP[[#This Row],[Costo Real Unitario USD]]*TP[[#This Row],[Impuesto UDS]])/TP[[#This Row],[Costo Total Pedido USD]],"Sin Datos")</calculatedColumnFormula>
    </tableColumn>
    <tableColumn id="23" xr3:uid="{79E9979C-AAFA-4AF7-8975-8620BD457C5A}" name="Costo Total Pza. UDS" dataDxfId="46">
      <calculatedColumnFormula>IFERROR(TP[[#This Row],[Costo Real Unitario USD]]+TP[[#This Row],[Costo de Envio Unitario UDS]]+TP[[#This Row],[Impuesto Unitario UDS]],"Sin Datos")</calculatedColumnFormula>
    </tableColumn>
    <tableColumn id="21" xr3:uid="{31D2BFB7-6592-42D1-BC04-21D5952C9D01}" name="Costo Total UDS" dataDxfId="45">
      <calculatedColumnFormula>IFERROR(TP[[#This Row],[Costo Total Pedido USD]]+TP[[#This Row],[Costo de Envio Total UDS]]+TP[[#This Row],[Impuesto UDS]],"Sin Datos")</calculatedColumnFormula>
    </tableColumn>
    <tableColumn id="25" xr3:uid="{EB435A5C-B1D0-4048-9C40-8C59A7A2C036}" name="Costo Real Pedido MXN" dataDxfId="44">
      <calculatedColumnFormula>IFERROR(((TP[[#This Row],[Costo Total Pedido USD]]*TP[[#This Row],[DÓLAR]])*$B$3)+(TP[[#This Row],[Costo Total Pedido USD]]*TP[[#This Row],[DÓLAR]]),"Sin Datos")</calculatedColumnFormula>
    </tableColumn>
    <tableColumn id="19" xr3:uid="{1CFAB570-AB43-46CA-AE1B-920D9506595A}" name="Costo Total Pedido Sin Impuesto MXN" dataDxfId="43">
      <calculatedColumnFormula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calculatedColumnFormula>
    </tableColumn>
    <tableColumn id="26" xr3:uid="{40638C58-E996-43C7-91A7-9194E6BCC761}" name="Costo Total Pedido Con Impuesto MX" dataDxfId="42">
      <calculatedColumnFormula>IFERROR(TP[[#This Row],[Costo Total Pza. MXN]]*TP[[#This Row],[CANTIDAD]],"Sin Datos")</calculatedColumnFormula>
    </tableColumn>
    <tableColumn id="8" xr3:uid="{608EF56C-510C-488F-991A-D4D6A7EC1F6B}" name="Costo Total Pza. MXN" dataDxfId="41">
      <calculatedColumnFormula>IFERROR((((TP[[#This Row],[Costo Total Pza. UDS]]*TP[[#This Row],[DÓLAR]])*$B$3)+(TP[[#This Row],[Costo Total Pza. UDS]]*TP[[#This Row],[DÓLAR]])),"Sin Datos")</calculatedColumnFormula>
    </tableColumn>
    <tableColumn id="9" xr3:uid="{FF512C03-5C16-4B55-B81C-8641CF043D5E}" name="Impuesto MXN" dataDxfId="40"/>
    <tableColumn id="10" xr3:uid="{8738CBD5-BBA2-423A-9BE2-F84B11E0732C}" name="Impuesto Unitario MXN" dataDxfId="39">
      <calculatedColumnFormula>IFERROR((((TP[[#This Row],[Costo Real Unitario USD]]*TP[[#This Row],[DÓLAR]])*$B$3)+(TP[[#This Row],[Costo Real Unitario USD]]*TP[[#This Row],[DÓLAR]]))*TP[[#This Row],[Impuesto MXN]]/TP[[#This Row],[Costo Real Pedido MXN]],"Sin Datos")</calculatedColumnFormula>
    </tableColumn>
    <tableColumn id="11" xr3:uid="{9854ACDB-31B1-4FA6-B664-1472D92AF99C}" name="Costo Costo" dataDxfId="38">
      <calculatedColumnFormula>IFERROR(TP[[#This Row],[Costo Total Pza. MXN]]+TP[[#This Row],[Impuesto Unitario MXN]],"Sin Datos")</calculatedColumnFormula>
    </tableColumn>
    <tableColumn id="12" xr3:uid="{3F0B60EF-FC93-44C9-93EB-FFA1FA60CF45}" name="Precio de Oficina" dataDxfId="37">
      <calculatedColumnFormula>IFERROR(TP[[#This Row],[Costo Costo]]*50%+TP[[#This Row],[Costo Costo]],"Sin Datos")</calculatedColumnFormula>
    </tableColumn>
    <tableColumn id="27" xr3:uid="{0B701984-8B51-468E-A400-1571F256B1A6}" name="Utilidad por Pieza " dataDxfId="36">
      <calculatedColumnFormula>IFERROR(TP[[#This Row],[Precio de Oficina]]-TP[[#This Row],[Costo Costo]],"Sin Datos")</calculatedColumnFormula>
    </tableColumn>
    <tableColumn id="13" xr3:uid="{22B72701-AE73-4ABF-82E6-BBDF3F118226}" name="Brocker" dataDxfId="35">
      <calculatedColumnFormula>IFERROR(TP[[#This Row],[Precio de Oficina]]*14%+TP[[#This Row],[Precio de Oficina]],"Sin Datos")</calculatedColumnFormula>
    </tableColumn>
    <tableColumn id="14" xr3:uid="{2656FAEC-DC99-4DE7-B21C-8E7849446890}" name="Precio de Wix" dataDxfId="34">
      <calculatedColumnFormula>IFERROR(TP[[#This Row],[Precio de Oficina]]*20%+TP[[#This Row],[Precio de Oficina]],"Sin Datos")</calculatedColumnFormula>
    </tableColumn>
    <tableColumn id="15" xr3:uid="{2D7778F8-04F6-4234-9391-F0D5B49D812A}" name="Precio Mercado Libre" dataDxfId="33">
      <calculatedColumnFormula>IFERROR(TP[[#This Row],[Precio de Wix]]*33.6%+TP[[#This Row],[Precio de Wix]]+100,"Sin Datos")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DDC38-B96D-46FB-8724-96C742A86729}" name="Tabla4" displayName="Tabla4" ref="Z15:Z205" totalsRowShown="0" headerRowDxfId="32" dataDxfId="31">
  <autoFilter ref="Z15:Z205" xr:uid="{6DFDDC38-B96D-46FB-8724-96C742A86729}"/>
  <tableColumns count="1">
    <tableColumn id="1" xr3:uid="{316BAA2C-9A4A-4097-B5D3-9D744BEA8C38}" name="Referencia Inicial" dataDxfId="3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5F88BF-1829-4746-8875-378BFDEBE497}" name="SW" displayName="SW" ref="A1:M199" totalsRowShown="0" headerRowDxfId="29" headerRowBorderDxfId="28" tableBorderDxfId="27" totalsRowBorderDxfId="26">
  <autoFilter ref="A1:M199" xr:uid="{E05F88BF-1829-4746-8875-378BFDEBE497}"/>
  <tableColumns count="13">
    <tableColumn id="2" xr3:uid="{C6AE0CF2-66A4-4309-92BB-6E06BE2B4023}" name="NOMRE DEL PRODUCTO" dataDxfId="14"/>
    <tableColumn id="4" xr3:uid="{F067CFE8-7DC7-4704-B087-66F27D04ED24}" name="ID" dataDxfId="13"/>
    <tableColumn id="3" xr3:uid="{AEB0D07C-8DC6-428F-BBC0-3D0874835334}" name="REFERENCIA " dataDxfId="12"/>
    <tableColumn id="5" xr3:uid="{4D39683B-E52A-45A5-8D87-5F7F7456B2FA}" name="MARCA" dataDxfId="11"/>
    <tableColumn id="6" xr3:uid="{2FF281ED-DF2B-4F1B-ADA3-A20DE28C7CEC}" name="COLOR" dataDxfId="10"/>
    <tableColumn id="7" xr3:uid="{296BDC3C-1D24-44F1-94FC-0197CA084432}" name="UNIDAD" dataDxfId="9"/>
    <tableColumn id="8" xr3:uid="{159DD094-C13F-4790-97C9-57F826A31A9B}" name="STOCK" dataDxfId="8"/>
    <tableColumn id="10" xr3:uid="{6515AEDD-9BF2-4699-B511-F597BB4330FB}" name="LUGAR" dataDxfId="7"/>
    <tableColumn id="16" xr3:uid="{E35CA59D-9146-4230-ADBD-D1E72F0B1116}" name="PRECIO DE OFICINA" dataDxfId="6"/>
    <tableColumn id="17" xr3:uid="{C242D034-B7C7-441E-BDC7-32CB24ACF600}" name="PRECIO DE MC" dataDxfId="5"/>
    <tableColumn id="18" xr3:uid="{25666DB1-A588-45FC-A2DE-BECAADBEDA6E}" name="PRECIO DE WIX" dataDxfId="4"/>
    <tableColumn id="9" xr3:uid="{132AC3EE-F142-4E3A-BBDD-FBBCEC2E8256}" name="IMAGEN" dataDxfId="3"/>
    <tableColumn id="1" xr3:uid="{7E0B799B-CCA3-4F23-A8A7-E7B71BB6A3AF}" name="Columna1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5B5BE2-C4AA-4503-A035-55E951B1FE4A}" name="PC" displayName="PC" ref="A1:F200" totalsRowShown="0" headerRowDxfId="24" headerRowBorderDxfId="23" tableBorderDxfId="22" totalsRowBorderDxfId="21">
  <autoFilter ref="A1:F200" xr:uid="{055B5BE2-C4AA-4503-A035-55E951B1FE4A}"/>
  <tableColumns count="6">
    <tableColumn id="1" xr3:uid="{5F764ACD-8D8C-4427-B389-00CAD366F56E}" name="REFERENCIA" dataDxfId="20">
      <calculatedColumnFormula>IFERROR(SW[[#This Row],[NOMRE DEL PRODUCTO]],"Sin Datos")</calculatedColumnFormula>
    </tableColumn>
    <tableColumn id="2" xr3:uid="{07D34DD3-5C50-4970-A914-B060B7E326CC}" name="Precio de Oficina" dataDxfId="19">
      <calculatedColumnFormula>IFERROR( 'TABLA DE PRECIOS'!T16,"Sin Datos")</calculatedColumnFormula>
    </tableColumn>
    <tableColumn id="4" xr3:uid="{1F61E6A8-BB0B-4E13-BB76-793500CEA2FE}" name="Brocker" dataDxfId="18">
      <calculatedColumnFormula>IFERROR( 'TABLA DE PRECIOS'!V16,"Sin Datos")</calculatedColumnFormula>
    </tableColumn>
    <tableColumn id="5" xr3:uid="{38F57E33-B970-462F-A761-C6A1C4B1FE0C}" name="Precio de Wix" dataDxfId="17">
      <calculatedColumnFormula>IFERROR( 'TABLA DE PRECIOS'!W16,"Sin Datos")</calculatedColumnFormula>
    </tableColumn>
    <tableColumn id="6" xr3:uid="{C89E8A6C-8D1D-4768-994D-B8B3A5A55EE3}" name="Precio Mercado Libre" dataDxfId="16">
      <calculatedColumnFormula>IFERROR( 'TABLA DE PRECIOS'!X16,"Sin Datos")</calculatedColumnFormula>
    </tableColumn>
    <tableColumn id="3" xr3:uid="{A9C7D461-C1F2-4E2F-B8A1-0695822BF46D}" name="Costo Costo" dataDxfId="15">
      <calculatedColumnFormula>IFERROR( 'TABLA DE PRECIOS'!S16,"Sin Datos")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28EA6-C6CE-4BF1-BFDF-9FE55D8DACD9}">
  <sheetPr codeName="Hoja4">
    <tabColor theme="1" tint="4.9989318521683403E-2"/>
  </sheetPr>
  <dimension ref="A1:I26"/>
  <sheetViews>
    <sheetView zoomScaleNormal="100" workbookViewId="0">
      <pane xSplit="9" ySplit="26" topLeftCell="J27" activePane="bottomRight" state="frozen"/>
      <selection pane="topRight" activeCell="J1" sqref="J1"/>
      <selection pane="bottomLeft" activeCell="A27" sqref="A27"/>
      <selection pane="bottomRight" activeCell="B10" sqref="B10"/>
    </sheetView>
  </sheetViews>
  <sheetFormatPr baseColWidth="10" defaultRowHeight="14.25" x14ac:dyDescent="0.2"/>
  <cols>
    <col min="1" max="1" width="16.25" customWidth="1"/>
    <col min="2" max="2" width="27" customWidth="1"/>
    <col min="3" max="3" width="18.625" customWidth="1"/>
    <col min="4" max="4" width="16.5" customWidth="1"/>
    <col min="5" max="5" width="22.375" customWidth="1"/>
    <col min="6" max="6" width="14.875" customWidth="1"/>
    <col min="7" max="7" width="26.25" customWidth="1"/>
    <col min="8" max="8" width="14.375" customWidth="1"/>
  </cols>
  <sheetData>
    <row r="1" spans="1:9" x14ac:dyDescent="0.2">
      <c r="A1" s="73"/>
      <c r="B1" s="73"/>
      <c r="C1" s="73"/>
      <c r="D1" s="73"/>
      <c r="E1" s="73"/>
      <c r="F1" s="73"/>
      <c r="G1" s="73"/>
      <c r="H1" s="73"/>
      <c r="I1" s="73"/>
    </row>
    <row r="2" spans="1:9" x14ac:dyDescent="0.2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2">
      <c r="A3" s="73"/>
      <c r="B3" s="73" t="str">
        <f>VLOOKUP(B10,SW[],3,0)</f>
        <v>DGSW149</v>
      </c>
      <c r="C3" s="73"/>
      <c r="D3" s="73"/>
      <c r="E3" s="73"/>
      <c r="F3" s="73"/>
      <c r="G3" s="73"/>
      <c r="H3" s="73"/>
      <c r="I3" s="73"/>
    </row>
    <row r="4" spans="1:9" x14ac:dyDescent="0.2">
      <c r="A4" s="73"/>
      <c r="B4" s="73"/>
      <c r="C4" s="73"/>
      <c r="D4" s="73"/>
      <c r="E4" s="73"/>
      <c r="F4" s="73"/>
      <c r="G4" s="73"/>
      <c r="H4" s="73"/>
      <c r="I4" s="73"/>
    </row>
    <row r="5" spans="1:9" x14ac:dyDescent="0.2">
      <c r="A5" s="73"/>
      <c r="B5" s="73"/>
      <c r="C5" s="73"/>
      <c r="D5" s="73"/>
      <c r="E5" s="73"/>
      <c r="F5" s="73"/>
      <c r="G5" s="73"/>
      <c r="H5" s="73"/>
      <c r="I5" s="73"/>
    </row>
    <row r="6" spans="1:9" x14ac:dyDescent="0.2">
      <c r="A6" s="73"/>
      <c r="B6" s="73"/>
      <c r="C6" s="73"/>
      <c r="D6" s="73"/>
      <c r="E6" s="73"/>
      <c r="F6" s="73"/>
      <c r="G6" s="73"/>
      <c r="H6" s="73"/>
      <c r="I6" s="73"/>
    </row>
    <row r="7" spans="1:9" x14ac:dyDescent="0.2">
      <c r="A7" s="73"/>
      <c r="B7" s="73"/>
      <c r="C7" s="73"/>
      <c r="D7" s="73"/>
      <c r="E7" s="73"/>
      <c r="F7" s="73"/>
      <c r="G7" s="73"/>
      <c r="H7" s="73"/>
      <c r="I7" s="73"/>
    </row>
    <row r="8" spans="1:9" x14ac:dyDescent="0.2">
      <c r="A8" s="73"/>
      <c r="B8" s="73"/>
      <c r="C8" s="73"/>
      <c r="D8" s="73"/>
      <c r="E8" s="73"/>
      <c r="F8" s="73"/>
      <c r="G8" s="73"/>
      <c r="H8" s="73"/>
      <c r="I8" s="73"/>
    </row>
    <row r="9" spans="1:9" x14ac:dyDescent="0.2">
      <c r="A9" s="73"/>
      <c r="B9" s="73"/>
      <c r="C9" s="73"/>
      <c r="D9" s="73"/>
      <c r="E9" s="73"/>
      <c r="F9" s="73"/>
      <c r="G9" s="73"/>
      <c r="H9" s="73"/>
      <c r="I9" s="73"/>
    </row>
    <row r="10" spans="1:9" x14ac:dyDescent="0.2">
      <c r="A10" s="74" t="s">
        <v>403</v>
      </c>
      <c r="B10" s="83" t="s">
        <v>171</v>
      </c>
      <c r="C10" s="74" t="s">
        <v>9</v>
      </c>
      <c r="D10" s="75">
        <f>VLOOKUP(B3,TP[],3,0)</f>
        <v>4</v>
      </c>
      <c r="E10" s="74" t="s">
        <v>404</v>
      </c>
      <c r="F10" s="76">
        <f>VLOOKUP(B3,TP[],4,0)</f>
        <v>150</v>
      </c>
      <c r="G10" s="74" t="s">
        <v>405</v>
      </c>
      <c r="H10" s="76">
        <f>VLOOKUP(B3,TP[],5,0)</f>
        <v>600</v>
      </c>
      <c r="I10" s="73"/>
    </row>
    <row r="11" spans="1:9" ht="9.9499999999999993" customHeight="1" x14ac:dyDescent="0.2">
      <c r="A11" s="73"/>
      <c r="B11" s="73"/>
      <c r="C11" s="73"/>
      <c r="D11" s="73"/>
      <c r="E11" s="73"/>
      <c r="F11" s="73"/>
      <c r="G11" s="73"/>
      <c r="H11" s="73"/>
      <c r="I11" s="73"/>
    </row>
    <row r="12" spans="1:9" ht="9.9499999999999993" customHeight="1" x14ac:dyDescent="0.2">
      <c r="A12" s="73"/>
      <c r="B12" s="73"/>
      <c r="C12" s="73"/>
      <c r="D12" s="73"/>
      <c r="E12" s="73"/>
      <c r="F12" s="73"/>
      <c r="G12" s="73"/>
      <c r="H12" s="73"/>
      <c r="I12" s="73"/>
    </row>
    <row r="13" spans="1:9" x14ac:dyDescent="0.2">
      <c r="A13" s="73"/>
      <c r="B13" s="73"/>
      <c r="C13" s="73"/>
      <c r="D13" s="74" t="s">
        <v>406</v>
      </c>
      <c r="E13" s="76">
        <f>VLOOKUP(B3,TP[],6,0)</f>
        <v>540</v>
      </c>
      <c r="F13" s="73"/>
      <c r="G13" s="73"/>
      <c r="H13" s="73"/>
      <c r="I13" s="73"/>
    </row>
    <row r="14" spans="1:9" ht="9.9499999999999993" customHeight="1" x14ac:dyDescent="0.2">
      <c r="A14" s="73"/>
      <c r="B14" s="73"/>
      <c r="C14" s="73"/>
      <c r="D14" s="73"/>
      <c r="E14" s="73"/>
      <c r="F14" s="73"/>
      <c r="G14" s="73"/>
      <c r="H14" s="73"/>
      <c r="I14" s="73"/>
    </row>
    <row r="15" spans="1:9" ht="9.9499999999999993" customHeight="1" x14ac:dyDescent="0.2">
      <c r="A15" s="73"/>
      <c r="B15" s="73"/>
      <c r="C15" s="73"/>
      <c r="D15" s="73"/>
      <c r="E15" s="73"/>
      <c r="F15" s="73"/>
      <c r="G15" s="73"/>
      <c r="H15" s="73"/>
      <c r="I15" s="73"/>
    </row>
    <row r="16" spans="1:9" x14ac:dyDescent="0.2">
      <c r="A16" s="73"/>
      <c r="B16" s="74" t="s">
        <v>407</v>
      </c>
      <c r="C16" s="76">
        <f>VLOOKUP(B3,TP[],9,0)</f>
        <v>0</v>
      </c>
      <c r="D16" s="73"/>
      <c r="E16" s="74" t="s">
        <v>408</v>
      </c>
      <c r="F16" s="76">
        <f>VLOOKUP(B3,TP[],17,0)</f>
        <v>742.25</v>
      </c>
      <c r="G16" s="73"/>
      <c r="H16" s="73"/>
      <c r="I16" s="73"/>
    </row>
    <row r="17" spans="1:9" x14ac:dyDescent="0.2">
      <c r="A17" s="73"/>
      <c r="B17" s="73"/>
      <c r="C17" s="73"/>
      <c r="D17" s="73"/>
      <c r="E17" s="73"/>
      <c r="F17" s="73"/>
      <c r="G17" s="73"/>
      <c r="H17" s="73"/>
      <c r="I17" s="73"/>
    </row>
    <row r="18" spans="1:9" x14ac:dyDescent="0.2">
      <c r="A18" s="82"/>
      <c r="B18" s="82"/>
      <c r="C18" s="82"/>
      <c r="D18" s="82"/>
      <c r="E18" s="82"/>
      <c r="F18" s="82"/>
      <c r="G18" s="82"/>
      <c r="H18" s="82"/>
      <c r="I18" s="82"/>
    </row>
    <row r="19" spans="1:9" x14ac:dyDescent="0.2">
      <c r="A19" s="73"/>
      <c r="B19" s="73"/>
      <c r="C19" s="73"/>
      <c r="D19" s="73"/>
      <c r="E19" s="73"/>
      <c r="F19" s="73"/>
      <c r="G19" s="73"/>
      <c r="H19" s="73"/>
      <c r="I19" s="73"/>
    </row>
    <row r="20" spans="1:9" x14ac:dyDescent="0.2">
      <c r="A20" s="73"/>
      <c r="B20" s="73"/>
      <c r="C20" s="73"/>
      <c r="D20" s="73"/>
      <c r="E20" s="73"/>
      <c r="F20" s="73"/>
      <c r="G20" s="73"/>
      <c r="H20" s="73"/>
      <c r="I20" s="73"/>
    </row>
    <row r="21" spans="1:9" x14ac:dyDescent="0.2">
      <c r="A21" s="73"/>
      <c r="B21" s="73"/>
      <c r="C21" s="73"/>
      <c r="D21" s="73"/>
      <c r="E21" s="73"/>
      <c r="F21" s="73"/>
      <c r="G21" s="73"/>
      <c r="H21" s="73"/>
      <c r="I21" s="73"/>
    </row>
    <row r="22" spans="1:9" x14ac:dyDescent="0.2">
      <c r="A22" s="77" t="s">
        <v>409</v>
      </c>
      <c r="B22" s="78">
        <f>VLOOKUP(B3,TP[],20,0)</f>
        <v>9228.911250000001</v>
      </c>
      <c r="C22" s="74" t="s">
        <v>410</v>
      </c>
      <c r="D22" s="79">
        <f>VLOOKUP(B3,TP[],22,0)</f>
        <v>10520.958825000002</v>
      </c>
      <c r="E22" s="74" t="s">
        <v>209</v>
      </c>
      <c r="F22" s="80">
        <f>VLOOKUP(B3,TP[],23,0)</f>
        <v>11074.693500000001</v>
      </c>
      <c r="G22" s="74" t="s">
        <v>411</v>
      </c>
      <c r="H22" s="81">
        <f>VLOOKUP(B3,TP[],24,0)</f>
        <v>14895.790516000001</v>
      </c>
      <c r="I22" s="73"/>
    </row>
    <row r="23" spans="1:9" x14ac:dyDescent="0.2">
      <c r="A23" s="73"/>
      <c r="B23" s="73"/>
      <c r="C23" s="73"/>
      <c r="D23" s="73"/>
      <c r="E23" s="73"/>
      <c r="F23" s="73"/>
      <c r="G23" s="73"/>
      <c r="H23" s="73"/>
      <c r="I23" s="73"/>
    </row>
    <row r="24" spans="1:9" x14ac:dyDescent="0.2">
      <c r="A24" s="73"/>
      <c r="B24" s="73"/>
      <c r="C24" s="73"/>
      <c r="D24" s="73"/>
      <c r="E24" s="73"/>
      <c r="F24" s="73"/>
      <c r="G24" s="73"/>
      <c r="H24" s="73"/>
      <c r="I24" s="73"/>
    </row>
    <row r="25" spans="1:9" x14ac:dyDescent="0.2">
      <c r="A25" s="73"/>
      <c r="B25" s="73"/>
      <c r="C25" s="73"/>
      <c r="D25" s="73"/>
      <c r="E25" s="73"/>
      <c r="F25" s="73"/>
      <c r="G25" s="73"/>
      <c r="H25" s="73"/>
      <c r="I25" s="73"/>
    </row>
    <row r="26" spans="1:9" x14ac:dyDescent="0.2">
      <c r="A26" s="73"/>
      <c r="B26" s="73"/>
      <c r="C26" s="73"/>
      <c r="D26" s="73"/>
      <c r="E26" s="73"/>
      <c r="F26" s="73"/>
      <c r="G26" s="73"/>
      <c r="H26" s="73"/>
      <c r="I26" s="73"/>
    </row>
  </sheetData>
  <sheetProtection algorithmName="SHA-512" hashValue="TjoetF2oTvNTsw1HSBQEVuIYVTuv/xZu0SUcOIkQARdoUxQIldg1KB1GKxcbSUg+EN3Kl1OGBgKxz/h6WGvS9w==" saltValue="MumhWsY4zOmVyXNBfv9NVw==" spinCount="100000" sheet="1" objects="1" scenario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363C2-DC5C-4B35-B264-ED32175DA189}">
          <x14:formula1>
            <xm:f>PRODUCTOS!$A$2:$A$1048576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27E7-0ED8-4D31-8561-C059BD3E114A}">
  <sheetPr codeName="Hoja1">
    <tabColor rgb="FF002060"/>
  </sheetPr>
  <dimension ref="A1:Z213"/>
  <sheetViews>
    <sheetView tabSelected="1" zoomScaleNormal="100" workbookViewId="0">
      <pane ySplit="1" topLeftCell="A47" activePane="bottomLeft" state="frozen"/>
      <selection pane="bottomLeft" activeCell="D163" sqref="D163"/>
    </sheetView>
  </sheetViews>
  <sheetFormatPr baseColWidth="10" defaultRowHeight="14.25" x14ac:dyDescent="0.2"/>
  <cols>
    <col min="1" max="1" width="20.75" style="47" bestFit="1" customWidth="1"/>
    <col min="2" max="2" width="16.625" style="47" bestFit="1" customWidth="1"/>
    <col min="3" max="3" width="14.625" style="47" customWidth="1"/>
    <col min="4" max="5" width="17.5" style="50" customWidth="1"/>
    <col min="6" max="6" width="18.625" style="50" customWidth="1"/>
    <col min="7" max="7" width="14.875" style="2" customWidth="1"/>
    <col min="8" max="8" width="15.75" style="2" customWidth="1"/>
    <col min="9" max="9" width="17.5" style="50" customWidth="1"/>
    <col min="10" max="12" width="17.5" style="2" customWidth="1"/>
    <col min="13" max="13" width="17.5" style="1" customWidth="1"/>
    <col min="14" max="14" width="19.875" style="1" customWidth="1"/>
    <col min="15" max="15" width="19.375" style="1" customWidth="1"/>
    <col min="16" max="16" width="17.75" style="1" customWidth="1"/>
    <col min="17" max="17" width="14.875" style="54" customWidth="1"/>
    <col min="18" max="19" width="13.75" style="1" customWidth="1"/>
    <col min="20" max="21" width="18" style="1" customWidth="1"/>
    <col min="22" max="22" width="15.125" style="1" customWidth="1"/>
    <col min="23" max="23" width="17.375" style="1" customWidth="1"/>
    <col min="24" max="24" width="21.875" style="1" customWidth="1"/>
    <col min="26" max="26" width="18.125" style="4" customWidth="1"/>
  </cols>
  <sheetData>
    <row r="1" spans="1:26" ht="28.5" customHeight="1" x14ac:dyDescent="0.2">
      <c r="A1" s="66" t="s">
        <v>399</v>
      </c>
      <c r="B1" s="65" t="s">
        <v>402</v>
      </c>
      <c r="C1" s="65" t="s">
        <v>9</v>
      </c>
      <c r="D1" s="59" t="s">
        <v>21</v>
      </c>
      <c r="E1" s="59" t="s">
        <v>26</v>
      </c>
      <c r="F1" s="59" t="s">
        <v>16</v>
      </c>
      <c r="G1" s="10" t="s">
        <v>22</v>
      </c>
      <c r="H1" s="10" t="s">
        <v>24</v>
      </c>
      <c r="I1" s="59" t="s">
        <v>19</v>
      </c>
      <c r="J1" s="10" t="s">
        <v>23</v>
      </c>
      <c r="K1" s="10" t="s">
        <v>17</v>
      </c>
      <c r="L1" s="10" t="s">
        <v>10</v>
      </c>
      <c r="M1" s="12" t="s">
        <v>27</v>
      </c>
      <c r="N1" s="12" t="s">
        <v>29</v>
      </c>
      <c r="O1" s="15" t="s">
        <v>30</v>
      </c>
      <c r="P1" s="12" t="s">
        <v>18</v>
      </c>
      <c r="Q1" s="58" t="s">
        <v>20</v>
      </c>
      <c r="R1" s="12" t="s">
        <v>25</v>
      </c>
      <c r="S1" s="17" t="s">
        <v>11</v>
      </c>
      <c r="T1" s="19" t="s">
        <v>12</v>
      </c>
      <c r="U1" s="15" t="s">
        <v>28</v>
      </c>
      <c r="V1" s="21" t="s">
        <v>13</v>
      </c>
      <c r="W1" s="23" t="s">
        <v>14</v>
      </c>
      <c r="X1" s="25" t="s">
        <v>15</v>
      </c>
    </row>
    <row r="2" spans="1:26" ht="15" thickBot="1" x14ac:dyDescent="0.25">
      <c r="A2" s="4"/>
      <c r="B2" s="4"/>
      <c r="C2" s="4"/>
      <c r="D2" s="2"/>
      <c r="E2" s="2"/>
      <c r="F2" s="2"/>
      <c r="I2" s="2"/>
      <c r="Q2" s="1"/>
    </row>
    <row r="3" spans="1:26" ht="15.75" thickBot="1" x14ac:dyDescent="0.25">
      <c r="A3" s="67" t="s">
        <v>0</v>
      </c>
      <c r="B3" s="71">
        <v>0.05</v>
      </c>
      <c r="C3"/>
      <c r="D3" s="2"/>
      <c r="E3" s="2"/>
      <c r="F3" s="2"/>
      <c r="I3" s="2"/>
      <c r="Q3" s="1"/>
    </row>
    <row r="4" spans="1:26" x14ac:dyDescent="0.2">
      <c r="A4" s="4"/>
      <c r="B4" s="4"/>
      <c r="C4"/>
      <c r="D4" s="2"/>
      <c r="E4" s="2"/>
      <c r="F4" s="2"/>
      <c r="I4" s="2"/>
      <c r="Q4" s="1"/>
    </row>
    <row r="5" spans="1:26" x14ac:dyDescent="0.2">
      <c r="A5" s="68" t="s">
        <v>1</v>
      </c>
      <c r="B5" s="61" t="s">
        <v>2</v>
      </c>
      <c r="C5"/>
      <c r="D5" s="2"/>
      <c r="E5" s="2"/>
      <c r="F5" s="2"/>
      <c r="I5" s="2"/>
      <c r="Q5" s="1"/>
    </row>
    <row r="6" spans="1:26" x14ac:dyDescent="0.2">
      <c r="A6" s="7" t="s">
        <v>3</v>
      </c>
      <c r="B6" s="62">
        <v>0.76</v>
      </c>
      <c r="C6" s="4"/>
      <c r="D6" s="2"/>
      <c r="E6" s="2"/>
      <c r="F6" s="2"/>
      <c r="I6" s="2"/>
      <c r="Q6" s="1"/>
    </row>
    <row r="7" spans="1:26" x14ac:dyDescent="0.2">
      <c r="A7" s="7" t="s">
        <v>4</v>
      </c>
      <c r="B7" s="62">
        <v>1.32</v>
      </c>
      <c r="C7" s="4"/>
      <c r="D7" s="2"/>
      <c r="E7" s="2"/>
      <c r="F7" s="2"/>
      <c r="I7" s="2"/>
      <c r="Q7" s="1"/>
    </row>
    <row r="8" spans="1:26" x14ac:dyDescent="0.2">
      <c r="A8" s="7" t="s">
        <v>5</v>
      </c>
      <c r="B8" s="62">
        <v>7.14</v>
      </c>
      <c r="C8" s="4"/>
      <c r="D8" s="2"/>
      <c r="E8" s="2"/>
      <c r="F8" s="2"/>
      <c r="I8" s="2"/>
      <c r="Q8" s="1"/>
    </row>
    <row r="9" spans="1:26" x14ac:dyDescent="0.2">
      <c r="A9" s="7" t="s">
        <v>6</v>
      </c>
      <c r="B9" s="62">
        <v>0.89</v>
      </c>
      <c r="C9" s="4"/>
      <c r="D9" s="2"/>
      <c r="E9" s="2"/>
      <c r="F9" s="2"/>
      <c r="I9" s="2"/>
      <c r="Q9" s="1"/>
    </row>
    <row r="10" spans="1:26" x14ac:dyDescent="0.2">
      <c r="A10" s="7" t="s">
        <v>7</v>
      </c>
      <c r="B10" s="62">
        <v>138.56</v>
      </c>
      <c r="C10" s="4"/>
      <c r="D10" s="2"/>
      <c r="E10" s="2"/>
      <c r="F10" s="2"/>
      <c r="I10" s="2"/>
      <c r="Q10" s="1"/>
    </row>
    <row r="11" spans="1:26" x14ac:dyDescent="0.2">
      <c r="A11" s="5" t="s">
        <v>8</v>
      </c>
      <c r="B11" s="63">
        <v>16.829999999999998</v>
      </c>
      <c r="C11" s="4"/>
      <c r="D11" s="2"/>
      <c r="E11" s="2"/>
      <c r="F11" s="2"/>
      <c r="I11" s="2"/>
      <c r="Q11" s="1"/>
    </row>
    <row r="12" spans="1:26" x14ac:dyDescent="0.2">
      <c r="A12" s="4"/>
      <c r="B12" s="4"/>
      <c r="C12" s="4"/>
      <c r="D12" s="2"/>
      <c r="E12" s="2"/>
      <c r="F12" s="2"/>
      <c r="I12" s="2"/>
      <c r="Q12" s="1"/>
    </row>
    <row r="13" spans="1:26" x14ac:dyDescent="0.2">
      <c r="A13" s="4"/>
      <c r="B13" s="4"/>
      <c r="C13" s="4"/>
      <c r="D13" s="2"/>
      <c r="E13" s="2"/>
      <c r="F13" s="2"/>
      <c r="I13" s="2"/>
      <c r="Q13" s="1"/>
    </row>
    <row r="14" spans="1:26" x14ac:dyDescent="0.2">
      <c r="A14" s="4"/>
      <c r="B14" s="4"/>
      <c r="C14" s="4"/>
      <c r="D14" s="2"/>
      <c r="E14" s="2"/>
      <c r="F14" s="2"/>
      <c r="I14" s="2"/>
      <c r="Q14" s="1"/>
    </row>
    <row r="15" spans="1:26" s="3" customFormat="1" ht="27" customHeight="1" x14ac:dyDescent="0.2">
      <c r="A15" s="69" t="s">
        <v>399</v>
      </c>
      <c r="B15" s="64" t="s">
        <v>402</v>
      </c>
      <c r="C15" s="64" t="s">
        <v>9</v>
      </c>
      <c r="D15" s="60" t="s">
        <v>21</v>
      </c>
      <c r="E15" s="60" t="s">
        <v>26</v>
      </c>
      <c r="F15" s="60" t="s">
        <v>16</v>
      </c>
      <c r="G15" s="11" t="s">
        <v>22</v>
      </c>
      <c r="H15" s="11" t="s">
        <v>24</v>
      </c>
      <c r="I15" s="51" t="s">
        <v>19</v>
      </c>
      <c r="J15" s="11" t="s">
        <v>23</v>
      </c>
      <c r="K15" s="11" t="s">
        <v>17</v>
      </c>
      <c r="L15" s="11" t="s">
        <v>10</v>
      </c>
      <c r="M15" s="13" t="s">
        <v>27</v>
      </c>
      <c r="N15" s="13" t="s">
        <v>29</v>
      </c>
      <c r="O15" s="16" t="s">
        <v>30</v>
      </c>
      <c r="P15" s="13" t="s">
        <v>18</v>
      </c>
      <c r="Q15" s="55" t="s">
        <v>20</v>
      </c>
      <c r="R15" s="13" t="s">
        <v>25</v>
      </c>
      <c r="S15" s="18" t="s">
        <v>11</v>
      </c>
      <c r="T15" s="20" t="s">
        <v>12</v>
      </c>
      <c r="U15" s="16" t="s">
        <v>28</v>
      </c>
      <c r="V15" s="22" t="s">
        <v>13</v>
      </c>
      <c r="W15" s="24" t="s">
        <v>14</v>
      </c>
      <c r="X15" s="26" t="s">
        <v>15</v>
      </c>
      <c r="Z15" s="3" t="s">
        <v>400</v>
      </c>
    </row>
    <row r="16" spans="1:26" x14ac:dyDescent="0.2">
      <c r="A16" s="33"/>
      <c r="B16" s="48"/>
      <c r="C16" s="48"/>
      <c r="D16" s="52"/>
      <c r="E16" s="52"/>
      <c r="F16" s="52"/>
      <c r="G16" s="9" t="str">
        <f>IFERROR(TP[[#This Row],[Costo Real Unitario USD]]*TP[[#This Row],[Costo de Envio Total UDS]]/TP[[#This Row],[Costo Total Pedido USD]], "Sin Datos")</f>
        <v>Sin Datos</v>
      </c>
      <c r="H16" s="9">
        <f>IFERROR(TP[[#This Row],[Costo Total Pedido USD]]+TP[[#This Row],[Costo de Envio Total UDS]],"Sin Datos")</f>
        <v>0</v>
      </c>
      <c r="I16" s="52"/>
      <c r="J16" s="9" t="str">
        <f>IFERROR((TP[[#This Row],[Costo Real Unitario USD]]*TP[[#This Row],[Impuesto UDS]])/TP[[#This Row],[Costo Total Pedido USD]],"Sin Datos")</f>
        <v>Sin Datos</v>
      </c>
      <c r="K16" s="9" t="str">
        <f>IFERROR(TP[[#This Row],[Costo Real Unitario USD]]+TP[[#This Row],[Costo de Envio Unitario UDS]]+TP[[#This Row],[Impuesto Unitario UDS]],"Sin Datos")</f>
        <v>Sin Datos</v>
      </c>
      <c r="L16" s="9">
        <f>IFERROR(TP[[#This Row],[Costo Total Pedido USD]]+TP[[#This Row],[Costo de Envio Total UDS]]+TP[[#This Row],[Impuesto UDS]],"Sin Datos")</f>
        <v>0</v>
      </c>
      <c r="M16" s="14">
        <f>IFERROR(((TP[[#This Row],[Costo Total Pedido USD]]*TP[[#This Row],[DÓLAR]])*$B$3)+(TP[[#This Row],[Costo Total Pedido USD]]*TP[[#This Row],[DÓLAR]]),"Sin Datos")</f>
        <v>0</v>
      </c>
      <c r="N1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" s="14" t="str">
        <f>IFERROR(TP[[#This Row],[Costo Total Pza. MXN]]*TP[[#This Row],[CANTIDAD]],"Sin Datos")</f>
        <v>Sin Datos</v>
      </c>
      <c r="P16" s="14" t="str">
        <f>IFERROR((((TP[[#This Row],[Costo Total Pza. UDS]]*TP[[#This Row],[DÓLAR]])*$B$3)+(TP[[#This Row],[Costo Total Pza. UDS]]*TP[[#This Row],[DÓLAR]])),"Sin Datos")</f>
        <v>Sin Datos</v>
      </c>
      <c r="Q16" s="56"/>
      <c r="R16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" s="14" t="str">
        <f>IFERROR(TP[[#This Row],[Costo Total Pza. MXN]]+TP[[#This Row],[Impuesto Unitario MXN]],"Sin Datos")</f>
        <v>Sin Datos</v>
      </c>
      <c r="T16" s="14" t="str">
        <f>IFERROR(TP[[#This Row],[Costo Costo]]*50%+TP[[#This Row],[Costo Costo]],"Sin Datos")</f>
        <v>Sin Datos</v>
      </c>
      <c r="U16" s="14" t="str">
        <f>IFERROR(TP[[#This Row],[Precio de Oficina]]-TP[[#This Row],[Costo Costo]],"Sin Datos")</f>
        <v>Sin Datos</v>
      </c>
      <c r="V16" s="14" t="str">
        <f>IFERROR(TP[[#This Row],[Precio de Oficina]]*14%+TP[[#This Row],[Precio de Oficina]],"Sin Datos")</f>
        <v>Sin Datos</v>
      </c>
      <c r="W16" s="14" t="str">
        <f>IFERROR(TP[[#This Row],[Precio de Oficina]]*20%+TP[[#This Row],[Precio de Oficina]],"Sin Datos")</f>
        <v>Sin Datos</v>
      </c>
      <c r="X16" s="27" t="str">
        <f>IFERROR(TP[[#This Row],[Precio de Wix]]*33.6%+TP[[#This Row],[Precio de Wix]]+100,"Sin Datos")</f>
        <v>Sin Datos</v>
      </c>
      <c r="Z16" s="6"/>
    </row>
    <row r="17" spans="1:26" x14ac:dyDescent="0.2">
      <c r="A17" s="36" t="s">
        <v>211</v>
      </c>
      <c r="B17" s="72"/>
      <c r="C17" s="48"/>
      <c r="D17" s="52"/>
      <c r="E17" s="52"/>
      <c r="F17" s="52"/>
      <c r="G17" s="9" t="str">
        <f>IFERROR(TP[[#This Row],[Costo Real Unitario USD]]*TP[[#This Row],[Costo de Envio Total UDS]]/TP[[#This Row],[Costo Total Pedido USD]], "Sin Datos")</f>
        <v>Sin Datos</v>
      </c>
      <c r="H17" s="9">
        <f>IFERROR(TP[[#This Row],[Costo Total Pedido USD]]+TP[[#This Row],[Costo de Envio Total UDS]],"Sin Datos")</f>
        <v>0</v>
      </c>
      <c r="I17" s="52"/>
      <c r="J17" s="9" t="str">
        <f>IFERROR((TP[[#This Row],[Costo Real Unitario USD]]*TP[[#This Row],[Impuesto UDS]])/TP[[#This Row],[Costo Total Pedido USD]],"Sin Datos")</f>
        <v>Sin Datos</v>
      </c>
      <c r="K17" s="9" t="str">
        <f>IFERROR(TP[[#This Row],[Costo Real Unitario USD]]+TP[[#This Row],[Costo de Envio Unitario UDS]]+TP[[#This Row],[Impuesto Unitario UDS]],"Sin Datos")</f>
        <v>Sin Datos</v>
      </c>
      <c r="L17" s="9">
        <f>IFERROR(TP[[#This Row],[Costo Total Pedido USD]]+TP[[#This Row],[Costo de Envio Total UDS]]+TP[[#This Row],[Impuesto UDS]],"Sin Datos")</f>
        <v>0</v>
      </c>
      <c r="M17" s="14">
        <f>IFERROR(((TP[[#This Row],[Costo Total Pedido USD]]*TP[[#This Row],[DÓLAR]])*$B$3)+(TP[[#This Row],[Costo Total Pedido USD]]*TP[[#This Row],[DÓLAR]]),"Sin Datos")</f>
        <v>0</v>
      </c>
      <c r="N1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" s="14" t="str">
        <f>IFERROR(TP[[#This Row],[Costo Total Pza. MXN]]*TP[[#This Row],[CANTIDAD]],"Sin Datos")</f>
        <v>Sin Datos</v>
      </c>
      <c r="P17" s="14" t="str">
        <f>IFERROR((((TP[[#This Row],[Costo Total Pza. UDS]]*TP[[#This Row],[DÓLAR]])*$B$3)+(TP[[#This Row],[Costo Total Pza. UDS]]*TP[[#This Row],[DÓLAR]])),"Sin Datos")</f>
        <v>Sin Datos</v>
      </c>
      <c r="Q17" s="56"/>
      <c r="R17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" s="14" t="str">
        <f>IFERROR(TP[[#This Row],[Costo Total Pza. MXN]]+TP[[#This Row],[Impuesto Unitario MXN]],"Sin Datos")</f>
        <v>Sin Datos</v>
      </c>
      <c r="T17" s="14" t="str">
        <f>IFERROR(TP[[#This Row],[Costo Costo]]*50%+TP[[#This Row],[Costo Costo]],"Sin Datos")</f>
        <v>Sin Datos</v>
      </c>
      <c r="U17" s="14" t="str">
        <f>IFERROR(TP[[#This Row],[Precio de Oficina]]-TP[[#This Row],[Costo Costo]],"Sin Datos")</f>
        <v>Sin Datos</v>
      </c>
      <c r="V17" s="14" t="str">
        <f>IFERROR(TP[[#This Row],[Precio de Oficina]]*14%+TP[[#This Row],[Precio de Oficina]],"Sin Datos")</f>
        <v>Sin Datos</v>
      </c>
      <c r="W17" s="14" t="str">
        <f>IFERROR(TP[[#This Row],[Precio de Oficina]]*20%+TP[[#This Row],[Precio de Oficina]],"Sin Datos")</f>
        <v>Sin Datos</v>
      </c>
      <c r="X17" s="27" t="str">
        <f>IFERROR(TP[[#This Row],[Precio de Wix]]*33.6%+TP[[#This Row],[Precio de Wix]]+100,"Sin Datos")</f>
        <v>Sin Datos</v>
      </c>
      <c r="Z17" s="8" t="s">
        <v>211</v>
      </c>
    </row>
    <row r="18" spans="1:26" x14ac:dyDescent="0.2">
      <c r="A18" s="36" t="s">
        <v>216</v>
      </c>
      <c r="B18" s="72"/>
      <c r="C18" s="48"/>
      <c r="D18" s="52"/>
      <c r="E18" s="52"/>
      <c r="F18" s="52"/>
      <c r="G18" s="9" t="str">
        <f>IFERROR(TP[[#This Row],[Costo Real Unitario USD]]*TP[[#This Row],[Costo de Envio Total UDS]]/TP[[#This Row],[Costo Total Pedido USD]], "Sin Datos")</f>
        <v>Sin Datos</v>
      </c>
      <c r="H18" s="9">
        <f>IFERROR(TP[[#This Row],[Costo Total Pedido USD]]+TP[[#This Row],[Costo de Envio Total UDS]],"Sin Datos")</f>
        <v>0</v>
      </c>
      <c r="I18" s="52"/>
      <c r="J18" s="9" t="str">
        <f>IFERROR((TP[[#This Row],[Costo Real Unitario USD]]*TP[[#This Row],[Impuesto UDS]])/TP[[#This Row],[Costo Total Pedido USD]],"Sin Datos")</f>
        <v>Sin Datos</v>
      </c>
      <c r="K18" s="9" t="str">
        <f>IFERROR(TP[[#This Row],[Costo Real Unitario USD]]+TP[[#This Row],[Costo de Envio Unitario UDS]]+TP[[#This Row],[Impuesto Unitario UDS]],"Sin Datos")</f>
        <v>Sin Datos</v>
      </c>
      <c r="L18" s="9">
        <f>IFERROR(TP[[#This Row],[Costo Total Pedido USD]]+TP[[#This Row],[Costo de Envio Total UDS]]+TP[[#This Row],[Impuesto UDS]],"Sin Datos")</f>
        <v>0</v>
      </c>
      <c r="M18" s="14">
        <f>IFERROR(((TP[[#This Row],[Costo Total Pedido USD]]*TP[[#This Row],[DÓLAR]])*$B$3)+(TP[[#This Row],[Costo Total Pedido USD]]*TP[[#This Row],[DÓLAR]]),"Sin Datos")</f>
        <v>0</v>
      </c>
      <c r="N1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" s="14" t="str">
        <f>IFERROR(TP[[#This Row],[Costo Total Pza. MXN]]*TP[[#This Row],[CANTIDAD]],"Sin Datos")</f>
        <v>Sin Datos</v>
      </c>
      <c r="P18" s="14" t="str">
        <f>IFERROR((((TP[[#This Row],[Costo Total Pza. UDS]]*TP[[#This Row],[DÓLAR]])*$B$3)+(TP[[#This Row],[Costo Total Pza. UDS]]*TP[[#This Row],[DÓLAR]])),"Sin Datos")</f>
        <v>Sin Datos</v>
      </c>
      <c r="Q18" s="56"/>
      <c r="R18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" s="14" t="str">
        <f>IFERROR(TP[[#This Row],[Costo Total Pza. MXN]]+TP[[#This Row],[Impuesto Unitario MXN]],"Sin Datos")</f>
        <v>Sin Datos</v>
      </c>
      <c r="T18" s="14" t="str">
        <f>IFERROR(TP[[#This Row],[Costo Costo]]*50%+TP[[#This Row],[Costo Costo]],"Sin Datos")</f>
        <v>Sin Datos</v>
      </c>
      <c r="U18" s="14" t="str">
        <f>IFERROR(TP[[#This Row],[Precio de Oficina]]-TP[[#This Row],[Costo Costo]],"Sin Datos")</f>
        <v>Sin Datos</v>
      </c>
      <c r="V18" s="14" t="str">
        <f>IFERROR(TP[[#This Row],[Precio de Oficina]]*14%+TP[[#This Row],[Precio de Oficina]],"Sin Datos")</f>
        <v>Sin Datos</v>
      </c>
      <c r="W18" s="14" t="str">
        <f>IFERROR(TP[[#This Row],[Precio de Oficina]]*20%+TP[[#This Row],[Precio de Oficina]],"Sin Datos")</f>
        <v>Sin Datos</v>
      </c>
      <c r="X18" s="27" t="str">
        <f>IFERROR(TP[[#This Row],[Precio de Wix]]*33.6%+TP[[#This Row],[Precio de Wix]]+100,"Sin Datos")</f>
        <v>Sin Datos</v>
      </c>
      <c r="Z18" s="8" t="s">
        <v>216</v>
      </c>
    </row>
    <row r="19" spans="1:26" x14ac:dyDescent="0.2">
      <c r="A19" s="36" t="s">
        <v>218</v>
      </c>
      <c r="B19" s="72"/>
      <c r="C19" s="49"/>
      <c r="D19" s="53"/>
      <c r="E19" s="52"/>
      <c r="F19" s="53"/>
      <c r="G19" s="28" t="str">
        <f>IFERROR(TP[[#This Row],[Costo Real Unitario USD]]*TP[[#This Row],[Costo de Envio Total UDS]]/TP[[#This Row],[Costo Total Pedido USD]], "Sin Datos")</f>
        <v>Sin Datos</v>
      </c>
      <c r="H19" s="9">
        <f>IFERROR(TP[[#This Row],[Costo Total Pedido USD]]+TP[[#This Row],[Costo de Envio Total UDS]],"Sin Datos")</f>
        <v>0</v>
      </c>
      <c r="I19" s="52"/>
      <c r="J19" s="9" t="str">
        <f>IFERROR((TP[[#This Row],[Costo Real Unitario USD]]*TP[[#This Row],[Impuesto UDS]])/TP[[#This Row],[Costo Total Pedido USD]],"Sin Datos")</f>
        <v>Sin Datos</v>
      </c>
      <c r="K19" s="9" t="str">
        <f>IFERROR(TP[[#This Row],[Costo Real Unitario USD]]+TP[[#This Row],[Costo de Envio Unitario UDS]]+TP[[#This Row],[Impuesto Unitario UDS]],"Sin Datos")</f>
        <v>Sin Datos</v>
      </c>
      <c r="L19" s="9">
        <f>IFERROR(TP[[#This Row],[Costo Total Pedido USD]]+TP[[#This Row],[Costo de Envio Total UDS]]+TP[[#This Row],[Impuesto UDS]],"Sin Datos")</f>
        <v>0</v>
      </c>
      <c r="M19" s="14">
        <f>IFERROR(((TP[[#This Row],[Costo Total Pedido USD]]*TP[[#This Row],[DÓLAR]])*$B$3)+(TP[[#This Row],[Costo Total Pedido USD]]*TP[[#This Row],[DÓLAR]]),"Sin Datos")</f>
        <v>0</v>
      </c>
      <c r="N1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" s="14" t="str">
        <f>IFERROR(TP[[#This Row],[Costo Total Pza. MXN]]*TP[[#This Row],[CANTIDAD]],"Sin Datos")</f>
        <v>Sin Datos</v>
      </c>
      <c r="P19" s="29" t="str">
        <f>IFERROR((((TP[[#This Row],[Costo Total Pza. UDS]]*TP[[#This Row],[DÓLAR]])*$B$3)+(TP[[#This Row],[Costo Total Pza. UDS]]*TP[[#This Row],[DÓLAR]])),"Sin Datos")</f>
        <v>Sin Datos</v>
      </c>
      <c r="Q19" s="57"/>
      <c r="R1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" s="29" t="str">
        <f>IFERROR(TP[[#This Row],[Costo Total Pza. MXN]]+TP[[#This Row],[Impuesto Unitario MXN]],"Sin Datos")</f>
        <v>Sin Datos</v>
      </c>
      <c r="T19" s="29" t="str">
        <f>IFERROR(TP[[#This Row],[Costo Costo]]*50%+TP[[#This Row],[Costo Costo]],"Sin Datos")</f>
        <v>Sin Datos</v>
      </c>
      <c r="U19" s="14" t="str">
        <f>IFERROR(TP[[#This Row],[Precio de Oficina]]-TP[[#This Row],[Costo Costo]],"Sin Datos")</f>
        <v>Sin Datos</v>
      </c>
      <c r="V19" s="29" t="str">
        <f>IFERROR(TP[[#This Row],[Precio de Oficina]]*14%+TP[[#This Row],[Precio de Oficina]],"Sin Datos")</f>
        <v>Sin Datos</v>
      </c>
      <c r="W19" s="29" t="str">
        <f>IFERROR(TP[[#This Row],[Precio de Oficina]]*20%+TP[[#This Row],[Precio de Oficina]],"Sin Datos")</f>
        <v>Sin Datos</v>
      </c>
      <c r="X19" s="30" t="str">
        <f>IFERROR(TP[[#This Row],[Precio de Wix]]*33.6%+TP[[#This Row],[Precio de Wix]]+100,"Sin Datos")</f>
        <v>Sin Datos</v>
      </c>
      <c r="Z19" s="8" t="s">
        <v>218</v>
      </c>
    </row>
    <row r="20" spans="1:26" x14ac:dyDescent="0.2">
      <c r="A20" s="36" t="s">
        <v>221</v>
      </c>
      <c r="B20" s="49"/>
      <c r="C20" s="49"/>
      <c r="D20" s="53"/>
      <c r="E20" s="52"/>
      <c r="F20" s="53"/>
      <c r="G20" s="28" t="str">
        <f>IFERROR(TP[[#This Row],[Costo Real Unitario USD]]*TP[[#This Row],[Costo de Envio Total UDS]]/TP[[#This Row],[Costo Total Pedido USD]], "Sin Datos")</f>
        <v>Sin Datos</v>
      </c>
      <c r="H20" s="9">
        <f>IFERROR(TP[[#This Row],[Costo Total Pedido USD]]+TP[[#This Row],[Costo de Envio Total UDS]],"Sin Datos")</f>
        <v>0</v>
      </c>
      <c r="I20" s="52"/>
      <c r="J20" s="9" t="str">
        <f>IFERROR((TP[[#This Row],[Costo Real Unitario USD]]*TP[[#This Row],[Impuesto UDS]])/TP[[#This Row],[Costo Total Pedido USD]],"Sin Datos")</f>
        <v>Sin Datos</v>
      </c>
      <c r="K20" s="9" t="str">
        <f>IFERROR(TP[[#This Row],[Costo Real Unitario USD]]+TP[[#This Row],[Costo de Envio Unitario UDS]]+TP[[#This Row],[Impuesto Unitario UDS]],"Sin Datos")</f>
        <v>Sin Datos</v>
      </c>
      <c r="L20" s="9">
        <f>IFERROR(TP[[#This Row],[Costo Total Pedido USD]]+TP[[#This Row],[Costo de Envio Total UDS]]+TP[[#This Row],[Impuesto UDS]],"Sin Datos")</f>
        <v>0</v>
      </c>
      <c r="M20" s="14">
        <f>IFERROR(((TP[[#This Row],[Costo Total Pedido USD]]*TP[[#This Row],[DÓLAR]])*$B$3)+(TP[[#This Row],[Costo Total Pedido USD]]*TP[[#This Row],[DÓLAR]]),"Sin Datos")</f>
        <v>0</v>
      </c>
      <c r="N2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" s="14" t="str">
        <f>IFERROR(TP[[#This Row],[Costo Total Pza. MXN]]*TP[[#This Row],[CANTIDAD]],"Sin Datos")</f>
        <v>Sin Datos</v>
      </c>
      <c r="P20" s="29" t="str">
        <f>IFERROR((((TP[[#This Row],[Costo Total Pza. UDS]]*TP[[#This Row],[DÓLAR]])*$B$3)+(TP[[#This Row],[Costo Total Pza. UDS]]*TP[[#This Row],[DÓLAR]])),"Sin Datos")</f>
        <v>Sin Datos</v>
      </c>
      <c r="Q20" s="57"/>
      <c r="R2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" s="29" t="str">
        <f>IFERROR(TP[[#This Row],[Costo Total Pza. MXN]]+TP[[#This Row],[Impuesto Unitario MXN]],"Sin Datos")</f>
        <v>Sin Datos</v>
      </c>
      <c r="T20" s="29" t="str">
        <f>IFERROR(TP[[#This Row],[Costo Costo]]*50%+TP[[#This Row],[Costo Costo]],"Sin Datos")</f>
        <v>Sin Datos</v>
      </c>
      <c r="U20" s="14" t="str">
        <f>IFERROR(TP[[#This Row],[Precio de Oficina]]-TP[[#This Row],[Costo Costo]],"Sin Datos")</f>
        <v>Sin Datos</v>
      </c>
      <c r="V20" s="29" t="str">
        <f>IFERROR(TP[[#This Row],[Precio de Oficina]]*14%+TP[[#This Row],[Precio de Oficina]],"Sin Datos")</f>
        <v>Sin Datos</v>
      </c>
      <c r="W20" s="29" t="str">
        <f>IFERROR(TP[[#This Row],[Precio de Oficina]]*20%+TP[[#This Row],[Precio de Oficina]],"Sin Datos")</f>
        <v>Sin Datos</v>
      </c>
      <c r="X20" s="30" t="str">
        <f>IFERROR(TP[[#This Row],[Precio de Wix]]*33.6%+TP[[#This Row],[Precio de Wix]]+100,"Sin Datos")</f>
        <v>Sin Datos</v>
      </c>
      <c r="Z20" s="8" t="s">
        <v>221</v>
      </c>
    </row>
    <row r="21" spans="1:26" x14ac:dyDescent="0.2">
      <c r="A21" s="36" t="s">
        <v>223</v>
      </c>
      <c r="B21" s="49"/>
      <c r="C21" s="49"/>
      <c r="D21" s="53"/>
      <c r="E21" s="52"/>
      <c r="F21" s="53"/>
      <c r="G21" s="28" t="str">
        <f>IFERROR(TP[[#This Row],[Costo Real Unitario USD]]*TP[[#This Row],[Costo de Envio Total UDS]]/TP[[#This Row],[Costo Total Pedido USD]], "Sin Datos")</f>
        <v>Sin Datos</v>
      </c>
      <c r="H21" s="9">
        <f>IFERROR(TP[[#This Row],[Costo Total Pedido USD]]+TP[[#This Row],[Costo de Envio Total UDS]],"Sin Datos")</f>
        <v>0</v>
      </c>
      <c r="I21" s="52"/>
      <c r="J21" s="9" t="str">
        <f>IFERROR((TP[[#This Row],[Costo Real Unitario USD]]*TP[[#This Row],[Impuesto UDS]])/TP[[#This Row],[Costo Total Pedido USD]],"Sin Datos")</f>
        <v>Sin Datos</v>
      </c>
      <c r="K21" s="9" t="str">
        <f>IFERROR(TP[[#This Row],[Costo Real Unitario USD]]+TP[[#This Row],[Costo de Envio Unitario UDS]]+TP[[#This Row],[Impuesto Unitario UDS]],"Sin Datos")</f>
        <v>Sin Datos</v>
      </c>
      <c r="L21" s="9">
        <f>IFERROR(TP[[#This Row],[Costo Total Pedido USD]]+TP[[#This Row],[Costo de Envio Total UDS]]+TP[[#This Row],[Impuesto UDS]],"Sin Datos")</f>
        <v>0</v>
      </c>
      <c r="M21" s="14">
        <f>IFERROR(((TP[[#This Row],[Costo Total Pedido USD]]*TP[[#This Row],[DÓLAR]])*$B$3)+(TP[[#This Row],[Costo Total Pedido USD]]*TP[[#This Row],[DÓLAR]]),"Sin Datos")</f>
        <v>0</v>
      </c>
      <c r="N2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1" s="14" t="str">
        <f>IFERROR(TP[[#This Row],[Costo Total Pza. MXN]]*TP[[#This Row],[CANTIDAD]],"Sin Datos")</f>
        <v>Sin Datos</v>
      </c>
      <c r="P21" s="29" t="str">
        <f>IFERROR((((TP[[#This Row],[Costo Total Pza. UDS]]*TP[[#This Row],[DÓLAR]])*$B$3)+(TP[[#This Row],[Costo Total Pza. UDS]]*TP[[#This Row],[DÓLAR]])),"Sin Datos")</f>
        <v>Sin Datos</v>
      </c>
      <c r="Q21" s="57"/>
      <c r="R2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1" s="29" t="str">
        <f>IFERROR(TP[[#This Row],[Costo Total Pza. MXN]]+TP[[#This Row],[Impuesto Unitario MXN]],"Sin Datos")</f>
        <v>Sin Datos</v>
      </c>
      <c r="T21" s="29" t="str">
        <f>IFERROR(TP[[#This Row],[Costo Costo]]*50%+TP[[#This Row],[Costo Costo]],"Sin Datos")</f>
        <v>Sin Datos</v>
      </c>
      <c r="U21" s="14" t="str">
        <f>IFERROR(TP[[#This Row],[Precio de Oficina]]-TP[[#This Row],[Costo Costo]],"Sin Datos")</f>
        <v>Sin Datos</v>
      </c>
      <c r="V21" s="29" t="str">
        <f>IFERROR(TP[[#This Row],[Precio de Oficina]]*14%+TP[[#This Row],[Precio de Oficina]],"Sin Datos")</f>
        <v>Sin Datos</v>
      </c>
      <c r="W21" s="29" t="str">
        <f>IFERROR(TP[[#This Row],[Precio de Oficina]]*20%+TP[[#This Row],[Precio de Oficina]],"Sin Datos")</f>
        <v>Sin Datos</v>
      </c>
      <c r="X21" s="30" t="str">
        <f>IFERROR(TP[[#This Row],[Precio de Wix]]*33.6%+TP[[#This Row],[Precio de Wix]]+100,"Sin Datos")</f>
        <v>Sin Datos</v>
      </c>
      <c r="Z21" s="8" t="s">
        <v>223</v>
      </c>
    </row>
    <row r="22" spans="1:26" x14ac:dyDescent="0.2">
      <c r="A22" s="36" t="s">
        <v>224</v>
      </c>
      <c r="B22" s="49"/>
      <c r="C22" s="49"/>
      <c r="D22" s="53"/>
      <c r="E22" s="52"/>
      <c r="F22" s="53"/>
      <c r="G22" s="28" t="str">
        <f>IFERROR(TP[[#This Row],[Costo Real Unitario USD]]*TP[[#This Row],[Costo de Envio Total UDS]]/TP[[#This Row],[Costo Total Pedido USD]], "Sin Datos")</f>
        <v>Sin Datos</v>
      </c>
      <c r="H22" s="9">
        <f>IFERROR(TP[[#This Row],[Costo Total Pedido USD]]+TP[[#This Row],[Costo de Envio Total UDS]],"Sin Datos")</f>
        <v>0</v>
      </c>
      <c r="I22" s="52"/>
      <c r="J22" s="9" t="str">
        <f>IFERROR((TP[[#This Row],[Costo Real Unitario USD]]*TP[[#This Row],[Impuesto UDS]])/TP[[#This Row],[Costo Total Pedido USD]],"Sin Datos")</f>
        <v>Sin Datos</v>
      </c>
      <c r="K22" s="9" t="str">
        <f>IFERROR(TP[[#This Row],[Costo Real Unitario USD]]+TP[[#This Row],[Costo de Envio Unitario UDS]]+TP[[#This Row],[Impuesto Unitario UDS]],"Sin Datos")</f>
        <v>Sin Datos</v>
      </c>
      <c r="L22" s="9">
        <f>IFERROR(TP[[#This Row],[Costo Total Pedido USD]]+TP[[#This Row],[Costo de Envio Total UDS]]+TP[[#This Row],[Impuesto UDS]],"Sin Datos")</f>
        <v>0</v>
      </c>
      <c r="M22" s="14">
        <f>IFERROR(((TP[[#This Row],[Costo Total Pedido USD]]*TP[[#This Row],[DÓLAR]])*$B$3)+(TP[[#This Row],[Costo Total Pedido USD]]*TP[[#This Row],[DÓLAR]]),"Sin Datos")</f>
        <v>0</v>
      </c>
      <c r="N2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2" s="14" t="str">
        <f>IFERROR(TP[[#This Row],[Costo Total Pza. MXN]]*TP[[#This Row],[CANTIDAD]],"Sin Datos")</f>
        <v>Sin Datos</v>
      </c>
      <c r="P22" s="29" t="str">
        <f>IFERROR((((TP[[#This Row],[Costo Total Pza. UDS]]*TP[[#This Row],[DÓLAR]])*$B$3)+(TP[[#This Row],[Costo Total Pza. UDS]]*TP[[#This Row],[DÓLAR]])),"Sin Datos")</f>
        <v>Sin Datos</v>
      </c>
      <c r="Q22" s="57"/>
      <c r="R2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2" s="29" t="str">
        <f>IFERROR(TP[[#This Row],[Costo Total Pza. MXN]]+TP[[#This Row],[Impuesto Unitario MXN]],"Sin Datos")</f>
        <v>Sin Datos</v>
      </c>
      <c r="T22" s="29" t="str">
        <f>IFERROR(TP[[#This Row],[Costo Costo]]*50%+TP[[#This Row],[Costo Costo]],"Sin Datos")</f>
        <v>Sin Datos</v>
      </c>
      <c r="U22" s="14" t="str">
        <f>IFERROR(TP[[#This Row],[Precio de Oficina]]-TP[[#This Row],[Costo Costo]],"Sin Datos")</f>
        <v>Sin Datos</v>
      </c>
      <c r="V22" s="29" t="str">
        <f>IFERROR(TP[[#This Row],[Precio de Oficina]]*14%+TP[[#This Row],[Precio de Oficina]],"Sin Datos")</f>
        <v>Sin Datos</v>
      </c>
      <c r="W22" s="29" t="str">
        <f>IFERROR(TP[[#This Row],[Precio de Oficina]]*20%+TP[[#This Row],[Precio de Oficina]],"Sin Datos")</f>
        <v>Sin Datos</v>
      </c>
      <c r="X22" s="30" t="str">
        <f>IFERROR(TP[[#This Row],[Precio de Wix]]*33.6%+TP[[#This Row],[Precio de Wix]]+100,"Sin Datos")</f>
        <v>Sin Datos</v>
      </c>
      <c r="Z22" s="8" t="s">
        <v>224</v>
      </c>
    </row>
    <row r="23" spans="1:26" x14ac:dyDescent="0.2">
      <c r="A23" s="36" t="s">
        <v>225</v>
      </c>
      <c r="B23" s="49"/>
      <c r="C23" s="49"/>
      <c r="D23" s="53"/>
      <c r="E23" s="52"/>
      <c r="F23" s="53"/>
      <c r="G23" s="28" t="str">
        <f>IFERROR(TP[[#This Row],[Costo Real Unitario USD]]*TP[[#This Row],[Costo de Envio Total UDS]]/TP[[#This Row],[Costo Total Pedido USD]], "Sin Datos")</f>
        <v>Sin Datos</v>
      </c>
      <c r="H23" s="9">
        <f>IFERROR(TP[[#This Row],[Costo Total Pedido USD]]+TP[[#This Row],[Costo de Envio Total UDS]],"Sin Datos")</f>
        <v>0</v>
      </c>
      <c r="I23" s="52"/>
      <c r="J23" s="9" t="str">
        <f>IFERROR((TP[[#This Row],[Costo Real Unitario USD]]*TP[[#This Row],[Impuesto UDS]])/TP[[#This Row],[Costo Total Pedido USD]],"Sin Datos")</f>
        <v>Sin Datos</v>
      </c>
      <c r="K23" s="9" t="str">
        <f>IFERROR(TP[[#This Row],[Costo Real Unitario USD]]+TP[[#This Row],[Costo de Envio Unitario UDS]]+TP[[#This Row],[Impuesto Unitario UDS]],"Sin Datos")</f>
        <v>Sin Datos</v>
      </c>
      <c r="L23" s="9">
        <f>IFERROR(TP[[#This Row],[Costo Total Pedido USD]]+TP[[#This Row],[Costo de Envio Total UDS]]+TP[[#This Row],[Impuesto UDS]],"Sin Datos")</f>
        <v>0</v>
      </c>
      <c r="M23" s="14">
        <f>IFERROR(((TP[[#This Row],[Costo Total Pedido USD]]*TP[[#This Row],[DÓLAR]])*$B$3)+(TP[[#This Row],[Costo Total Pedido USD]]*TP[[#This Row],[DÓLAR]]),"Sin Datos")</f>
        <v>0</v>
      </c>
      <c r="N2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3" s="14" t="str">
        <f>IFERROR(TP[[#This Row],[Costo Total Pza. MXN]]*TP[[#This Row],[CANTIDAD]],"Sin Datos")</f>
        <v>Sin Datos</v>
      </c>
      <c r="P23" s="29" t="str">
        <f>IFERROR((((TP[[#This Row],[Costo Total Pza. UDS]]*TP[[#This Row],[DÓLAR]])*$B$3)+(TP[[#This Row],[Costo Total Pza. UDS]]*TP[[#This Row],[DÓLAR]])),"Sin Datos")</f>
        <v>Sin Datos</v>
      </c>
      <c r="Q23" s="57"/>
      <c r="R2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3" s="29" t="str">
        <f>IFERROR(TP[[#This Row],[Costo Total Pza. MXN]]+TP[[#This Row],[Impuesto Unitario MXN]],"Sin Datos")</f>
        <v>Sin Datos</v>
      </c>
      <c r="T23" s="29" t="str">
        <f>IFERROR(TP[[#This Row],[Costo Costo]]*50%+TP[[#This Row],[Costo Costo]],"Sin Datos")</f>
        <v>Sin Datos</v>
      </c>
      <c r="U23" s="14" t="str">
        <f>IFERROR(TP[[#This Row],[Precio de Oficina]]-TP[[#This Row],[Costo Costo]],"Sin Datos")</f>
        <v>Sin Datos</v>
      </c>
      <c r="V23" s="29" t="str">
        <f>IFERROR(TP[[#This Row],[Precio de Oficina]]*14%+TP[[#This Row],[Precio de Oficina]],"Sin Datos")</f>
        <v>Sin Datos</v>
      </c>
      <c r="W23" s="29" t="str">
        <f>IFERROR(TP[[#This Row],[Precio de Oficina]]*20%+TP[[#This Row],[Precio de Oficina]],"Sin Datos")</f>
        <v>Sin Datos</v>
      </c>
      <c r="X23" s="30" t="str">
        <f>IFERROR(TP[[#This Row],[Precio de Wix]]*33.6%+TP[[#This Row],[Precio de Wix]]+100,"Sin Datos")</f>
        <v>Sin Datos</v>
      </c>
      <c r="Z23" s="8" t="s">
        <v>225</v>
      </c>
    </row>
    <row r="24" spans="1:26" x14ac:dyDescent="0.2">
      <c r="A24" s="36" t="s">
        <v>226</v>
      </c>
      <c r="B24" s="49"/>
      <c r="C24" s="49"/>
      <c r="D24" s="53"/>
      <c r="E24" s="52"/>
      <c r="F24" s="53"/>
      <c r="G24" s="28" t="str">
        <f>IFERROR(TP[[#This Row],[Costo Real Unitario USD]]*TP[[#This Row],[Costo de Envio Total UDS]]/TP[[#This Row],[Costo Total Pedido USD]], "Sin Datos")</f>
        <v>Sin Datos</v>
      </c>
      <c r="H24" s="9">
        <f>IFERROR(TP[[#This Row],[Costo Total Pedido USD]]+TP[[#This Row],[Costo de Envio Total UDS]],"Sin Datos")</f>
        <v>0</v>
      </c>
      <c r="I24" s="52"/>
      <c r="J24" s="9" t="str">
        <f>IFERROR((TP[[#This Row],[Costo Real Unitario USD]]*TP[[#This Row],[Impuesto UDS]])/TP[[#This Row],[Costo Total Pedido USD]],"Sin Datos")</f>
        <v>Sin Datos</v>
      </c>
      <c r="K24" s="9" t="str">
        <f>IFERROR(TP[[#This Row],[Costo Real Unitario USD]]+TP[[#This Row],[Costo de Envio Unitario UDS]]+TP[[#This Row],[Impuesto Unitario UDS]],"Sin Datos")</f>
        <v>Sin Datos</v>
      </c>
      <c r="L24" s="9">
        <f>IFERROR(TP[[#This Row],[Costo Total Pedido USD]]+TP[[#This Row],[Costo de Envio Total UDS]]+TP[[#This Row],[Impuesto UDS]],"Sin Datos")</f>
        <v>0</v>
      </c>
      <c r="M24" s="14">
        <f>IFERROR(((TP[[#This Row],[Costo Total Pedido USD]]*TP[[#This Row],[DÓLAR]])*$B$3)+(TP[[#This Row],[Costo Total Pedido USD]]*TP[[#This Row],[DÓLAR]]),"Sin Datos")</f>
        <v>0</v>
      </c>
      <c r="N2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4" s="14" t="str">
        <f>IFERROR(TP[[#This Row],[Costo Total Pza. MXN]]*TP[[#This Row],[CANTIDAD]],"Sin Datos")</f>
        <v>Sin Datos</v>
      </c>
      <c r="P24" s="29" t="str">
        <f>IFERROR((((TP[[#This Row],[Costo Total Pza. UDS]]*TP[[#This Row],[DÓLAR]])*$B$3)+(TP[[#This Row],[Costo Total Pza. UDS]]*TP[[#This Row],[DÓLAR]])),"Sin Datos")</f>
        <v>Sin Datos</v>
      </c>
      <c r="Q24" s="57"/>
      <c r="R2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4" s="29" t="str">
        <f>IFERROR(TP[[#This Row],[Costo Total Pza. MXN]]+TP[[#This Row],[Impuesto Unitario MXN]],"Sin Datos")</f>
        <v>Sin Datos</v>
      </c>
      <c r="T24" s="29" t="str">
        <f>IFERROR(TP[[#This Row],[Costo Costo]]*50%+TP[[#This Row],[Costo Costo]],"Sin Datos")</f>
        <v>Sin Datos</v>
      </c>
      <c r="U24" s="14" t="str">
        <f>IFERROR(TP[[#This Row],[Precio de Oficina]]-TP[[#This Row],[Costo Costo]],"Sin Datos")</f>
        <v>Sin Datos</v>
      </c>
      <c r="V24" s="29" t="str">
        <f>IFERROR(TP[[#This Row],[Precio de Oficina]]*14%+TP[[#This Row],[Precio de Oficina]],"Sin Datos")</f>
        <v>Sin Datos</v>
      </c>
      <c r="W24" s="29" t="str">
        <f>IFERROR(TP[[#This Row],[Precio de Oficina]]*20%+TP[[#This Row],[Precio de Oficina]],"Sin Datos")</f>
        <v>Sin Datos</v>
      </c>
      <c r="X24" s="30" t="str">
        <f>IFERROR(TP[[#This Row],[Precio de Wix]]*33.6%+TP[[#This Row],[Precio de Wix]]+100,"Sin Datos")</f>
        <v>Sin Datos</v>
      </c>
      <c r="Z24" s="8" t="s">
        <v>226</v>
      </c>
    </row>
    <row r="25" spans="1:26" x14ac:dyDescent="0.2">
      <c r="A25" s="36" t="s">
        <v>227</v>
      </c>
      <c r="B25" s="49"/>
      <c r="C25" s="49"/>
      <c r="D25" s="53"/>
      <c r="E25" s="52"/>
      <c r="F25" s="53"/>
      <c r="G25" s="28" t="str">
        <f>IFERROR(TP[[#This Row],[Costo Real Unitario USD]]*TP[[#This Row],[Costo de Envio Total UDS]]/TP[[#This Row],[Costo Total Pedido USD]], "Sin Datos")</f>
        <v>Sin Datos</v>
      </c>
      <c r="H25" s="9">
        <f>IFERROR(TP[[#This Row],[Costo Total Pedido USD]]+TP[[#This Row],[Costo de Envio Total UDS]],"Sin Datos")</f>
        <v>0</v>
      </c>
      <c r="I25" s="52"/>
      <c r="J25" s="9" t="str">
        <f>IFERROR((TP[[#This Row],[Costo Real Unitario USD]]*TP[[#This Row],[Impuesto UDS]])/TP[[#This Row],[Costo Total Pedido USD]],"Sin Datos")</f>
        <v>Sin Datos</v>
      </c>
      <c r="K25" s="9" t="str">
        <f>IFERROR(TP[[#This Row],[Costo Real Unitario USD]]+TP[[#This Row],[Costo de Envio Unitario UDS]]+TP[[#This Row],[Impuesto Unitario UDS]],"Sin Datos")</f>
        <v>Sin Datos</v>
      </c>
      <c r="L25" s="9">
        <f>IFERROR(TP[[#This Row],[Costo Total Pedido USD]]+TP[[#This Row],[Costo de Envio Total UDS]]+TP[[#This Row],[Impuesto UDS]],"Sin Datos")</f>
        <v>0</v>
      </c>
      <c r="M25" s="14">
        <f>IFERROR(((TP[[#This Row],[Costo Total Pedido USD]]*TP[[#This Row],[DÓLAR]])*$B$3)+(TP[[#This Row],[Costo Total Pedido USD]]*TP[[#This Row],[DÓLAR]]),"Sin Datos")</f>
        <v>0</v>
      </c>
      <c r="N2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5" s="14" t="str">
        <f>IFERROR(TP[[#This Row],[Costo Total Pza. MXN]]*TP[[#This Row],[CANTIDAD]],"Sin Datos")</f>
        <v>Sin Datos</v>
      </c>
      <c r="P25" s="29" t="str">
        <f>IFERROR((((TP[[#This Row],[Costo Total Pza. UDS]]*TP[[#This Row],[DÓLAR]])*$B$3)+(TP[[#This Row],[Costo Total Pza. UDS]]*TP[[#This Row],[DÓLAR]])),"Sin Datos")</f>
        <v>Sin Datos</v>
      </c>
      <c r="Q25" s="57"/>
      <c r="R2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5" s="29" t="str">
        <f>IFERROR(TP[[#This Row],[Costo Total Pza. MXN]]+TP[[#This Row],[Impuesto Unitario MXN]],"Sin Datos")</f>
        <v>Sin Datos</v>
      </c>
      <c r="T25" s="29" t="str">
        <f>IFERROR(TP[[#This Row],[Costo Costo]]*50%+TP[[#This Row],[Costo Costo]],"Sin Datos")</f>
        <v>Sin Datos</v>
      </c>
      <c r="U25" s="14" t="str">
        <f>IFERROR(TP[[#This Row],[Precio de Oficina]]-TP[[#This Row],[Costo Costo]],"Sin Datos")</f>
        <v>Sin Datos</v>
      </c>
      <c r="V25" s="29" t="str">
        <f>IFERROR(TP[[#This Row],[Precio de Oficina]]*14%+TP[[#This Row],[Precio de Oficina]],"Sin Datos")</f>
        <v>Sin Datos</v>
      </c>
      <c r="W25" s="29" t="str">
        <f>IFERROR(TP[[#This Row],[Precio de Oficina]]*20%+TP[[#This Row],[Precio de Oficina]],"Sin Datos")</f>
        <v>Sin Datos</v>
      </c>
      <c r="X25" s="30" t="str">
        <f>IFERROR(TP[[#This Row],[Precio de Wix]]*33.6%+TP[[#This Row],[Precio de Wix]]+100,"Sin Datos")</f>
        <v>Sin Datos</v>
      </c>
      <c r="Z25" s="8" t="s">
        <v>227</v>
      </c>
    </row>
    <row r="26" spans="1:26" x14ac:dyDescent="0.2">
      <c r="A26" s="36" t="s">
        <v>228</v>
      </c>
      <c r="B26" s="49"/>
      <c r="C26" s="49"/>
      <c r="D26" s="53"/>
      <c r="E26" s="52"/>
      <c r="F26" s="53"/>
      <c r="G26" s="28" t="str">
        <f>IFERROR(TP[[#This Row],[Costo Real Unitario USD]]*TP[[#This Row],[Costo de Envio Total UDS]]/TP[[#This Row],[Costo Total Pedido USD]], "Sin Datos")</f>
        <v>Sin Datos</v>
      </c>
      <c r="H26" s="9">
        <f>IFERROR(TP[[#This Row],[Costo Total Pedido USD]]+TP[[#This Row],[Costo de Envio Total UDS]],"Sin Datos")</f>
        <v>0</v>
      </c>
      <c r="I26" s="52"/>
      <c r="J26" s="9" t="str">
        <f>IFERROR((TP[[#This Row],[Costo Real Unitario USD]]*TP[[#This Row],[Impuesto UDS]])/TP[[#This Row],[Costo Total Pedido USD]],"Sin Datos")</f>
        <v>Sin Datos</v>
      </c>
      <c r="K26" s="9" t="str">
        <f>IFERROR(TP[[#This Row],[Costo Real Unitario USD]]+TP[[#This Row],[Costo de Envio Unitario UDS]]+TP[[#This Row],[Impuesto Unitario UDS]],"Sin Datos")</f>
        <v>Sin Datos</v>
      </c>
      <c r="L26" s="9">
        <f>IFERROR(TP[[#This Row],[Costo Total Pedido USD]]+TP[[#This Row],[Costo de Envio Total UDS]]+TP[[#This Row],[Impuesto UDS]],"Sin Datos")</f>
        <v>0</v>
      </c>
      <c r="M26" s="14">
        <f>IFERROR(((TP[[#This Row],[Costo Total Pedido USD]]*TP[[#This Row],[DÓLAR]])*$B$3)+(TP[[#This Row],[Costo Total Pedido USD]]*TP[[#This Row],[DÓLAR]]),"Sin Datos")</f>
        <v>0</v>
      </c>
      <c r="N2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6" s="14" t="str">
        <f>IFERROR(TP[[#This Row],[Costo Total Pza. MXN]]*TP[[#This Row],[CANTIDAD]],"Sin Datos")</f>
        <v>Sin Datos</v>
      </c>
      <c r="P26" s="29" t="str">
        <f>IFERROR((((TP[[#This Row],[Costo Total Pza. UDS]]*TP[[#This Row],[DÓLAR]])*$B$3)+(TP[[#This Row],[Costo Total Pza. UDS]]*TP[[#This Row],[DÓLAR]])),"Sin Datos")</f>
        <v>Sin Datos</v>
      </c>
      <c r="Q26" s="57"/>
      <c r="R2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6" s="29" t="str">
        <f>IFERROR(TP[[#This Row],[Costo Total Pza. MXN]]+TP[[#This Row],[Impuesto Unitario MXN]],"Sin Datos")</f>
        <v>Sin Datos</v>
      </c>
      <c r="T26" s="29" t="str">
        <f>IFERROR(TP[[#This Row],[Costo Costo]]*50%+TP[[#This Row],[Costo Costo]],"Sin Datos")</f>
        <v>Sin Datos</v>
      </c>
      <c r="U26" s="14" t="str">
        <f>IFERROR(TP[[#This Row],[Precio de Oficina]]-TP[[#This Row],[Costo Costo]],"Sin Datos")</f>
        <v>Sin Datos</v>
      </c>
      <c r="V26" s="29" t="str">
        <f>IFERROR(TP[[#This Row],[Precio de Oficina]]*14%+TP[[#This Row],[Precio de Oficina]],"Sin Datos")</f>
        <v>Sin Datos</v>
      </c>
      <c r="W26" s="29" t="str">
        <f>IFERROR(TP[[#This Row],[Precio de Oficina]]*20%+TP[[#This Row],[Precio de Oficina]],"Sin Datos")</f>
        <v>Sin Datos</v>
      </c>
      <c r="X26" s="30" t="str">
        <f>IFERROR(TP[[#This Row],[Precio de Wix]]*33.6%+TP[[#This Row],[Precio de Wix]]+100,"Sin Datos")</f>
        <v>Sin Datos</v>
      </c>
      <c r="Z26" s="8" t="s">
        <v>228</v>
      </c>
    </row>
    <row r="27" spans="1:26" x14ac:dyDescent="0.2">
      <c r="A27" s="36" t="s">
        <v>229</v>
      </c>
      <c r="B27" s="49"/>
      <c r="C27" s="49"/>
      <c r="D27" s="53"/>
      <c r="E27" s="52"/>
      <c r="F27" s="53"/>
      <c r="G27" s="28" t="str">
        <f>IFERROR(TP[[#This Row],[Costo Real Unitario USD]]*TP[[#This Row],[Costo de Envio Total UDS]]/TP[[#This Row],[Costo Total Pedido USD]], "Sin Datos")</f>
        <v>Sin Datos</v>
      </c>
      <c r="H27" s="9">
        <f>IFERROR(TP[[#This Row],[Costo Total Pedido USD]]+TP[[#This Row],[Costo de Envio Total UDS]],"Sin Datos")</f>
        <v>0</v>
      </c>
      <c r="I27" s="52"/>
      <c r="J27" s="9" t="str">
        <f>IFERROR((TP[[#This Row],[Costo Real Unitario USD]]*TP[[#This Row],[Impuesto UDS]])/TP[[#This Row],[Costo Total Pedido USD]],"Sin Datos")</f>
        <v>Sin Datos</v>
      </c>
      <c r="K27" s="9" t="str">
        <f>IFERROR(TP[[#This Row],[Costo Real Unitario USD]]+TP[[#This Row],[Costo de Envio Unitario UDS]]+TP[[#This Row],[Impuesto Unitario UDS]],"Sin Datos")</f>
        <v>Sin Datos</v>
      </c>
      <c r="L27" s="9">
        <f>IFERROR(TP[[#This Row],[Costo Total Pedido USD]]+TP[[#This Row],[Costo de Envio Total UDS]]+TP[[#This Row],[Impuesto UDS]],"Sin Datos")</f>
        <v>0</v>
      </c>
      <c r="M27" s="14">
        <f>IFERROR(((TP[[#This Row],[Costo Total Pedido USD]]*TP[[#This Row],[DÓLAR]])*$B$3)+(TP[[#This Row],[Costo Total Pedido USD]]*TP[[#This Row],[DÓLAR]]),"Sin Datos")</f>
        <v>0</v>
      </c>
      <c r="N2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7" s="14" t="str">
        <f>IFERROR(TP[[#This Row],[Costo Total Pza. MXN]]*TP[[#This Row],[CANTIDAD]],"Sin Datos")</f>
        <v>Sin Datos</v>
      </c>
      <c r="P27" s="29" t="str">
        <f>IFERROR((((TP[[#This Row],[Costo Total Pza. UDS]]*TP[[#This Row],[DÓLAR]])*$B$3)+(TP[[#This Row],[Costo Total Pza. UDS]]*TP[[#This Row],[DÓLAR]])),"Sin Datos")</f>
        <v>Sin Datos</v>
      </c>
      <c r="Q27" s="57"/>
      <c r="R2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7" s="29" t="str">
        <f>IFERROR(TP[[#This Row],[Costo Total Pza. MXN]]+TP[[#This Row],[Impuesto Unitario MXN]],"Sin Datos")</f>
        <v>Sin Datos</v>
      </c>
      <c r="T27" s="29" t="str">
        <f>IFERROR(TP[[#This Row],[Costo Costo]]*50%+TP[[#This Row],[Costo Costo]],"Sin Datos")</f>
        <v>Sin Datos</v>
      </c>
      <c r="U27" s="14" t="str">
        <f>IFERROR(TP[[#This Row],[Precio de Oficina]]-TP[[#This Row],[Costo Costo]],"Sin Datos")</f>
        <v>Sin Datos</v>
      </c>
      <c r="V27" s="29" t="str">
        <f>IFERROR(TP[[#This Row],[Precio de Oficina]]*14%+TP[[#This Row],[Precio de Oficina]],"Sin Datos")</f>
        <v>Sin Datos</v>
      </c>
      <c r="W27" s="29" t="str">
        <f>IFERROR(TP[[#This Row],[Precio de Oficina]]*20%+TP[[#This Row],[Precio de Oficina]],"Sin Datos")</f>
        <v>Sin Datos</v>
      </c>
      <c r="X27" s="30" t="str">
        <f>IFERROR(TP[[#This Row],[Precio de Wix]]*33.6%+TP[[#This Row],[Precio de Wix]]+100,"Sin Datos")</f>
        <v>Sin Datos</v>
      </c>
      <c r="Z27" s="8" t="s">
        <v>229</v>
      </c>
    </row>
    <row r="28" spans="1:26" x14ac:dyDescent="0.2">
      <c r="A28" s="36" t="s">
        <v>230</v>
      </c>
      <c r="B28" s="49"/>
      <c r="C28" s="49"/>
      <c r="D28" s="53"/>
      <c r="E28" s="52"/>
      <c r="F28" s="53"/>
      <c r="G28" s="28" t="str">
        <f>IFERROR(TP[[#This Row],[Costo Real Unitario USD]]*TP[[#This Row],[Costo de Envio Total UDS]]/TP[[#This Row],[Costo Total Pedido USD]], "Sin Datos")</f>
        <v>Sin Datos</v>
      </c>
      <c r="H28" s="9">
        <f>IFERROR(TP[[#This Row],[Costo Total Pedido USD]]+TP[[#This Row],[Costo de Envio Total UDS]],"Sin Datos")</f>
        <v>0</v>
      </c>
      <c r="I28" s="52"/>
      <c r="J28" s="9" t="str">
        <f>IFERROR((TP[[#This Row],[Costo Real Unitario USD]]*TP[[#This Row],[Impuesto UDS]])/TP[[#This Row],[Costo Total Pedido USD]],"Sin Datos")</f>
        <v>Sin Datos</v>
      </c>
      <c r="K28" s="9" t="str">
        <f>IFERROR(TP[[#This Row],[Costo Real Unitario USD]]+TP[[#This Row],[Costo de Envio Unitario UDS]]+TP[[#This Row],[Impuesto Unitario UDS]],"Sin Datos")</f>
        <v>Sin Datos</v>
      </c>
      <c r="L28" s="9">
        <f>IFERROR(TP[[#This Row],[Costo Total Pedido USD]]+TP[[#This Row],[Costo de Envio Total UDS]]+TP[[#This Row],[Impuesto UDS]],"Sin Datos")</f>
        <v>0</v>
      </c>
      <c r="M28" s="14">
        <f>IFERROR(((TP[[#This Row],[Costo Total Pedido USD]]*TP[[#This Row],[DÓLAR]])*$B$3)+(TP[[#This Row],[Costo Total Pedido USD]]*TP[[#This Row],[DÓLAR]]),"Sin Datos")</f>
        <v>0</v>
      </c>
      <c r="N2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8" s="14" t="str">
        <f>IFERROR(TP[[#This Row],[Costo Total Pza. MXN]]*TP[[#This Row],[CANTIDAD]],"Sin Datos")</f>
        <v>Sin Datos</v>
      </c>
      <c r="P28" s="29" t="str">
        <f>IFERROR((((TP[[#This Row],[Costo Total Pza. UDS]]*TP[[#This Row],[DÓLAR]])*$B$3)+(TP[[#This Row],[Costo Total Pza. UDS]]*TP[[#This Row],[DÓLAR]])),"Sin Datos")</f>
        <v>Sin Datos</v>
      </c>
      <c r="Q28" s="57"/>
      <c r="R2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8" s="29" t="str">
        <f>IFERROR(TP[[#This Row],[Costo Total Pza. MXN]]+TP[[#This Row],[Impuesto Unitario MXN]],"Sin Datos")</f>
        <v>Sin Datos</v>
      </c>
      <c r="T28" s="29" t="str">
        <f>IFERROR(TP[[#This Row],[Costo Costo]]*50%+TP[[#This Row],[Costo Costo]],"Sin Datos")</f>
        <v>Sin Datos</v>
      </c>
      <c r="U28" s="14" t="str">
        <f>IFERROR(TP[[#This Row],[Precio de Oficina]]-TP[[#This Row],[Costo Costo]],"Sin Datos")</f>
        <v>Sin Datos</v>
      </c>
      <c r="V28" s="29" t="str">
        <f>IFERROR(TP[[#This Row],[Precio de Oficina]]*14%+TP[[#This Row],[Precio de Oficina]],"Sin Datos")</f>
        <v>Sin Datos</v>
      </c>
      <c r="W28" s="29" t="str">
        <f>IFERROR(TP[[#This Row],[Precio de Oficina]]*20%+TP[[#This Row],[Precio de Oficina]],"Sin Datos")</f>
        <v>Sin Datos</v>
      </c>
      <c r="X28" s="30" t="str">
        <f>IFERROR(TP[[#This Row],[Precio de Wix]]*33.6%+TP[[#This Row],[Precio de Wix]]+100,"Sin Datos")</f>
        <v>Sin Datos</v>
      </c>
      <c r="Z28" s="8" t="s">
        <v>230</v>
      </c>
    </row>
    <row r="29" spans="1:26" x14ac:dyDescent="0.2">
      <c r="A29" s="36" t="s">
        <v>231</v>
      </c>
      <c r="B29" s="49"/>
      <c r="C29" s="49"/>
      <c r="D29" s="53"/>
      <c r="E29" s="52"/>
      <c r="F29" s="53"/>
      <c r="G29" s="28" t="str">
        <f>IFERROR(TP[[#This Row],[Costo Real Unitario USD]]*TP[[#This Row],[Costo de Envio Total UDS]]/TP[[#This Row],[Costo Total Pedido USD]], "Sin Datos")</f>
        <v>Sin Datos</v>
      </c>
      <c r="H29" s="9">
        <f>IFERROR(TP[[#This Row],[Costo Total Pedido USD]]+TP[[#This Row],[Costo de Envio Total UDS]],"Sin Datos")</f>
        <v>0</v>
      </c>
      <c r="I29" s="52"/>
      <c r="J29" s="9" t="str">
        <f>IFERROR((TP[[#This Row],[Costo Real Unitario USD]]*TP[[#This Row],[Impuesto UDS]])/TP[[#This Row],[Costo Total Pedido USD]],"Sin Datos")</f>
        <v>Sin Datos</v>
      </c>
      <c r="K29" s="9" t="str">
        <f>IFERROR(TP[[#This Row],[Costo Real Unitario USD]]+TP[[#This Row],[Costo de Envio Unitario UDS]]+TP[[#This Row],[Impuesto Unitario UDS]],"Sin Datos")</f>
        <v>Sin Datos</v>
      </c>
      <c r="L29" s="9">
        <f>IFERROR(TP[[#This Row],[Costo Total Pedido USD]]+TP[[#This Row],[Costo de Envio Total UDS]]+TP[[#This Row],[Impuesto UDS]],"Sin Datos")</f>
        <v>0</v>
      </c>
      <c r="M29" s="14">
        <f>IFERROR(((TP[[#This Row],[Costo Total Pedido USD]]*TP[[#This Row],[DÓLAR]])*$B$3)+(TP[[#This Row],[Costo Total Pedido USD]]*TP[[#This Row],[DÓLAR]]),"Sin Datos")</f>
        <v>0</v>
      </c>
      <c r="N2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9" s="14" t="str">
        <f>IFERROR(TP[[#This Row],[Costo Total Pza. MXN]]*TP[[#This Row],[CANTIDAD]],"Sin Datos")</f>
        <v>Sin Datos</v>
      </c>
      <c r="P29" s="29" t="str">
        <f>IFERROR((((TP[[#This Row],[Costo Total Pza. UDS]]*TP[[#This Row],[DÓLAR]])*$B$3)+(TP[[#This Row],[Costo Total Pza. UDS]]*TP[[#This Row],[DÓLAR]])),"Sin Datos")</f>
        <v>Sin Datos</v>
      </c>
      <c r="Q29" s="57"/>
      <c r="R2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9" s="29" t="str">
        <f>IFERROR(TP[[#This Row],[Costo Total Pza. MXN]]+TP[[#This Row],[Impuesto Unitario MXN]],"Sin Datos")</f>
        <v>Sin Datos</v>
      </c>
      <c r="T29" s="29" t="str">
        <f>IFERROR(TP[[#This Row],[Costo Costo]]*50%+TP[[#This Row],[Costo Costo]],"Sin Datos")</f>
        <v>Sin Datos</v>
      </c>
      <c r="U29" s="14" t="str">
        <f>IFERROR(TP[[#This Row],[Precio de Oficina]]-TP[[#This Row],[Costo Costo]],"Sin Datos")</f>
        <v>Sin Datos</v>
      </c>
      <c r="V29" s="29" t="str">
        <f>IFERROR(TP[[#This Row],[Precio de Oficina]]*14%+TP[[#This Row],[Precio de Oficina]],"Sin Datos")</f>
        <v>Sin Datos</v>
      </c>
      <c r="W29" s="29" t="str">
        <f>IFERROR(TP[[#This Row],[Precio de Oficina]]*20%+TP[[#This Row],[Precio de Oficina]],"Sin Datos")</f>
        <v>Sin Datos</v>
      </c>
      <c r="X29" s="30" t="str">
        <f>IFERROR(TP[[#This Row],[Precio de Wix]]*33.6%+TP[[#This Row],[Precio de Wix]]+100,"Sin Datos")</f>
        <v>Sin Datos</v>
      </c>
      <c r="Z29" s="8" t="s">
        <v>231</v>
      </c>
    </row>
    <row r="30" spans="1:26" x14ac:dyDescent="0.2">
      <c r="A30" s="36" t="s">
        <v>232</v>
      </c>
      <c r="B30" s="49"/>
      <c r="C30" s="49"/>
      <c r="D30" s="53"/>
      <c r="E30" s="52"/>
      <c r="F30" s="53"/>
      <c r="G30" s="28" t="str">
        <f>IFERROR(TP[[#This Row],[Costo Real Unitario USD]]*TP[[#This Row],[Costo de Envio Total UDS]]/TP[[#This Row],[Costo Total Pedido USD]], "Sin Datos")</f>
        <v>Sin Datos</v>
      </c>
      <c r="H30" s="9">
        <f>IFERROR(TP[[#This Row],[Costo Total Pedido USD]]+TP[[#This Row],[Costo de Envio Total UDS]],"Sin Datos")</f>
        <v>0</v>
      </c>
      <c r="I30" s="52"/>
      <c r="J30" s="9" t="str">
        <f>IFERROR((TP[[#This Row],[Costo Real Unitario USD]]*TP[[#This Row],[Impuesto UDS]])/TP[[#This Row],[Costo Total Pedido USD]],"Sin Datos")</f>
        <v>Sin Datos</v>
      </c>
      <c r="K30" s="9" t="str">
        <f>IFERROR(TP[[#This Row],[Costo Real Unitario USD]]+TP[[#This Row],[Costo de Envio Unitario UDS]]+TP[[#This Row],[Impuesto Unitario UDS]],"Sin Datos")</f>
        <v>Sin Datos</v>
      </c>
      <c r="L30" s="9">
        <f>IFERROR(TP[[#This Row],[Costo Total Pedido USD]]+TP[[#This Row],[Costo de Envio Total UDS]]+TP[[#This Row],[Impuesto UDS]],"Sin Datos")</f>
        <v>0</v>
      </c>
      <c r="M30" s="14">
        <f>IFERROR(((TP[[#This Row],[Costo Total Pedido USD]]*TP[[#This Row],[DÓLAR]])*$B$3)+(TP[[#This Row],[Costo Total Pedido USD]]*TP[[#This Row],[DÓLAR]]),"Sin Datos")</f>
        <v>0</v>
      </c>
      <c r="N3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0" s="14" t="str">
        <f>IFERROR(TP[[#This Row],[Costo Total Pza. MXN]]*TP[[#This Row],[CANTIDAD]],"Sin Datos")</f>
        <v>Sin Datos</v>
      </c>
      <c r="P30" s="29" t="str">
        <f>IFERROR((((TP[[#This Row],[Costo Total Pza. UDS]]*TP[[#This Row],[DÓLAR]])*$B$3)+(TP[[#This Row],[Costo Total Pza. UDS]]*TP[[#This Row],[DÓLAR]])),"Sin Datos")</f>
        <v>Sin Datos</v>
      </c>
      <c r="Q30" s="57"/>
      <c r="R3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0" s="29" t="str">
        <f>IFERROR(TP[[#This Row],[Costo Total Pza. MXN]]+TP[[#This Row],[Impuesto Unitario MXN]],"Sin Datos")</f>
        <v>Sin Datos</v>
      </c>
      <c r="T30" s="29" t="str">
        <f>IFERROR(TP[[#This Row],[Costo Costo]]*50%+TP[[#This Row],[Costo Costo]],"Sin Datos")</f>
        <v>Sin Datos</v>
      </c>
      <c r="U30" s="14" t="str">
        <f>IFERROR(TP[[#This Row],[Precio de Oficina]]-TP[[#This Row],[Costo Costo]],"Sin Datos")</f>
        <v>Sin Datos</v>
      </c>
      <c r="V30" s="29" t="str">
        <f>IFERROR(TP[[#This Row],[Precio de Oficina]]*14%+TP[[#This Row],[Precio de Oficina]],"Sin Datos")</f>
        <v>Sin Datos</v>
      </c>
      <c r="W30" s="29" t="str">
        <f>IFERROR(TP[[#This Row],[Precio de Oficina]]*20%+TP[[#This Row],[Precio de Oficina]],"Sin Datos")</f>
        <v>Sin Datos</v>
      </c>
      <c r="X30" s="30" t="str">
        <f>IFERROR(TP[[#This Row],[Precio de Wix]]*33.6%+TP[[#This Row],[Precio de Wix]]+100,"Sin Datos")</f>
        <v>Sin Datos</v>
      </c>
      <c r="Z30" s="8" t="s">
        <v>232</v>
      </c>
    </row>
    <row r="31" spans="1:26" x14ac:dyDescent="0.2">
      <c r="A31" s="36" t="s">
        <v>233</v>
      </c>
      <c r="B31" s="49"/>
      <c r="C31" s="49"/>
      <c r="D31" s="53"/>
      <c r="E31" s="52"/>
      <c r="F31" s="53"/>
      <c r="G31" s="28" t="str">
        <f>IFERROR(TP[[#This Row],[Costo Real Unitario USD]]*TP[[#This Row],[Costo de Envio Total UDS]]/TP[[#This Row],[Costo Total Pedido USD]], "Sin Datos")</f>
        <v>Sin Datos</v>
      </c>
      <c r="H31" s="9">
        <f>IFERROR(TP[[#This Row],[Costo Total Pedido USD]]+TP[[#This Row],[Costo de Envio Total UDS]],"Sin Datos")</f>
        <v>0</v>
      </c>
      <c r="I31" s="52"/>
      <c r="J31" s="9" t="str">
        <f>IFERROR((TP[[#This Row],[Costo Real Unitario USD]]*TP[[#This Row],[Impuesto UDS]])/TP[[#This Row],[Costo Total Pedido USD]],"Sin Datos")</f>
        <v>Sin Datos</v>
      </c>
      <c r="K31" s="9" t="str">
        <f>IFERROR(TP[[#This Row],[Costo Real Unitario USD]]+TP[[#This Row],[Costo de Envio Unitario UDS]]+TP[[#This Row],[Impuesto Unitario UDS]],"Sin Datos")</f>
        <v>Sin Datos</v>
      </c>
      <c r="L31" s="9">
        <f>IFERROR(TP[[#This Row],[Costo Total Pedido USD]]+TP[[#This Row],[Costo de Envio Total UDS]]+TP[[#This Row],[Impuesto UDS]],"Sin Datos")</f>
        <v>0</v>
      </c>
      <c r="M31" s="14">
        <f>IFERROR(((TP[[#This Row],[Costo Total Pedido USD]]*TP[[#This Row],[DÓLAR]])*$B$3)+(TP[[#This Row],[Costo Total Pedido USD]]*TP[[#This Row],[DÓLAR]]),"Sin Datos")</f>
        <v>0</v>
      </c>
      <c r="N3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1" s="14" t="str">
        <f>IFERROR(TP[[#This Row],[Costo Total Pza. MXN]]*TP[[#This Row],[CANTIDAD]],"Sin Datos")</f>
        <v>Sin Datos</v>
      </c>
      <c r="P31" s="29" t="str">
        <f>IFERROR((((TP[[#This Row],[Costo Total Pza. UDS]]*TP[[#This Row],[DÓLAR]])*$B$3)+(TP[[#This Row],[Costo Total Pza. UDS]]*TP[[#This Row],[DÓLAR]])),"Sin Datos")</f>
        <v>Sin Datos</v>
      </c>
      <c r="Q31" s="57"/>
      <c r="R3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1" s="29" t="str">
        <f>IFERROR(TP[[#This Row],[Costo Total Pza. MXN]]+TP[[#This Row],[Impuesto Unitario MXN]],"Sin Datos")</f>
        <v>Sin Datos</v>
      </c>
      <c r="T31" s="29" t="str">
        <f>IFERROR(TP[[#This Row],[Costo Costo]]*50%+TP[[#This Row],[Costo Costo]],"Sin Datos")</f>
        <v>Sin Datos</v>
      </c>
      <c r="U31" s="14" t="str">
        <f>IFERROR(TP[[#This Row],[Precio de Oficina]]-TP[[#This Row],[Costo Costo]],"Sin Datos")</f>
        <v>Sin Datos</v>
      </c>
      <c r="V31" s="29" t="str">
        <f>IFERROR(TP[[#This Row],[Precio de Oficina]]*14%+TP[[#This Row],[Precio de Oficina]],"Sin Datos")</f>
        <v>Sin Datos</v>
      </c>
      <c r="W31" s="29" t="str">
        <f>IFERROR(TP[[#This Row],[Precio de Oficina]]*20%+TP[[#This Row],[Precio de Oficina]],"Sin Datos")</f>
        <v>Sin Datos</v>
      </c>
      <c r="X31" s="30" t="str">
        <f>IFERROR(TP[[#This Row],[Precio de Wix]]*33.6%+TP[[#This Row],[Precio de Wix]]+100,"Sin Datos")</f>
        <v>Sin Datos</v>
      </c>
      <c r="Z31" s="8" t="s">
        <v>233</v>
      </c>
    </row>
    <row r="32" spans="1:26" x14ac:dyDescent="0.2">
      <c r="A32" s="36" t="s">
        <v>234</v>
      </c>
      <c r="B32" s="49"/>
      <c r="C32" s="49"/>
      <c r="D32" s="53"/>
      <c r="E32" s="52"/>
      <c r="F32" s="53"/>
      <c r="G32" s="28" t="str">
        <f>IFERROR(TP[[#This Row],[Costo Real Unitario USD]]*TP[[#This Row],[Costo de Envio Total UDS]]/TP[[#This Row],[Costo Total Pedido USD]], "Sin Datos")</f>
        <v>Sin Datos</v>
      </c>
      <c r="H32" s="9">
        <f>IFERROR(TP[[#This Row],[Costo Total Pedido USD]]+TP[[#This Row],[Costo de Envio Total UDS]],"Sin Datos")</f>
        <v>0</v>
      </c>
      <c r="I32" s="52"/>
      <c r="J32" s="9" t="str">
        <f>IFERROR((TP[[#This Row],[Costo Real Unitario USD]]*TP[[#This Row],[Impuesto UDS]])/TP[[#This Row],[Costo Total Pedido USD]],"Sin Datos")</f>
        <v>Sin Datos</v>
      </c>
      <c r="K32" s="9" t="str">
        <f>IFERROR(TP[[#This Row],[Costo Real Unitario USD]]+TP[[#This Row],[Costo de Envio Unitario UDS]]+TP[[#This Row],[Impuesto Unitario UDS]],"Sin Datos")</f>
        <v>Sin Datos</v>
      </c>
      <c r="L32" s="9">
        <f>IFERROR(TP[[#This Row],[Costo Total Pedido USD]]+TP[[#This Row],[Costo de Envio Total UDS]]+TP[[#This Row],[Impuesto UDS]],"Sin Datos")</f>
        <v>0</v>
      </c>
      <c r="M32" s="14">
        <f>IFERROR(((TP[[#This Row],[Costo Total Pedido USD]]*TP[[#This Row],[DÓLAR]])*$B$3)+(TP[[#This Row],[Costo Total Pedido USD]]*TP[[#This Row],[DÓLAR]]),"Sin Datos")</f>
        <v>0</v>
      </c>
      <c r="N3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2" s="14" t="str">
        <f>IFERROR(TP[[#This Row],[Costo Total Pza. MXN]]*TP[[#This Row],[CANTIDAD]],"Sin Datos")</f>
        <v>Sin Datos</v>
      </c>
      <c r="P32" s="29" t="str">
        <f>IFERROR((((TP[[#This Row],[Costo Total Pza. UDS]]*TP[[#This Row],[DÓLAR]])*$B$3)+(TP[[#This Row],[Costo Total Pza. UDS]]*TP[[#This Row],[DÓLAR]])),"Sin Datos")</f>
        <v>Sin Datos</v>
      </c>
      <c r="Q32" s="57"/>
      <c r="R3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2" s="29" t="str">
        <f>IFERROR(TP[[#This Row],[Costo Total Pza. MXN]]+TP[[#This Row],[Impuesto Unitario MXN]],"Sin Datos")</f>
        <v>Sin Datos</v>
      </c>
      <c r="T32" s="29" t="str">
        <f>IFERROR(TP[[#This Row],[Costo Costo]]*50%+TP[[#This Row],[Costo Costo]],"Sin Datos")</f>
        <v>Sin Datos</v>
      </c>
      <c r="U32" s="14" t="str">
        <f>IFERROR(TP[[#This Row],[Precio de Oficina]]-TP[[#This Row],[Costo Costo]],"Sin Datos")</f>
        <v>Sin Datos</v>
      </c>
      <c r="V32" s="29" t="str">
        <f>IFERROR(TP[[#This Row],[Precio de Oficina]]*14%+TP[[#This Row],[Precio de Oficina]],"Sin Datos")</f>
        <v>Sin Datos</v>
      </c>
      <c r="W32" s="29" t="str">
        <f>IFERROR(TP[[#This Row],[Precio de Oficina]]*20%+TP[[#This Row],[Precio de Oficina]],"Sin Datos")</f>
        <v>Sin Datos</v>
      </c>
      <c r="X32" s="30" t="str">
        <f>IFERROR(TP[[#This Row],[Precio de Wix]]*33.6%+TP[[#This Row],[Precio de Wix]]+100,"Sin Datos")</f>
        <v>Sin Datos</v>
      </c>
      <c r="Z32" s="8" t="s">
        <v>234</v>
      </c>
    </row>
    <row r="33" spans="1:26" x14ac:dyDescent="0.2">
      <c r="A33" s="36" t="s">
        <v>235</v>
      </c>
      <c r="B33" s="49"/>
      <c r="C33" s="49"/>
      <c r="D33" s="53"/>
      <c r="E33" s="52"/>
      <c r="F33" s="53"/>
      <c r="G33" s="28" t="str">
        <f>IFERROR(TP[[#This Row],[Costo Real Unitario USD]]*TP[[#This Row],[Costo de Envio Total UDS]]/TP[[#This Row],[Costo Total Pedido USD]], "Sin Datos")</f>
        <v>Sin Datos</v>
      </c>
      <c r="H33" s="9">
        <f>IFERROR(TP[[#This Row],[Costo Total Pedido USD]]+TP[[#This Row],[Costo de Envio Total UDS]],"Sin Datos")</f>
        <v>0</v>
      </c>
      <c r="I33" s="52"/>
      <c r="J33" s="9" t="str">
        <f>IFERROR((TP[[#This Row],[Costo Real Unitario USD]]*TP[[#This Row],[Impuesto UDS]])/TP[[#This Row],[Costo Total Pedido USD]],"Sin Datos")</f>
        <v>Sin Datos</v>
      </c>
      <c r="K33" s="9" t="str">
        <f>IFERROR(TP[[#This Row],[Costo Real Unitario USD]]+TP[[#This Row],[Costo de Envio Unitario UDS]]+TP[[#This Row],[Impuesto Unitario UDS]],"Sin Datos")</f>
        <v>Sin Datos</v>
      </c>
      <c r="L33" s="9">
        <f>IFERROR(TP[[#This Row],[Costo Total Pedido USD]]+TP[[#This Row],[Costo de Envio Total UDS]]+TP[[#This Row],[Impuesto UDS]],"Sin Datos")</f>
        <v>0</v>
      </c>
      <c r="M33" s="14">
        <f>IFERROR(((TP[[#This Row],[Costo Total Pedido USD]]*TP[[#This Row],[DÓLAR]])*$B$3)+(TP[[#This Row],[Costo Total Pedido USD]]*TP[[#This Row],[DÓLAR]]),"Sin Datos")</f>
        <v>0</v>
      </c>
      <c r="N3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3" s="14" t="str">
        <f>IFERROR(TP[[#This Row],[Costo Total Pza. MXN]]*TP[[#This Row],[CANTIDAD]],"Sin Datos")</f>
        <v>Sin Datos</v>
      </c>
      <c r="P33" s="29" t="str">
        <f>IFERROR((((TP[[#This Row],[Costo Total Pza. UDS]]*TP[[#This Row],[DÓLAR]])*$B$3)+(TP[[#This Row],[Costo Total Pza. UDS]]*TP[[#This Row],[DÓLAR]])),"Sin Datos")</f>
        <v>Sin Datos</v>
      </c>
      <c r="Q33" s="57"/>
      <c r="R3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3" s="29" t="str">
        <f>IFERROR(TP[[#This Row],[Costo Total Pza. MXN]]+TP[[#This Row],[Impuesto Unitario MXN]],"Sin Datos")</f>
        <v>Sin Datos</v>
      </c>
      <c r="T33" s="29" t="str">
        <f>IFERROR(TP[[#This Row],[Costo Costo]]*50%+TP[[#This Row],[Costo Costo]],"Sin Datos")</f>
        <v>Sin Datos</v>
      </c>
      <c r="U33" s="14" t="str">
        <f>IFERROR(TP[[#This Row],[Precio de Oficina]]-TP[[#This Row],[Costo Costo]],"Sin Datos")</f>
        <v>Sin Datos</v>
      </c>
      <c r="V33" s="29" t="str">
        <f>IFERROR(TP[[#This Row],[Precio de Oficina]]*14%+TP[[#This Row],[Precio de Oficina]],"Sin Datos")</f>
        <v>Sin Datos</v>
      </c>
      <c r="W33" s="29" t="str">
        <f>IFERROR(TP[[#This Row],[Precio de Oficina]]*20%+TP[[#This Row],[Precio de Oficina]],"Sin Datos")</f>
        <v>Sin Datos</v>
      </c>
      <c r="X33" s="30" t="str">
        <f>IFERROR(TP[[#This Row],[Precio de Wix]]*33.6%+TP[[#This Row],[Precio de Wix]]+100,"Sin Datos")</f>
        <v>Sin Datos</v>
      </c>
      <c r="Z33" s="8" t="s">
        <v>235</v>
      </c>
    </row>
    <row r="34" spans="1:26" x14ac:dyDescent="0.2">
      <c r="A34" s="36" t="s">
        <v>236</v>
      </c>
      <c r="B34" s="49"/>
      <c r="C34" s="49"/>
      <c r="D34" s="53"/>
      <c r="E34" s="52"/>
      <c r="F34" s="53"/>
      <c r="G34" s="28" t="str">
        <f>IFERROR(TP[[#This Row],[Costo Real Unitario USD]]*TP[[#This Row],[Costo de Envio Total UDS]]/TP[[#This Row],[Costo Total Pedido USD]], "Sin Datos")</f>
        <v>Sin Datos</v>
      </c>
      <c r="H34" s="9">
        <f>IFERROR(TP[[#This Row],[Costo Total Pedido USD]]+TP[[#This Row],[Costo de Envio Total UDS]],"Sin Datos")</f>
        <v>0</v>
      </c>
      <c r="I34" s="52"/>
      <c r="J34" s="9" t="str">
        <f>IFERROR((TP[[#This Row],[Costo Real Unitario USD]]*TP[[#This Row],[Impuesto UDS]])/TP[[#This Row],[Costo Total Pedido USD]],"Sin Datos")</f>
        <v>Sin Datos</v>
      </c>
      <c r="K34" s="9" t="str">
        <f>IFERROR(TP[[#This Row],[Costo Real Unitario USD]]+TP[[#This Row],[Costo de Envio Unitario UDS]]+TP[[#This Row],[Impuesto Unitario UDS]],"Sin Datos")</f>
        <v>Sin Datos</v>
      </c>
      <c r="L34" s="9">
        <f>IFERROR(TP[[#This Row],[Costo Total Pedido USD]]+TP[[#This Row],[Costo de Envio Total UDS]]+TP[[#This Row],[Impuesto UDS]],"Sin Datos")</f>
        <v>0</v>
      </c>
      <c r="M34" s="14">
        <f>IFERROR(((TP[[#This Row],[Costo Total Pedido USD]]*TP[[#This Row],[DÓLAR]])*$B$3)+(TP[[#This Row],[Costo Total Pedido USD]]*TP[[#This Row],[DÓLAR]]),"Sin Datos")</f>
        <v>0</v>
      </c>
      <c r="N3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4" s="14" t="str">
        <f>IFERROR(TP[[#This Row],[Costo Total Pza. MXN]]*TP[[#This Row],[CANTIDAD]],"Sin Datos")</f>
        <v>Sin Datos</v>
      </c>
      <c r="P34" s="29" t="str">
        <f>IFERROR((((TP[[#This Row],[Costo Total Pza. UDS]]*TP[[#This Row],[DÓLAR]])*$B$3)+(TP[[#This Row],[Costo Total Pza. UDS]]*TP[[#This Row],[DÓLAR]])),"Sin Datos")</f>
        <v>Sin Datos</v>
      </c>
      <c r="Q34" s="57"/>
      <c r="R3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4" s="29" t="str">
        <f>IFERROR(TP[[#This Row],[Costo Total Pza. MXN]]+TP[[#This Row],[Impuesto Unitario MXN]],"Sin Datos")</f>
        <v>Sin Datos</v>
      </c>
      <c r="T34" s="29" t="str">
        <f>IFERROR(TP[[#This Row],[Costo Costo]]*50%+TP[[#This Row],[Costo Costo]],"Sin Datos")</f>
        <v>Sin Datos</v>
      </c>
      <c r="U34" s="14" t="str">
        <f>IFERROR(TP[[#This Row],[Precio de Oficina]]-TP[[#This Row],[Costo Costo]],"Sin Datos")</f>
        <v>Sin Datos</v>
      </c>
      <c r="V34" s="29" t="str">
        <f>IFERROR(TP[[#This Row],[Precio de Oficina]]*14%+TP[[#This Row],[Precio de Oficina]],"Sin Datos")</f>
        <v>Sin Datos</v>
      </c>
      <c r="W34" s="29" t="str">
        <f>IFERROR(TP[[#This Row],[Precio de Oficina]]*20%+TP[[#This Row],[Precio de Oficina]],"Sin Datos")</f>
        <v>Sin Datos</v>
      </c>
      <c r="X34" s="30" t="str">
        <f>IFERROR(TP[[#This Row],[Precio de Wix]]*33.6%+TP[[#This Row],[Precio de Wix]]+100,"Sin Datos")</f>
        <v>Sin Datos</v>
      </c>
      <c r="Z34" s="8" t="s">
        <v>236</v>
      </c>
    </row>
    <row r="35" spans="1:26" x14ac:dyDescent="0.2">
      <c r="A35" s="36" t="s">
        <v>237</v>
      </c>
      <c r="B35" s="49"/>
      <c r="C35" s="49"/>
      <c r="D35" s="53"/>
      <c r="E35" s="52"/>
      <c r="F35" s="53"/>
      <c r="G35" s="28" t="str">
        <f>IFERROR(TP[[#This Row],[Costo Real Unitario USD]]*TP[[#This Row],[Costo de Envio Total UDS]]/TP[[#This Row],[Costo Total Pedido USD]], "Sin Datos")</f>
        <v>Sin Datos</v>
      </c>
      <c r="H35" s="9">
        <f>IFERROR(TP[[#This Row],[Costo Total Pedido USD]]+TP[[#This Row],[Costo de Envio Total UDS]],"Sin Datos")</f>
        <v>0</v>
      </c>
      <c r="I35" s="52"/>
      <c r="J35" s="9" t="str">
        <f>IFERROR((TP[[#This Row],[Costo Real Unitario USD]]*TP[[#This Row],[Impuesto UDS]])/TP[[#This Row],[Costo Total Pedido USD]],"Sin Datos")</f>
        <v>Sin Datos</v>
      </c>
      <c r="K35" s="9" t="str">
        <f>IFERROR(TP[[#This Row],[Costo Real Unitario USD]]+TP[[#This Row],[Costo de Envio Unitario UDS]]+TP[[#This Row],[Impuesto Unitario UDS]],"Sin Datos")</f>
        <v>Sin Datos</v>
      </c>
      <c r="L35" s="9">
        <f>IFERROR(TP[[#This Row],[Costo Total Pedido USD]]+TP[[#This Row],[Costo de Envio Total UDS]]+TP[[#This Row],[Impuesto UDS]],"Sin Datos")</f>
        <v>0</v>
      </c>
      <c r="M35" s="14">
        <f>IFERROR(((TP[[#This Row],[Costo Total Pedido USD]]*TP[[#This Row],[DÓLAR]])*$B$3)+(TP[[#This Row],[Costo Total Pedido USD]]*TP[[#This Row],[DÓLAR]]),"Sin Datos")</f>
        <v>0</v>
      </c>
      <c r="N3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5" s="14" t="str">
        <f>IFERROR(TP[[#This Row],[Costo Total Pza. MXN]]*TP[[#This Row],[CANTIDAD]],"Sin Datos")</f>
        <v>Sin Datos</v>
      </c>
      <c r="P35" s="29" t="str">
        <f>IFERROR((((TP[[#This Row],[Costo Total Pza. UDS]]*TP[[#This Row],[DÓLAR]])*$B$3)+(TP[[#This Row],[Costo Total Pza. UDS]]*TP[[#This Row],[DÓLAR]])),"Sin Datos")</f>
        <v>Sin Datos</v>
      </c>
      <c r="Q35" s="57"/>
      <c r="R3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5" s="29" t="str">
        <f>IFERROR(TP[[#This Row],[Costo Total Pza. MXN]]+TP[[#This Row],[Impuesto Unitario MXN]],"Sin Datos")</f>
        <v>Sin Datos</v>
      </c>
      <c r="T35" s="29" t="str">
        <f>IFERROR(TP[[#This Row],[Costo Costo]]*50%+TP[[#This Row],[Costo Costo]],"Sin Datos")</f>
        <v>Sin Datos</v>
      </c>
      <c r="U35" s="14" t="str">
        <f>IFERROR(TP[[#This Row],[Precio de Oficina]]-TP[[#This Row],[Costo Costo]],"Sin Datos")</f>
        <v>Sin Datos</v>
      </c>
      <c r="V35" s="29" t="str">
        <f>IFERROR(TP[[#This Row],[Precio de Oficina]]*14%+TP[[#This Row],[Precio de Oficina]],"Sin Datos")</f>
        <v>Sin Datos</v>
      </c>
      <c r="W35" s="29" t="str">
        <f>IFERROR(TP[[#This Row],[Precio de Oficina]]*20%+TP[[#This Row],[Precio de Oficina]],"Sin Datos")</f>
        <v>Sin Datos</v>
      </c>
      <c r="X35" s="30" t="str">
        <f>IFERROR(TP[[#This Row],[Precio de Wix]]*33.6%+TP[[#This Row],[Precio de Wix]]+100,"Sin Datos")</f>
        <v>Sin Datos</v>
      </c>
      <c r="Z35" s="8" t="s">
        <v>237</v>
      </c>
    </row>
    <row r="36" spans="1:26" x14ac:dyDescent="0.2">
      <c r="A36" s="36" t="s">
        <v>238</v>
      </c>
      <c r="B36" s="49"/>
      <c r="C36" s="49"/>
      <c r="D36" s="53"/>
      <c r="E36" s="52"/>
      <c r="F36" s="53"/>
      <c r="G36" s="28" t="str">
        <f>IFERROR(TP[[#This Row],[Costo Real Unitario USD]]*TP[[#This Row],[Costo de Envio Total UDS]]/TP[[#This Row],[Costo Total Pedido USD]], "Sin Datos")</f>
        <v>Sin Datos</v>
      </c>
      <c r="H36" s="9">
        <f>IFERROR(TP[[#This Row],[Costo Total Pedido USD]]+TP[[#This Row],[Costo de Envio Total UDS]],"Sin Datos")</f>
        <v>0</v>
      </c>
      <c r="I36" s="52"/>
      <c r="J36" s="9" t="str">
        <f>IFERROR((TP[[#This Row],[Costo Real Unitario USD]]*TP[[#This Row],[Impuesto UDS]])/TP[[#This Row],[Costo Total Pedido USD]],"Sin Datos")</f>
        <v>Sin Datos</v>
      </c>
      <c r="K36" s="9" t="str">
        <f>IFERROR(TP[[#This Row],[Costo Real Unitario USD]]+TP[[#This Row],[Costo de Envio Unitario UDS]]+TP[[#This Row],[Impuesto Unitario UDS]],"Sin Datos")</f>
        <v>Sin Datos</v>
      </c>
      <c r="L36" s="9">
        <f>IFERROR(TP[[#This Row],[Costo Total Pedido USD]]+TP[[#This Row],[Costo de Envio Total UDS]]+TP[[#This Row],[Impuesto UDS]],"Sin Datos")</f>
        <v>0</v>
      </c>
      <c r="M36" s="14">
        <f>IFERROR(((TP[[#This Row],[Costo Total Pedido USD]]*TP[[#This Row],[DÓLAR]])*$B$3)+(TP[[#This Row],[Costo Total Pedido USD]]*TP[[#This Row],[DÓLAR]]),"Sin Datos")</f>
        <v>0</v>
      </c>
      <c r="N3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6" s="14" t="str">
        <f>IFERROR(TP[[#This Row],[Costo Total Pza. MXN]]*TP[[#This Row],[CANTIDAD]],"Sin Datos")</f>
        <v>Sin Datos</v>
      </c>
      <c r="P36" s="29" t="str">
        <f>IFERROR((((TP[[#This Row],[Costo Total Pza. UDS]]*TP[[#This Row],[DÓLAR]])*$B$3)+(TP[[#This Row],[Costo Total Pza. UDS]]*TP[[#This Row],[DÓLAR]])),"Sin Datos")</f>
        <v>Sin Datos</v>
      </c>
      <c r="Q36" s="57"/>
      <c r="R3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6" s="29" t="str">
        <f>IFERROR(TP[[#This Row],[Costo Total Pza. MXN]]+TP[[#This Row],[Impuesto Unitario MXN]],"Sin Datos")</f>
        <v>Sin Datos</v>
      </c>
      <c r="T36" s="29" t="str">
        <f>IFERROR(TP[[#This Row],[Costo Costo]]*50%+TP[[#This Row],[Costo Costo]],"Sin Datos")</f>
        <v>Sin Datos</v>
      </c>
      <c r="U36" s="14" t="str">
        <f>IFERROR(TP[[#This Row],[Precio de Oficina]]-TP[[#This Row],[Costo Costo]],"Sin Datos")</f>
        <v>Sin Datos</v>
      </c>
      <c r="V36" s="29" t="str">
        <f>IFERROR(TP[[#This Row],[Precio de Oficina]]*14%+TP[[#This Row],[Precio de Oficina]],"Sin Datos")</f>
        <v>Sin Datos</v>
      </c>
      <c r="W36" s="29" t="str">
        <f>IFERROR(TP[[#This Row],[Precio de Oficina]]*20%+TP[[#This Row],[Precio de Oficina]],"Sin Datos")</f>
        <v>Sin Datos</v>
      </c>
      <c r="X36" s="30" t="str">
        <f>IFERROR(TP[[#This Row],[Precio de Wix]]*33.6%+TP[[#This Row],[Precio de Wix]]+100,"Sin Datos")</f>
        <v>Sin Datos</v>
      </c>
      <c r="Z36" s="8" t="s">
        <v>238</v>
      </c>
    </row>
    <row r="37" spans="1:26" x14ac:dyDescent="0.2">
      <c r="A37" s="36" t="s">
        <v>239</v>
      </c>
      <c r="B37" s="49"/>
      <c r="C37" s="49"/>
      <c r="D37" s="53"/>
      <c r="E37" s="52"/>
      <c r="F37" s="53"/>
      <c r="G37" s="28" t="str">
        <f>IFERROR(TP[[#This Row],[Costo Real Unitario USD]]*TP[[#This Row],[Costo de Envio Total UDS]]/TP[[#This Row],[Costo Total Pedido USD]], "Sin Datos")</f>
        <v>Sin Datos</v>
      </c>
      <c r="H37" s="9">
        <f>IFERROR(TP[[#This Row],[Costo Total Pedido USD]]+TP[[#This Row],[Costo de Envio Total UDS]],"Sin Datos")</f>
        <v>0</v>
      </c>
      <c r="I37" s="52"/>
      <c r="J37" s="9" t="str">
        <f>IFERROR((TP[[#This Row],[Costo Real Unitario USD]]*TP[[#This Row],[Impuesto UDS]])/TP[[#This Row],[Costo Total Pedido USD]],"Sin Datos")</f>
        <v>Sin Datos</v>
      </c>
      <c r="K37" s="9" t="str">
        <f>IFERROR(TP[[#This Row],[Costo Real Unitario USD]]+TP[[#This Row],[Costo de Envio Unitario UDS]]+TP[[#This Row],[Impuesto Unitario UDS]],"Sin Datos")</f>
        <v>Sin Datos</v>
      </c>
      <c r="L37" s="9">
        <f>IFERROR(TP[[#This Row],[Costo Total Pedido USD]]+TP[[#This Row],[Costo de Envio Total UDS]]+TP[[#This Row],[Impuesto UDS]],"Sin Datos")</f>
        <v>0</v>
      </c>
      <c r="M37" s="14">
        <f>IFERROR(((TP[[#This Row],[Costo Total Pedido USD]]*TP[[#This Row],[DÓLAR]])*$B$3)+(TP[[#This Row],[Costo Total Pedido USD]]*TP[[#This Row],[DÓLAR]]),"Sin Datos")</f>
        <v>0</v>
      </c>
      <c r="N3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7" s="14" t="str">
        <f>IFERROR(TP[[#This Row],[Costo Total Pza. MXN]]*TP[[#This Row],[CANTIDAD]],"Sin Datos")</f>
        <v>Sin Datos</v>
      </c>
      <c r="P37" s="29" t="str">
        <f>IFERROR((((TP[[#This Row],[Costo Total Pza. UDS]]*TP[[#This Row],[DÓLAR]])*$B$3)+(TP[[#This Row],[Costo Total Pza. UDS]]*TP[[#This Row],[DÓLAR]])),"Sin Datos")</f>
        <v>Sin Datos</v>
      </c>
      <c r="Q37" s="57"/>
      <c r="R3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7" s="29" t="str">
        <f>IFERROR(TP[[#This Row],[Costo Total Pza. MXN]]+TP[[#This Row],[Impuesto Unitario MXN]],"Sin Datos")</f>
        <v>Sin Datos</v>
      </c>
      <c r="T37" s="29" t="str">
        <f>IFERROR(TP[[#This Row],[Costo Costo]]*50%+TP[[#This Row],[Costo Costo]],"Sin Datos")</f>
        <v>Sin Datos</v>
      </c>
      <c r="U37" s="14" t="str">
        <f>IFERROR(TP[[#This Row],[Precio de Oficina]]-TP[[#This Row],[Costo Costo]],"Sin Datos")</f>
        <v>Sin Datos</v>
      </c>
      <c r="V37" s="29" t="str">
        <f>IFERROR(TP[[#This Row],[Precio de Oficina]]*14%+TP[[#This Row],[Precio de Oficina]],"Sin Datos")</f>
        <v>Sin Datos</v>
      </c>
      <c r="W37" s="29" t="str">
        <f>IFERROR(TP[[#This Row],[Precio de Oficina]]*20%+TP[[#This Row],[Precio de Oficina]],"Sin Datos")</f>
        <v>Sin Datos</v>
      </c>
      <c r="X37" s="30" t="str">
        <f>IFERROR(TP[[#This Row],[Precio de Wix]]*33.6%+TP[[#This Row],[Precio de Wix]]+100,"Sin Datos")</f>
        <v>Sin Datos</v>
      </c>
      <c r="Z37" s="8" t="s">
        <v>239</v>
      </c>
    </row>
    <row r="38" spans="1:26" x14ac:dyDescent="0.2">
      <c r="A38" s="36" t="s">
        <v>240</v>
      </c>
      <c r="B38" s="49"/>
      <c r="C38" s="49"/>
      <c r="D38" s="53"/>
      <c r="E38" s="52"/>
      <c r="F38" s="53"/>
      <c r="G38" s="28" t="str">
        <f>IFERROR(TP[[#This Row],[Costo Real Unitario USD]]*TP[[#This Row],[Costo de Envio Total UDS]]/TP[[#This Row],[Costo Total Pedido USD]], "Sin Datos")</f>
        <v>Sin Datos</v>
      </c>
      <c r="H38" s="9">
        <f>IFERROR(TP[[#This Row],[Costo Total Pedido USD]]+TP[[#This Row],[Costo de Envio Total UDS]],"Sin Datos")</f>
        <v>0</v>
      </c>
      <c r="I38" s="52"/>
      <c r="J38" s="9" t="str">
        <f>IFERROR((TP[[#This Row],[Costo Real Unitario USD]]*TP[[#This Row],[Impuesto UDS]])/TP[[#This Row],[Costo Total Pedido USD]],"Sin Datos")</f>
        <v>Sin Datos</v>
      </c>
      <c r="K38" s="9" t="str">
        <f>IFERROR(TP[[#This Row],[Costo Real Unitario USD]]+TP[[#This Row],[Costo de Envio Unitario UDS]]+TP[[#This Row],[Impuesto Unitario UDS]],"Sin Datos")</f>
        <v>Sin Datos</v>
      </c>
      <c r="L38" s="9">
        <f>IFERROR(TP[[#This Row],[Costo Total Pedido USD]]+TP[[#This Row],[Costo de Envio Total UDS]]+TP[[#This Row],[Impuesto UDS]],"Sin Datos")</f>
        <v>0</v>
      </c>
      <c r="M38" s="14">
        <f>IFERROR(((TP[[#This Row],[Costo Total Pedido USD]]*TP[[#This Row],[DÓLAR]])*$B$3)+(TP[[#This Row],[Costo Total Pedido USD]]*TP[[#This Row],[DÓLAR]]),"Sin Datos")</f>
        <v>0</v>
      </c>
      <c r="N3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8" s="14" t="str">
        <f>IFERROR(TP[[#This Row],[Costo Total Pza. MXN]]*TP[[#This Row],[CANTIDAD]],"Sin Datos")</f>
        <v>Sin Datos</v>
      </c>
      <c r="P38" s="29" t="str">
        <f>IFERROR((((TP[[#This Row],[Costo Total Pza. UDS]]*TP[[#This Row],[DÓLAR]])*$B$3)+(TP[[#This Row],[Costo Total Pza. UDS]]*TP[[#This Row],[DÓLAR]])),"Sin Datos")</f>
        <v>Sin Datos</v>
      </c>
      <c r="Q38" s="57"/>
      <c r="R3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8" s="29" t="str">
        <f>IFERROR(TP[[#This Row],[Costo Total Pza. MXN]]+TP[[#This Row],[Impuesto Unitario MXN]],"Sin Datos")</f>
        <v>Sin Datos</v>
      </c>
      <c r="T38" s="29" t="str">
        <f>IFERROR(TP[[#This Row],[Costo Costo]]*50%+TP[[#This Row],[Costo Costo]],"Sin Datos")</f>
        <v>Sin Datos</v>
      </c>
      <c r="U38" s="14" t="str">
        <f>IFERROR(TP[[#This Row],[Precio de Oficina]]-TP[[#This Row],[Costo Costo]],"Sin Datos")</f>
        <v>Sin Datos</v>
      </c>
      <c r="V38" s="29" t="str">
        <f>IFERROR(TP[[#This Row],[Precio de Oficina]]*14%+TP[[#This Row],[Precio de Oficina]],"Sin Datos")</f>
        <v>Sin Datos</v>
      </c>
      <c r="W38" s="29" t="str">
        <f>IFERROR(TP[[#This Row],[Precio de Oficina]]*20%+TP[[#This Row],[Precio de Oficina]],"Sin Datos")</f>
        <v>Sin Datos</v>
      </c>
      <c r="X38" s="30" t="str">
        <f>IFERROR(TP[[#This Row],[Precio de Wix]]*33.6%+TP[[#This Row],[Precio de Wix]]+100,"Sin Datos")</f>
        <v>Sin Datos</v>
      </c>
      <c r="Z38" s="8" t="s">
        <v>240</v>
      </c>
    </row>
    <row r="39" spans="1:26" x14ac:dyDescent="0.2">
      <c r="A39" s="36" t="s">
        <v>241</v>
      </c>
      <c r="B39" s="49"/>
      <c r="C39" s="49"/>
      <c r="D39" s="53"/>
      <c r="E39" s="52"/>
      <c r="F39" s="53"/>
      <c r="G39" s="28" t="str">
        <f>IFERROR(TP[[#This Row],[Costo Real Unitario USD]]*TP[[#This Row],[Costo de Envio Total UDS]]/TP[[#This Row],[Costo Total Pedido USD]], "Sin Datos")</f>
        <v>Sin Datos</v>
      </c>
      <c r="H39" s="9">
        <f>IFERROR(TP[[#This Row],[Costo Total Pedido USD]]+TP[[#This Row],[Costo de Envio Total UDS]],"Sin Datos")</f>
        <v>0</v>
      </c>
      <c r="I39" s="52"/>
      <c r="J39" s="9" t="str">
        <f>IFERROR((TP[[#This Row],[Costo Real Unitario USD]]*TP[[#This Row],[Impuesto UDS]])/TP[[#This Row],[Costo Total Pedido USD]],"Sin Datos")</f>
        <v>Sin Datos</v>
      </c>
      <c r="K39" s="9" t="str">
        <f>IFERROR(TP[[#This Row],[Costo Real Unitario USD]]+TP[[#This Row],[Costo de Envio Unitario UDS]]+TP[[#This Row],[Impuesto Unitario UDS]],"Sin Datos")</f>
        <v>Sin Datos</v>
      </c>
      <c r="L39" s="9">
        <f>IFERROR(TP[[#This Row],[Costo Total Pedido USD]]+TP[[#This Row],[Costo de Envio Total UDS]]+TP[[#This Row],[Impuesto UDS]],"Sin Datos")</f>
        <v>0</v>
      </c>
      <c r="M39" s="14">
        <f>IFERROR(((TP[[#This Row],[Costo Total Pedido USD]]*TP[[#This Row],[DÓLAR]])*$B$3)+(TP[[#This Row],[Costo Total Pedido USD]]*TP[[#This Row],[DÓLAR]]),"Sin Datos")</f>
        <v>0</v>
      </c>
      <c r="N3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39" s="14" t="str">
        <f>IFERROR(TP[[#This Row],[Costo Total Pza. MXN]]*TP[[#This Row],[CANTIDAD]],"Sin Datos")</f>
        <v>Sin Datos</v>
      </c>
      <c r="P39" s="29" t="str">
        <f>IFERROR((((TP[[#This Row],[Costo Total Pza. UDS]]*TP[[#This Row],[DÓLAR]])*$B$3)+(TP[[#This Row],[Costo Total Pza. UDS]]*TP[[#This Row],[DÓLAR]])),"Sin Datos")</f>
        <v>Sin Datos</v>
      </c>
      <c r="Q39" s="57"/>
      <c r="R3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39" s="29" t="str">
        <f>IFERROR(TP[[#This Row],[Costo Total Pza. MXN]]+TP[[#This Row],[Impuesto Unitario MXN]],"Sin Datos")</f>
        <v>Sin Datos</v>
      </c>
      <c r="T39" s="29" t="str">
        <f>IFERROR(TP[[#This Row],[Costo Costo]]*50%+TP[[#This Row],[Costo Costo]],"Sin Datos")</f>
        <v>Sin Datos</v>
      </c>
      <c r="U39" s="14" t="str">
        <f>IFERROR(TP[[#This Row],[Precio de Oficina]]-TP[[#This Row],[Costo Costo]],"Sin Datos")</f>
        <v>Sin Datos</v>
      </c>
      <c r="V39" s="29" t="str">
        <f>IFERROR(TP[[#This Row],[Precio de Oficina]]*14%+TP[[#This Row],[Precio de Oficina]],"Sin Datos")</f>
        <v>Sin Datos</v>
      </c>
      <c r="W39" s="29" t="str">
        <f>IFERROR(TP[[#This Row],[Precio de Oficina]]*20%+TP[[#This Row],[Precio de Oficina]],"Sin Datos")</f>
        <v>Sin Datos</v>
      </c>
      <c r="X39" s="30" t="str">
        <f>IFERROR(TP[[#This Row],[Precio de Wix]]*33.6%+TP[[#This Row],[Precio de Wix]]+100,"Sin Datos")</f>
        <v>Sin Datos</v>
      </c>
      <c r="Z39" s="8" t="s">
        <v>241</v>
      </c>
    </row>
    <row r="40" spans="1:26" x14ac:dyDescent="0.2">
      <c r="A40" s="36" t="s">
        <v>243</v>
      </c>
      <c r="B40" s="49"/>
      <c r="C40" s="49"/>
      <c r="D40" s="53"/>
      <c r="E40" s="52"/>
      <c r="F40" s="53"/>
      <c r="G40" s="28" t="str">
        <f>IFERROR(TP[[#This Row],[Costo Real Unitario USD]]*TP[[#This Row],[Costo de Envio Total UDS]]/TP[[#This Row],[Costo Total Pedido USD]], "Sin Datos")</f>
        <v>Sin Datos</v>
      </c>
      <c r="H40" s="9">
        <f>IFERROR(TP[[#This Row],[Costo Total Pedido USD]]+TP[[#This Row],[Costo de Envio Total UDS]],"Sin Datos")</f>
        <v>0</v>
      </c>
      <c r="I40" s="52"/>
      <c r="J40" s="9" t="str">
        <f>IFERROR((TP[[#This Row],[Costo Real Unitario USD]]*TP[[#This Row],[Impuesto UDS]])/TP[[#This Row],[Costo Total Pedido USD]],"Sin Datos")</f>
        <v>Sin Datos</v>
      </c>
      <c r="K40" s="9" t="str">
        <f>IFERROR(TP[[#This Row],[Costo Real Unitario USD]]+TP[[#This Row],[Costo de Envio Unitario UDS]]+TP[[#This Row],[Impuesto Unitario UDS]],"Sin Datos")</f>
        <v>Sin Datos</v>
      </c>
      <c r="L40" s="9">
        <f>IFERROR(TP[[#This Row],[Costo Total Pedido USD]]+TP[[#This Row],[Costo de Envio Total UDS]]+TP[[#This Row],[Impuesto UDS]],"Sin Datos")</f>
        <v>0</v>
      </c>
      <c r="M40" s="14">
        <f>IFERROR(((TP[[#This Row],[Costo Total Pedido USD]]*TP[[#This Row],[DÓLAR]])*$B$3)+(TP[[#This Row],[Costo Total Pedido USD]]*TP[[#This Row],[DÓLAR]]),"Sin Datos")</f>
        <v>0</v>
      </c>
      <c r="N4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0" s="14" t="str">
        <f>IFERROR(TP[[#This Row],[Costo Total Pza. MXN]]*TP[[#This Row],[CANTIDAD]],"Sin Datos")</f>
        <v>Sin Datos</v>
      </c>
      <c r="P40" s="29" t="str">
        <f>IFERROR((((TP[[#This Row],[Costo Total Pza. UDS]]*TP[[#This Row],[DÓLAR]])*$B$3)+(TP[[#This Row],[Costo Total Pza. UDS]]*TP[[#This Row],[DÓLAR]])),"Sin Datos")</f>
        <v>Sin Datos</v>
      </c>
      <c r="Q40" s="57"/>
      <c r="R4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0" s="29" t="str">
        <f>IFERROR(TP[[#This Row],[Costo Total Pza. MXN]]+TP[[#This Row],[Impuesto Unitario MXN]],"Sin Datos")</f>
        <v>Sin Datos</v>
      </c>
      <c r="T40" s="29" t="str">
        <f>IFERROR(TP[[#This Row],[Costo Costo]]*50%+TP[[#This Row],[Costo Costo]],"Sin Datos")</f>
        <v>Sin Datos</v>
      </c>
      <c r="U40" s="14" t="str">
        <f>IFERROR(TP[[#This Row],[Precio de Oficina]]-TP[[#This Row],[Costo Costo]],"Sin Datos")</f>
        <v>Sin Datos</v>
      </c>
      <c r="V40" s="29" t="str">
        <f>IFERROR(TP[[#This Row],[Precio de Oficina]]*14%+TP[[#This Row],[Precio de Oficina]],"Sin Datos")</f>
        <v>Sin Datos</v>
      </c>
      <c r="W40" s="29" t="str">
        <f>IFERROR(TP[[#This Row],[Precio de Oficina]]*20%+TP[[#This Row],[Precio de Oficina]],"Sin Datos")</f>
        <v>Sin Datos</v>
      </c>
      <c r="X40" s="30" t="str">
        <f>IFERROR(TP[[#This Row],[Precio de Wix]]*33.6%+TP[[#This Row],[Precio de Wix]]+100,"Sin Datos")</f>
        <v>Sin Datos</v>
      </c>
      <c r="Z40" s="8" t="s">
        <v>243</v>
      </c>
    </row>
    <row r="41" spans="1:26" x14ac:dyDescent="0.2">
      <c r="A41" s="36" t="s">
        <v>244</v>
      </c>
      <c r="B41" s="49"/>
      <c r="C41" s="49"/>
      <c r="D41" s="53"/>
      <c r="E41" s="52"/>
      <c r="F41" s="53"/>
      <c r="G41" s="28" t="str">
        <f>IFERROR(TP[[#This Row],[Costo Real Unitario USD]]*TP[[#This Row],[Costo de Envio Total UDS]]/TP[[#This Row],[Costo Total Pedido USD]], "Sin Datos")</f>
        <v>Sin Datos</v>
      </c>
      <c r="H41" s="9">
        <f>IFERROR(TP[[#This Row],[Costo Total Pedido USD]]+TP[[#This Row],[Costo de Envio Total UDS]],"Sin Datos")</f>
        <v>0</v>
      </c>
      <c r="I41" s="52"/>
      <c r="J41" s="9" t="str">
        <f>IFERROR((TP[[#This Row],[Costo Real Unitario USD]]*TP[[#This Row],[Impuesto UDS]])/TP[[#This Row],[Costo Total Pedido USD]],"Sin Datos")</f>
        <v>Sin Datos</v>
      </c>
      <c r="K41" s="9" t="str">
        <f>IFERROR(TP[[#This Row],[Costo Real Unitario USD]]+TP[[#This Row],[Costo de Envio Unitario UDS]]+TP[[#This Row],[Impuesto Unitario UDS]],"Sin Datos")</f>
        <v>Sin Datos</v>
      </c>
      <c r="L41" s="9">
        <f>IFERROR(TP[[#This Row],[Costo Total Pedido USD]]+TP[[#This Row],[Costo de Envio Total UDS]]+TP[[#This Row],[Impuesto UDS]],"Sin Datos")</f>
        <v>0</v>
      </c>
      <c r="M41" s="14">
        <f>IFERROR(((TP[[#This Row],[Costo Total Pedido USD]]*TP[[#This Row],[DÓLAR]])*$B$3)+(TP[[#This Row],[Costo Total Pedido USD]]*TP[[#This Row],[DÓLAR]]),"Sin Datos")</f>
        <v>0</v>
      </c>
      <c r="N4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1" s="14" t="str">
        <f>IFERROR(TP[[#This Row],[Costo Total Pza. MXN]]*TP[[#This Row],[CANTIDAD]],"Sin Datos")</f>
        <v>Sin Datos</v>
      </c>
      <c r="P41" s="29" t="str">
        <f>IFERROR((((TP[[#This Row],[Costo Total Pza. UDS]]*TP[[#This Row],[DÓLAR]])*$B$3)+(TP[[#This Row],[Costo Total Pza. UDS]]*TP[[#This Row],[DÓLAR]])),"Sin Datos")</f>
        <v>Sin Datos</v>
      </c>
      <c r="Q41" s="57"/>
      <c r="R4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1" s="29" t="str">
        <f>IFERROR(TP[[#This Row],[Costo Total Pza. MXN]]+TP[[#This Row],[Impuesto Unitario MXN]],"Sin Datos")</f>
        <v>Sin Datos</v>
      </c>
      <c r="T41" s="29" t="str">
        <f>IFERROR(TP[[#This Row],[Costo Costo]]*50%+TP[[#This Row],[Costo Costo]],"Sin Datos")</f>
        <v>Sin Datos</v>
      </c>
      <c r="U41" s="14" t="str">
        <f>IFERROR(TP[[#This Row],[Precio de Oficina]]-TP[[#This Row],[Costo Costo]],"Sin Datos")</f>
        <v>Sin Datos</v>
      </c>
      <c r="V41" s="29" t="str">
        <f>IFERROR(TP[[#This Row],[Precio de Oficina]]*14%+TP[[#This Row],[Precio de Oficina]],"Sin Datos")</f>
        <v>Sin Datos</v>
      </c>
      <c r="W41" s="29" t="str">
        <f>IFERROR(TP[[#This Row],[Precio de Oficina]]*20%+TP[[#This Row],[Precio de Oficina]],"Sin Datos")</f>
        <v>Sin Datos</v>
      </c>
      <c r="X41" s="30" t="str">
        <f>IFERROR(TP[[#This Row],[Precio de Wix]]*33.6%+TP[[#This Row],[Precio de Wix]]+100,"Sin Datos")</f>
        <v>Sin Datos</v>
      </c>
      <c r="Z41" s="8" t="s">
        <v>244</v>
      </c>
    </row>
    <row r="42" spans="1:26" x14ac:dyDescent="0.2">
      <c r="A42" s="36" t="s">
        <v>245</v>
      </c>
      <c r="B42" s="49"/>
      <c r="C42" s="49"/>
      <c r="D42" s="53"/>
      <c r="E42" s="52"/>
      <c r="F42" s="53"/>
      <c r="G42" s="28" t="str">
        <f>IFERROR(TP[[#This Row],[Costo Real Unitario USD]]*TP[[#This Row],[Costo de Envio Total UDS]]/TP[[#This Row],[Costo Total Pedido USD]], "Sin Datos")</f>
        <v>Sin Datos</v>
      </c>
      <c r="H42" s="9">
        <f>IFERROR(TP[[#This Row],[Costo Total Pedido USD]]+TP[[#This Row],[Costo de Envio Total UDS]],"Sin Datos")</f>
        <v>0</v>
      </c>
      <c r="I42" s="52"/>
      <c r="J42" s="9" t="str">
        <f>IFERROR((TP[[#This Row],[Costo Real Unitario USD]]*TP[[#This Row],[Impuesto UDS]])/TP[[#This Row],[Costo Total Pedido USD]],"Sin Datos")</f>
        <v>Sin Datos</v>
      </c>
      <c r="K42" s="9" t="str">
        <f>IFERROR(TP[[#This Row],[Costo Real Unitario USD]]+TP[[#This Row],[Costo de Envio Unitario UDS]]+TP[[#This Row],[Impuesto Unitario UDS]],"Sin Datos")</f>
        <v>Sin Datos</v>
      </c>
      <c r="L42" s="9">
        <f>IFERROR(TP[[#This Row],[Costo Total Pedido USD]]+TP[[#This Row],[Costo de Envio Total UDS]]+TP[[#This Row],[Impuesto UDS]],"Sin Datos")</f>
        <v>0</v>
      </c>
      <c r="M42" s="14">
        <f>IFERROR(((TP[[#This Row],[Costo Total Pedido USD]]*TP[[#This Row],[DÓLAR]])*$B$3)+(TP[[#This Row],[Costo Total Pedido USD]]*TP[[#This Row],[DÓLAR]]),"Sin Datos")</f>
        <v>0</v>
      </c>
      <c r="N4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2" s="14" t="str">
        <f>IFERROR(TP[[#This Row],[Costo Total Pza. MXN]]*TP[[#This Row],[CANTIDAD]],"Sin Datos")</f>
        <v>Sin Datos</v>
      </c>
      <c r="P42" s="29" t="str">
        <f>IFERROR((((TP[[#This Row],[Costo Total Pza. UDS]]*TP[[#This Row],[DÓLAR]])*$B$3)+(TP[[#This Row],[Costo Total Pza. UDS]]*TP[[#This Row],[DÓLAR]])),"Sin Datos")</f>
        <v>Sin Datos</v>
      </c>
      <c r="Q42" s="57"/>
      <c r="R4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2" s="29" t="str">
        <f>IFERROR(TP[[#This Row],[Costo Total Pza. MXN]]+TP[[#This Row],[Impuesto Unitario MXN]],"Sin Datos")</f>
        <v>Sin Datos</v>
      </c>
      <c r="T42" s="29" t="str">
        <f>IFERROR(TP[[#This Row],[Costo Costo]]*50%+TP[[#This Row],[Costo Costo]],"Sin Datos")</f>
        <v>Sin Datos</v>
      </c>
      <c r="U42" s="14" t="str">
        <f>IFERROR(TP[[#This Row],[Precio de Oficina]]-TP[[#This Row],[Costo Costo]],"Sin Datos")</f>
        <v>Sin Datos</v>
      </c>
      <c r="V42" s="29" t="str">
        <f>IFERROR(TP[[#This Row],[Precio de Oficina]]*14%+TP[[#This Row],[Precio de Oficina]],"Sin Datos")</f>
        <v>Sin Datos</v>
      </c>
      <c r="W42" s="29" t="str">
        <f>IFERROR(TP[[#This Row],[Precio de Oficina]]*20%+TP[[#This Row],[Precio de Oficina]],"Sin Datos")</f>
        <v>Sin Datos</v>
      </c>
      <c r="X42" s="30" t="str">
        <f>IFERROR(TP[[#This Row],[Precio de Wix]]*33.6%+TP[[#This Row],[Precio de Wix]]+100,"Sin Datos")</f>
        <v>Sin Datos</v>
      </c>
      <c r="Z42" s="8" t="s">
        <v>245</v>
      </c>
    </row>
    <row r="43" spans="1:26" x14ac:dyDescent="0.2">
      <c r="A43" s="36" t="s">
        <v>246</v>
      </c>
      <c r="B43" s="49"/>
      <c r="C43" s="49"/>
      <c r="D43" s="53"/>
      <c r="E43" s="52"/>
      <c r="F43" s="53"/>
      <c r="G43" s="28" t="str">
        <f>IFERROR(TP[[#This Row],[Costo Real Unitario USD]]*TP[[#This Row],[Costo de Envio Total UDS]]/TP[[#This Row],[Costo Total Pedido USD]], "Sin Datos")</f>
        <v>Sin Datos</v>
      </c>
      <c r="H43" s="9">
        <f>IFERROR(TP[[#This Row],[Costo Total Pedido USD]]+TP[[#This Row],[Costo de Envio Total UDS]],"Sin Datos")</f>
        <v>0</v>
      </c>
      <c r="I43" s="52"/>
      <c r="J43" s="9" t="str">
        <f>IFERROR((TP[[#This Row],[Costo Real Unitario USD]]*TP[[#This Row],[Impuesto UDS]])/TP[[#This Row],[Costo Total Pedido USD]],"Sin Datos")</f>
        <v>Sin Datos</v>
      </c>
      <c r="K43" s="9" t="str">
        <f>IFERROR(TP[[#This Row],[Costo Real Unitario USD]]+TP[[#This Row],[Costo de Envio Unitario UDS]]+TP[[#This Row],[Impuesto Unitario UDS]],"Sin Datos")</f>
        <v>Sin Datos</v>
      </c>
      <c r="L43" s="9">
        <f>IFERROR(TP[[#This Row],[Costo Total Pedido USD]]+TP[[#This Row],[Costo de Envio Total UDS]]+TP[[#This Row],[Impuesto UDS]],"Sin Datos")</f>
        <v>0</v>
      </c>
      <c r="M43" s="14">
        <f>IFERROR(((TP[[#This Row],[Costo Total Pedido USD]]*TP[[#This Row],[DÓLAR]])*$B$3)+(TP[[#This Row],[Costo Total Pedido USD]]*TP[[#This Row],[DÓLAR]]),"Sin Datos")</f>
        <v>0</v>
      </c>
      <c r="N4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3" s="14" t="str">
        <f>IFERROR(TP[[#This Row],[Costo Total Pza. MXN]]*TP[[#This Row],[CANTIDAD]],"Sin Datos")</f>
        <v>Sin Datos</v>
      </c>
      <c r="P43" s="29" t="str">
        <f>IFERROR((((TP[[#This Row],[Costo Total Pza. UDS]]*TP[[#This Row],[DÓLAR]])*$B$3)+(TP[[#This Row],[Costo Total Pza. UDS]]*TP[[#This Row],[DÓLAR]])),"Sin Datos")</f>
        <v>Sin Datos</v>
      </c>
      <c r="Q43" s="57"/>
      <c r="R4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3" s="29" t="str">
        <f>IFERROR(TP[[#This Row],[Costo Total Pza. MXN]]+TP[[#This Row],[Impuesto Unitario MXN]],"Sin Datos")</f>
        <v>Sin Datos</v>
      </c>
      <c r="T43" s="29" t="str">
        <f>IFERROR(TP[[#This Row],[Costo Costo]]*50%+TP[[#This Row],[Costo Costo]],"Sin Datos")</f>
        <v>Sin Datos</v>
      </c>
      <c r="U43" s="14" t="str">
        <f>IFERROR(TP[[#This Row],[Precio de Oficina]]-TP[[#This Row],[Costo Costo]],"Sin Datos")</f>
        <v>Sin Datos</v>
      </c>
      <c r="V43" s="29" t="str">
        <f>IFERROR(TP[[#This Row],[Precio de Oficina]]*14%+TP[[#This Row],[Precio de Oficina]],"Sin Datos")</f>
        <v>Sin Datos</v>
      </c>
      <c r="W43" s="29" t="str">
        <f>IFERROR(TP[[#This Row],[Precio de Oficina]]*20%+TP[[#This Row],[Precio de Oficina]],"Sin Datos")</f>
        <v>Sin Datos</v>
      </c>
      <c r="X43" s="30" t="str">
        <f>IFERROR(TP[[#This Row],[Precio de Wix]]*33.6%+TP[[#This Row],[Precio de Wix]]+100,"Sin Datos")</f>
        <v>Sin Datos</v>
      </c>
      <c r="Z43" s="8" t="s">
        <v>246</v>
      </c>
    </row>
    <row r="44" spans="1:26" x14ac:dyDescent="0.2">
      <c r="A44" s="36" t="s">
        <v>247</v>
      </c>
      <c r="B44" s="49"/>
      <c r="C44" s="49"/>
      <c r="D44" s="53"/>
      <c r="E44" s="52"/>
      <c r="F44" s="53"/>
      <c r="G44" s="28" t="str">
        <f>IFERROR(TP[[#This Row],[Costo Real Unitario USD]]*TP[[#This Row],[Costo de Envio Total UDS]]/TP[[#This Row],[Costo Total Pedido USD]], "Sin Datos")</f>
        <v>Sin Datos</v>
      </c>
      <c r="H44" s="9">
        <f>IFERROR(TP[[#This Row],[Costo Total Pedido USD]]+TP[[#This Row],[Costo de Envio Total UDS]],"Sin Datos")</f>
        <v>0</v>
      </c>
      <c r="I44" s="52"/>
      <c r="J44" s="9" t="str">
        <f>IFERROR((TP[[#This Row],[Costo Real Unitario USD]]*TP[[#This Row],[Impuesto UDS]])/TP[[#This Row],[Costo Total Pedido USD]],"Sin Datos")</f>
        <v>Sin Datos</v>
      </c>
      <c r="K44" s="9" t="str">
        <f>IFERROR(TP[[#This Row],[Costo Real Unitario USD]]+TP[[#This Row],[Costo de Envio Unitario UDS]]+TP[[#This Row],[Impuesto Unitario UDS]],"Sin Datos")</f>
        <v>Sin Datos</v>
      </c>
      <c r="L44" s="9">
        <f>IFERROR(TP[[#This Row],[Costo Total Pedido USD]]+TP[[#This Row],[Costo de Envio Total UDS]]+TP[[#This Row],[Impuesto UDS]],"Sin Datos")</f>
        <v>0</v>
      </c>
      <c r="M44" s="14">
        <f>IFERROR(((TP[[#This Row],[Costo Total Pedido USD]]*TP[[#This Row],[DÓLAR]])*$B$3)+(TP[[#This Row],[Costo Total Pedido USD]]*TP[[#This Row],[DÓLAR]]),"Sin Datos")</f>
        <v>0</v>
      </c>
      <c r="N4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4" s="14" t="str">
        <f>IFERROR(TP[[#This Row],[Costo Total Pza. MXN]]*TP[[#This Row],[CANTIDAD]],"Sin Datos")</f>
        <v>Sin Datos</v>
      </c>
      <c r="P44" s="29" t="str">
        <f>IFERROR((((TP[[#This Row],[Costo Total Pza. UDS]]*TP[[#This Row],[DÓLAR]])*$B$3)+(TP[[#This Row],[Costo Total Pza. UDS]]*TP[[#This Row],[DÓLAR]])),"Sin Datos")</f>
        <v>Sin Datos</v>
      </c>
      <c r="Q44" s="57"/>
      <c r="R4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4" s="29" t="str">
        <f>IFERROR(TP[[#This Row],[Costo Total Pza. MXN]]+TP[[#This Row],[Impuesto Unitario MXN]],"Sin Datos")</f>
        <v>Sin Datos</v>
      </c>
      <c r="T44" s="29" t="str">
        <f>IFERROR(TP[[#This Row],[Costo Costo]]*50%+TP[[#This Row],[Costo Costo]],"Sin Datos")</f>
        <v>Sin Datos</v>
      </c>
      <c r="U44" s="14" t="str">
        <f>IFERROR(TP[[#This Row],[Precio de Oficina]]-TP[[#This Row],[Costo Costo]],"Sin Datos")</f>
        <v>Sin Datos</v>
      </c>
      <c r="V44" s="29" t="str">
        <f>IFERROR(TP[[#This Row],[Precio de Oficina]]*14%+TP[[#This Row],[Precio de Oficina]],"Sin Datos")</f>
        <v>Sin Datos</v>
      </c>
      <c r="W44" s="29" t="str">
        <f>IFERROR(TP[[#This Row],[Precio de Oficina]]*20%+TP[[#This Row],[Precio de Oficina]],"Sin Datos")</f>
        <v>Sin Datos</v>
      </c>
      <c r="X44" s="30" t="str">
        <f>IFERROR(TP[[#This Row],[Precio de Wix]]*33.6%+TP[[#This Row],[Precio de Wix]]+100,"Sin Datos")</f>
        <v>Sin Datos</v>
      </c>
      <c r="Z44" s="8" t="s">
        <v>247</v>
      </c>
    </row>
    <row r="45" spans="1:26" x14ac:dyDescent="0.2">
      <c r="A45" s="36" t="s">
        <v>248</v>
      </c>
      <c r="B45" s="49"/>
      <c r="C45" s="49"/>
      <c r="D45" s="53"/>
      <c r="E45" s="52"/>
      <c r="F45" s="53"/>
      <c r="G45" s="28" t="str">
        <f>IFERROR(TP[[#This Row],[Costo Real Unitario USD]]*TP[[#This Row],[Costo de Envio Total UDS]]/TP[[#This Row],[Costo Total Pedido USD]], "Sin Datos")</f>
        <v>Sin Datos</v>
      </c>
      <c r="H45" s="9">
        <f>IFERROR(TP[[#This Row],[Costo Total Pedido USD]]+TP[[#This Row],[Costo de Envio Total UDS]],"Sin Datos")</f>
        <v>0</v>
      </c>
      <c r="I45" s="52"/>
      <c r="J45" s="9" t="str">
        <f>IFERROR((TP[[#This Row],[Costo Real Unitario USD]]*TP[[#This Row],[Impuesto UDS]])/TP[[#This Row],[Costo Total Pedido USD]],"Sin Datos")</f>
        <v>Sin Datos</v>
      </c>
      <c r="K45" s="9" t="str">
        <f>IFERROR(TP[[#This Row],[Costo Real Unitario USD]]+TP[[#This Row],[Costo de Envio Unitario UDS]]+TP[[#This Row],[Impuesto Unitario UDS]],"Sin Datos")</f>
        <v>Sin Datos</v>
      </c>
      <c r="L45" s="9">
        <f>IFERROR(TP[[#This Row],[Costo Total Pedido USD]]+TP[[#This Row],[Costo de Envio Total UDS]]+TP[[#This Row],[Impuesto UDS]],"Sin Datos")</f>
        <v>0</v>
      </c>
      <c r="M45" s="14">
        <f>IFERROR(((TP[[#This Row],[Costo Total Pedido USD]]*TP[[#This Row],[DÓLAR]])*$B$3)+(TP[[#This Row],[Costo Total Pedido USD]]*TP[[#This Row],[DÓLAR]]),"Sin Datos")</f>
        <v>0</v>
      </c>
      <c r="N4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5" s="14" t="str">
        <f>IFERROR(TP[[#This Row],[Costo Total Pza. MXN]]*TP[[#This Row],[CANTIDAD]],"Sin Datos")</f>
        <v>Sin Datos</v>
      </c>
      <c r="P45" s="29" t="str">
        <f>IFERROR((((TP[[#This Row],[Costo Total Pza. UDS]]*TP[[#This Row],[DÓLAR]])*$B$3)+(TP[[#This Row],[Costo Total Pza. UDS]]*TP[[#This Row],[DÓLAR]])),"Sin Datos")</f>
        <v>Sin Datos</v>
      </c>
      <c r="Q45" s="57"/>
      <c r="R4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5" s="29" t="str">
        <f>IFERROR(TP[[#This Row],[Costo Total Pza. MXN]]+TP[[#This Row],[Impuesto Unitario MXN]],"Sin Datos")</f>
        <v>Sin Datos</v>
      </c>
      <c r="T45" s="29" t="str">
        <f>IFERROR(TP[[#This Row],[Costo Costo]]*50%+TP[[#This Row],[Costo Costo]],"Sin Datos")</f>
        <v>Sin Datos</v>
      </c>
      <c r="U45" s="14" t="str">
        <f>IFERROR(TP[[#This Row],[Precio de Oficina]]-TP[[#This Row],[Costo Costo]],"Sin Datos")</f>
        <v>Sin Datos</v>
      </c>
      <c r="V45" s="29" t="str">
        <f>IFERROR(TP[[#This Row],[Precio de Oficina]]*14%+TP[[#This Row],[Precio de Oficina]],"Sin Datos")</f>
        <v>Sin Datos</v>
      </c>
      <c r="W45" s="29" t="str">
        <f>IFERROR(TP[[#This Row],[Precio de Oficina]]*20%+TP[[#This Row],[Precio de Oficina]],"Sin Datos")</f>
        <v>Sin Datos</v>
      </c>
      <c r="X45" s="30" t="str">
        <f>IFERROR(TP[[#This Row],[Precio de Wix]]*33.6%+TP[[#This Row],[Precio de Wix]]+100,"Sin Datos")</f>
        <v>Sin Datos</v>
      </c>
      <c r="Z45" s="8" t="s">
        <v>248</v>
      </c>
    </row>
    <row r="46" spans="1:26" x14ac:dyDescent="0.2">
      <c r="A46" s="36" t="s">
        <v>249</v>
      </c>
      <c r="B46" s="49"/>
      <c r="C46" s="49"/>
      <c r="D46" s="53"/>
      <c r="E46" s="52"/>
      <c r="F46" s="53"/>
      <c r="G46" s="28" t="str">
        <f>IFERROR(TP[[#This Row],[Costo Real Unitario USD]]*TP[[#This Row],[Costo de Envio Total UDS]]/TP[[#This Row],[Costo Total Pedido USD]], "Sin Datos")</f>
        <v>Sin Datos</v>
      </c>
      <c r="H46" s="9">
        <f>IFERROR(TP[[#This Row],[Costo Total Pedido USD]]+TP[[#This Row],[Costo de Envio Total UDS]],"Sin Datos")</f>
        <v>0</v>
      </c>
      <c r="I46" s="52"/>
      <c r="J46" s="9" t="str">
        <f>IFERROR((TP[[#This Row],[Costo Real Unitario USD]]*TP[[#This Row],[Impuesto UDS]])/TP[[#This Row],[Costo Total Pedido USD]],"Sin Datos")</f>
        <v>Sin Datos</v>
      </c>
      <c r="K46" s="9" t="str">
        <f>IFERROR(TP[[#This Row],[Costo Real Unitario USD]]+TP[[#This Row],[Costo de Envio Unitario UDS]]+TP[[#This Row],[Impuesto Unitario UDS]],"Sin Datos")</f>
        <v>Sin Datos</v>
      </c>
      <c r="L46" s="9">
        <f>IFERROR(TP[[#This Row],[Costo Total Pedido USD]]+TP[[#This Row],[Costo de Envio Total UDS]]+TP[[#This Row],[Impuesto UDS]],"Sin Datos")</f>
        <v>0</v>
      </c>
      <c r="M46" s="14">
        <f>IFERROR(((TP[[#This Row],[Costo Total Pedido USD]]*TP[[#This Row],[DÓLAR]])*$B$3)+(TP[[#This Row],[Costo Total Pedido USD]]*TP[[#This Row],[DÓLAR]]),"Sin Datos")</f>
        <v>0</v>
      </c>
      <c r="N4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6" s="14" t="str">
        <f>IFERROR(TP[[#This Row],[Costo Total Pza. MXN]]*TP[[#This Row],[CANTIDAD]],"Sin Datos")</f>
        <v>Sin Datos</v>
      </c>
      <c r="P46" s="29" t="str">
        <f>IFERROR((((TP[[#This Row],[Costo Total Pza. UDS]]*TP[[#This Row],[DÓLAR]])*$B$3)+(TP[[#This Row],[Costo Total Pza. UDS]]*TP[[#This Row],[DÓLAR]])),"Sin Datos")</f>
        <v>Sin Datos</v>
      </c>
      <c r="Q46" s="57"/>
      <c r="R4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6" s="29" t="str">
        <f>IFERROR(TP[[#This Row],[Costo Total Pza. MXN]]+TP[[#This Row],[Impuesto Unitario MXN]],"Sin Datos")</f>
        <v>Sin Datos</v>
      </c>
      <c r="T46" s="29" t="str">
        <f>IFERROR(TP[[#This Row],[Costo Costo]]*50%+TP[[#This Row],[Costo Costo]],"Sin Datos")</f>
        <v>Sin Datos</v>
      </c>
      <c r="U46" s="14" t="str">
        <f>IFERROR(TP[[#This Row],[Precio de Oficina]]-TP[[#This Row],[Costo Costo]],"Sin Datos")</f>
        <v>Sin Datos</v>
      </c>
      <c r="V46" s="29" t="str">
        <f>IFERROR(TP[[#This Row],[Precio de Oficina]]*14%+TP[[#This Row],[Precio de Oficina]],"Sin Datos")</f>
        <v>Sin Datos</v>
      </c>
      <c r="W46" s="29" t="str">
        <f>IFERROR(TP[[#This Row],[Precio de Oficina]]*20%+TP[[#This Row],[Precio de Oficina]],"Sin Datos")</f>
        <v>Sin Datos</v>
      </c>
      <c r="X46" s="30" t="str">
        <f>IFERROR(TP[[#This Row],[Precio de Wix]]*33.6%+TP[[#This Row],[Precio de Wix]]+100,"Sin Datos")</f>
        <v>Sin Datos</v>
      </c>
      <c r="Z46" s="8" t="s">
        <v>249</v>
      </c>
    </row>
    <row r="47" spans="1:26" x14ac:dyDescent="0.2">
      <c r="A47" s="36" t="s">
        <v>250</v>
      </c>
      <c r="B47" s="49"/>
      <c r="C47" s="49"/>
      <c r="D47" s="53"/>
      <c r="E47" s="52"/>
      <c r="F47" s="53"/>
      <c r="G47" s="28" t="str">
        <f>IFERROR(TP[[#This Row],[Costo Real Unitario USD]]*TP[[#This Row],[Costo de Envio Total UDS]]/TP[[#This Row],[Costo Total Pedido USD]], "Sin Datos")</f>
        <v>Sin Datos</v>
      </c>
      <c r="H47" s="9">
        <f>IFERROR(TP[[#This Row],[Costo Total Pedido USD]]+TP[[#This Row],[Costo de Envio Total UDS]],"Sin Datos")</f>
        <v>0</v>
      </c>
      <c r="I47" s="52"/>
      <c r="J47" s="9" t="str">
        <f>IFERROR((TP[[#This Row],[Costo Real Unitario USD]]*TP[[#This Row],[Impuesto UDS]])/TP[[#This Row],[Costo Total Pedido USD]],"Sin Datos")</f>
        <v>Sin Datos</v>
      </c>
      <c r="K47" s="9" t="str">
        <f>IFERROR(TP[[#This Row],[Costo Real Unitario USD]]+TP[[#This Row],[Costo de Envio Unitario UDS]]+TP[[#This Row],[Impuesto Unitario UDS]],"Sin Datos")</f>
        <v>Sin Datos</v>
      </c>
      <c r="L47" s="9">
        <f>IFERROR(TP[[#This Row],[Costo Total Pedido USD]]+TP[[#This Row],[Costo de Envio Total UDS]]+TP[[#This Row],[Impuesto UDS]],"Sin Datos")</f>
        <v>0</v>
      </c>
      <c r="M47" s="14">
        <f>IFERROR(((TP[[#This Row],[Costo Total Pedido USD]]*TP[[#This Row],[DÓLAR]])*$B$3)+(TP[[#This Row],[Costo Total Pedido USD]]*TP[[#This Row],[DÓLAR]]),"Sin Datos")</f>
        <v>0</v>
      </c>
      <c r="N4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7" s="14" t="str">
        <f>IFERROR(TP[[#This Row],[Costo Total Pza. MXN]]*TP[[#This Row],[CANTIDAD]],"Sin Datos")</f>
        <v>Sin Datos</v>
      </c>
      <c r="P47" s="29" t="str">
        <f>IFERROR((((TP[[#This Row],[Costo Total Pza. UDS]]*TP[[#This Row],[DÓLAR]])*$B$3)+(TP[[#This Row],[Costo Total Pza. UDS]]*TP[[#This Row],[DÓLAR]])),"Sin Datos")</f>
        <v>Sin Datos</v>
      </c>
      <c r="Q47" s="57"/>
      <c r="R4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7" s="29" t="str">
        <f>IFERROR(TP[[#This Row],[Costo Total Pza. MXN]]+TP[[#This Row],[Impuesto Unitario MXN]],"Sin Datos")</f>
        <v>Sin Datos</v>
      </c>
      <c r="T47" s="29" t="str">
        <f>IFERROR(TP[[#This Row],[Costo Costo]]*50%+TP[[#This Row],[Costo Costo]],"Sin Datos")</f>
        <v>Sin Datos</v>
      </c>
      <c r="U47" s="14" t="str">
        <f>IFERROR(TP[[#This Row],[Precio de Oficina]]-TP[[#This Row],[Costo Costo]],"Sin Datos")</f>
        <v>Sin Datos</v>
      </c>
      <c r="V47" s="29" t="str">
        <f>IFERROR(TP[[#This Row],[Precio de Oficina]]*14%+TP[[#This Row],[Precio de Oficina]],"Sin Datos")</f>
        <v>Sin Datos</v>
      </c>
      <c r="W47" s="29" t="str">
        <f>IFERROR(TP[[#This Row],[Precio de Oficina]]*20%+TP[[#This Row],[Precio de Oficina]],"Sin Datos")</f>
        <v>Sin Datos</v>
      </c>
      <c r="X47" s="30" t="str">
        <f>IFERROR(TP[[#This Row],[Precio de Wix]]*33.6%+TP[[#This Row],[Precio de Wix]]+100,"Sin Datos")</f>
        <v>Sin Datos</v>
      </c>
      <c r="Z47" s="8" t="s">
        <v>250</v>
      </c>
    </row>
    <row r="48" spans="1:26" x14ac:dyDescent="0.2">
      <c r="A48" s="36" t="s">
        <v>251</v>
      </c>
      <c r="B48" s="49"/>
      <c r="C48" s="49"/>
      <c r="D48" s="53"/>
      <c r="E48" s="52"/>
      <c r="F48" s="53"/>
      <c r="G48" s="28" t="str">
        <f>IFERROR(TP[[#This Row],[Costo Real Unitario USD]]*TP[[#This Row],[Costo de Envio Total UDS]]/TP[[#This Row],[Costo Total Pedido USD]], "Sin Datos")</f>
        <v>Sin Datos</v>
      </c>
      <c r="H48" s="9">
        <f>IFERROR(TP[[#This Row],[Costo Total Pedido USD]]+TP[[#This Row],[Costo de Envio Total UDS]],"Sin Datos")</f>
        <v>0</v>
      </c>
      <c r="I48" s="52"/>
      <c r="J48" s="9" t="str">
        <f>IFERROR((TP[[#This Row],[Costo Real Unitario USD]]*TP[[#This Row],[Impuesto UDS]])/TP[[#This Row],[Costo Total Pedido USD]],"Sin Datos")</f>
        <v>Sin Datos</v>
      </c>
      <c r="K48" s="9" t="str">
        <f>IFERROR(TP[[#This Row],[Costo Real Unitario USD]]+TP[[#This Row],[Costo de Envio Unitario UDS]]+TP[[#This Row],[Impuesto Unitario UDS]],"Sin Datos")</f>
        <v>Sin Datos</v>
      </c>
      <c r="L48" s="9">
        <f>IFERROR(TP[[#This Row],[Costo Total Pedido USD]]+TP[[#This Row],[Costo de Envio Total UDS]]+TP[[#This Row],[Impuesto UDS]],"Sin Datos")</f>
        <v>0</v>
      </c>
      <c r="M48" s="14">
        <f>IFERROR(((TP[[#This Row],[Costo Total Pedido USD]]*TP[[#This Row],[DÓLAR]])*$B$3)+(TP[[#This Row],[Costo Total Pedido USD]]*TP[[#This Row],[DÓLAR]]),"Sin Datos")</f>
        <v>0</v>
      </c>
      <c r="N4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8" s="14" t="str">
        <f>IFERROR(TP[[#This Row],[Costo Total Pza. MXN]]*TP[[#This Row],[CANTIDAD]],"Sin Datos")</f>
        <v>Sin Datos</v>
      </c>
      <c r="P48" s="29" t="str">
        <f>IFERROR((((TP[[#This Row],[Costo Total Pza. UDS]]*TP[[#This Row],[DÓLAR]])*$B$3)+(TP[[#This Row],[Costo Total Pza. UDS]]*TP[[#This Row],[DÓLAR]])),"Sin Datos")</f>
        <v>Sin Datos</v>
      </c>
      <c r="Q48" s="57"/>
      <c r="R4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8" s="29" t="str">
        <f>IFERROR(TP[[#This Row],[Costo Total Pza. MXN]]+TP[[#This Row],[Impuesto Unitario MXN]],"Sin Datos")</f>
        <v>Sin Datos</v>
      </c>
      <c r="T48" s="29" t="str">
        <f>IFERROR(TP[[#This Row],[Costo Costo]]*50%+TP[[#This Row],[Costo Costo]],"Sin Datos")</f>
        <v>Sin Datos</v>
      </c>
      <c r="U48" s="14" t="str">
        <f>IFERROR(TP[[#This Row],[Precio de Oficina]]-TP[[#This Row],[Costo Costo]],"Sin Datos")</f>
        <v>Sin Datos</v>
      </c>
      <c r="V48" s="29" t="str">
        <f>IFERROR(TP[[#This Row],[Precio de Oficina]]*14%+TP[[#This Row],[Precio de Oficina]],"Sin Datos")</f>
        <v>Sin Datos</v>
      </c>
      <c r="W48" s="29" t="str">
        <f>IFERROR(TP[[#This Row],[Precio de Oficina]]*20%+TP[[#This Row],[Precio de Oficina]],"Sin Datos")</f>
        <v>Sin Datos</v>
      </c>
      <c r="X48" s="30" t="str">
        <f>IFERROR(TP[[#This Row],[Precio de Wix]]*33.6%+TP[[#This Row],[Precio de Wix]]+100,"Sin Datos")</f>
        <v>Sin Datos</v>
      </c>
      <c r="Z48" s="8" t="s">
        <v>251</v>
      </c>
    </row>
    <row r="49" spans="1:26" x14ac:dyDescent="0.2">
      <c r="A49" s="36" t="s">
        <v>252</v>
      </c>
      <c r="B49" s="49"/>
      <c r="C49" s="49"/>
      <c r="D49" s="53"/>
      <c r="E49" s="52"/>
      <c r="F49" s="53"/>
      <c r="G49" s="28" t="str">
        <f>IFERROR(TP[[#This Row],[Costo Real Unitario USD]]*TP[[#This Row],[Costo de Envio Total UDS]]/TP[[#This Row],[Costo Total Pedido USD]], "Sin Datos")</f>
        <v>Sin Datos</v>
      </c>
      <c r="H49" s="9">
        <f>IFERROR(TP[[#This Row],[Costo Total Pedido USD]]+TP[[#This Row],[Costo de Envio Total UDS]],"Sin Datos")</f>
        <v>0</v>
      </c>
      <c r="I49" s="52"/>
      <c r="J49" s="9" t="str">
        <f>IFERROR((TP[[#This Row],[Costo Real Unitario USD]]*TP[[#This Row],[Impuesto UDS]])/TP[[#This Row],[Costo Total Pedido USD]],"Sin Datos")</f>
        <v>Sin Datos</v>
      </c>
      <c r="K49" s="9" t="str">
        <f>IFERROR(TP[[#This Row],[Costo Real Unitario USD]]+TP[[#This Row],[Costo de Envio Unitario UDS]]+TP[[#This Row],[Impuesto Unitario UDS]],"Sin Datos")</f>
        <v>Sin Datos</v>
      </c>
      <c r="L49" s="9">
        <f>IFERROR(TP[[#This Row],[Costo Total Pedido USD]]+TP[[#This Row],[Costo de Envio Total UDS]]+TP[[#This Row],[Impuesto UDS]],"Sin Datos")</f>
        <v>0</v>
      </c>
      <c r="M49" s="14">
        <f>IFERROR(((TP[[#This Row],[Costo Total Pedido USD]]*TP[[#This Row],[DÓLAR]])*$B$3)+(TP[[#This Row],[Costo Total Pedido USD]]*TP[[#This Row],[DÓLAR]]),"Sin Datos")</f>
        <v>0</v>
      </c>
      <c r="N4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49" s="14" t="str">
        <f>IFERROR(TP[[#This Row],[Costo Total Pza. MXN]]*TP[[#This Row],[CANTIDAD]],"Sin Datos")</f>
        <v>Sin Datos</v>
      </c>
      <c r="P49" s="29" t="str">
        <f>IFERROR((((TP[[#This Row],[Costo Total Pza. UDS]]*TP[[#This Row],[DÓLAR]])*$B$3)+(TP[[#This Row],[Costo Total Pza. UDS]]*TP[[#This Row],[DÓLAR]])),"Sin Datos")</f>
        <v>Sin Datos</v>
      </c>
      <c r="Q49" s="57"/>
      <c r="R4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49" s="29" t="str">
        <f>IFERROR(TP[[#This Row],[Costo Total Pza. MXN]]+TP[[#This Row],[Impuesto Unitario MXN]],"Sin Datos")</f>
        <v>Sin Datos</v>
      </c>
      <c r="T49" s="29" t="str">
        <f>IFERROR(TP[[#This Row],[Costo Costo]]*50%+TP[[#This Row],[Costo Costo]],"Sin Datos")</f>
        <v>Sin Datos</v>
      </c>
      <c r="U49" s="14" t="str">
        <f>IFERROR(TP[[#This Row],[Precio de Oficina]]-TP[[#This Row],[Costo Costo]],"Sin Datos")</f>
        <v>Sin Datos</v>
      </c>
      <c r="V49" s="29" t="str">
        <f>IFERROR(TP[[#This Row],[Precio de Oficina]]*14%+TP[[#This Row],[Precio de Oficina]],"Sin Datos")</f>
        <v>Sin Datos</v>
      </c>
      <c r="W49" s="29" t="str">
        <f>IFERROR(TP[[#This Row],[Precio de Oficina]]*20%+TP[[#This Row],[Precio de Oficina]],"Sin Datos")</f>
        <v>Sin Datos</v>
      </c>
      <c r="X49" s="30" t="str">
        <f>IFERROR(TP[[#This Row],[Precio de Wix]]*33.6%+TP[[#This Row],[Precio de Wix]]+100,"Sin Datos")</f>
        <v>Sin Datos</v>
      </c>
      <c r="Z49" s="8" t="s">
        <v>252</v>
      </c>
    </row>
    <row r="50" spans="1:26" x14ac:dyDescent="0.2">
      <c r="A50" s="36" t="s">
        <v>253</v>
      </c>
      <c r="B50" s="49"/>
      <c r="C50" s="49"/>
      <c r="D50" s="53"/>
      <c r="E50" s="52"/>
      <c r="F50" s="53"/>
      <c r="G50" s="28" t="str">
        <f>IFERROR(TP[[#This Row],[Costo Real Unitario USD]]*TP[[#This Row],[Costo de Envio Total UDS]]/TP[[#This Row],[Costo Total Pedido USD]], "Sin Datos")</f>
        <v>Sin Datos</v>
      </c>
      <c r="H50" s="9">
        <f>IFERROR(TP[[#This Row],[Costo Total Pedido USD]]+TP[[#This Row],[Costo de Envio Total UDS]],"Sin Datos")</f>
        <v>0</v>
      </c>
      <c r="I50" s="52"/>
      <c r="J50" s="9" t="str">
        <f>IFERROR((TP[[#This Row],[Costo Real Unitario USD]]*TP[[#This Row],[Impuesto UDS]])/TP[[#This Row],[Costo Total Pedido USD]],"Sin Datos")</f>
        <v>Sin Datos</v>
      </c>
      <c r="K50" s="9" t="str">
        <f>IFERROR(TP[[#This Row],[Costo Real Unitario USD]]+TP[[#This Row],[Costo de Envio Unitario UDS]]+TP[[#This Row],[Impuesto Unitario UDS]],"Sin Datos")</f>
        <v>Sin Datos</v>
      </c>
      <c r="L50" s="9">
        <f>IFERROR(TP[[#This Row],[Costo Total Pedido USD]]+TP[[#This Row],[Costo de Envio Total UDS]]+TP[[#This Row],[Impuesto UDS]],"Sin Datos")</f>
        <v>0</v>
      </c>
      <c r="M50" s="14">
        <f>IFERROR(((TP[[#This Row],[Costo Total Pedido USD]]*TP[[#This Row],[DÓLAR]])*$B$3)+(TP[[#This Row],[Costo Total Pedido USD]]*TP[[#This Row],[DÓLAR]]),"Sin Datos")</f>
        <v>0</v>
      </c>
      <c r="N5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0" s="14" t="str">
        <f>IFERROR(TP[[#This Row],[Costo Total Pza. MXN]]*TP[[#This Row],[CANTIDAD]],"Sin Datos")</f>
        <v>Sin Datos</v>
      </c>
      <c r="P50" s="29" t="str">
        <f>IFERROR((((TP[[#This Row],[Costo Total Pza. UDS]]*TP[[#This Row],[DÓLAR]])*$B$3)+(TP[[#This Row],[Costo Total Pza. UDS]]*TP[[#This Row],[DÓLAR]])),"Sin Datos")</f>
        <v>Sin Datos</v>
      </c>
      <c r="Q50" s="57"/>
      <c r="R5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0" s="29" t="str">
        <f>IFERROR(TP[[#This Row],[Costo Total Pza. MXN]]+TP[[#This Row],[Impuesto Unitario MXN]],"Sin Datos")</f>
        <v>Sin Datos</v>
      </c>
      <c r="T50" s="29" t="str">
        <f>IFERROR(TP[[#This Row],[Costo Costo]]*50%+TP[[#This Row],[Costo Costo]],"Sin Datos")</f>
        <v>Sin Datos</v>
      </c>
      <c r="U50" s="14" t="str">
        <f>IFERROR(TP[[#This Row],[Precio de Oficina]]-TP[[#This Row],[Costo Costo]],"Sin Datos")</f>
        <v>Sin Datos</v>
      </c>
      <c r="V50" s="29" t="str">
        <f>IFERROR(TP[[#This Row],[Precio de Oficina]]*14%+TP[[#This Row],[Precio de Oficina]],"Sin Datos")</f>
        <v>Sin Datos</v>
      </c>
      <c r="W50" s="29" t="str">
        <f>IFERROR(TP[[#This Row],[Precio de Oficina]]*20%+TP[[#This Row],[Precio de Oficina]],"Sin Datos")</f>
        <v>Sin Datos</v>
      </c>
      <c r="X50" s="30" t="str">
        <f>IFERROR(TP[[#This Row],[Precio de Wix]]*33.6%+TP[[#This Row],[Precio de Wix]]+100,"Sin Datos")</f>
        <v>Sin Datos</v>
      </c>
      <c r="Z50" s="8" t="s">
        <v>253</v>
      </c>
    </row>
    <row r="51" spans="1:26" x14ac:dyDescent="0.2">
      <c r="A51" s="36" t="s">
        <v>254</v>
      </c>
      <c r="B51" s="49"/>
      <c r="C51" s="49"/>
      <c r="D51" s="53"/>
      <c r="E51" s="52"/>
      <c r="F51" s="53"/>
      <c r="G51" s="28" t="str">
        <f>IFERROR(TP[[#This Row],[Costo Real Unitario USD]]*TP[[#This Row],[Costo de Envio Total UDS]]/TP[[#This Row],[Costo Total Pedido USD]], "Sin Datos")</f>
        <v>Sin Datos</v>
      </c>
      <c r="H51" s="9">
        <f>IFERROR(TP[[#This Row],[Costo Total Pedido USD]]+TP[[#This Row],[Costo de Envio Total UDS]],"Sin Datos")</f>
        <v>0</v>
      </c>
      <c r="I51" s="52"/>
      <c r="J51" s="9" t="str">
        <f>IFERROR((TP[[#This Row],[Costo Real Unitario USD]]*TP[[#This Row],[Impuesto UDS]])/TP[[#This Row],[Costo Total Pedido USD]],"Sin Datos")</f>
        <v>Sin Datos</v>
      </c>
      <c r="K51" s="9" t="str">
        <f>IFERROR(TP[[#This Row],[Costo Real Unitario USD]]+TP[[#This Row],[Costo de Envio Unitario UDS]]+TP[[#This Row],[Impuesto Unitario UDS]],"Sin Datos")</f>
        <v>Sin Datos</v>
      </c>
      <c r="L51" s="9">
        <f>IFERROR(TP[[#This Row],[Costo Total Pedido USD]]+TP[[#This Row],[Costo de Envio Total UDS]]+TP[[#This Row],[Impuesto UDS]],"Sin Datos")</f>
        <v>0</v>
      </c>
      <c r="M51" s="14">
        <f>IFERROR(((TP[[#This Row],[Costo Total Pedido USD]]*TP[[#This Row],[DÓLAR]])*$B$3)+(TP[[#This Row],[Costo Total Pedido USD]]*TP[[#This Row],[DÓLAR]]),"Sin Datos")</f>
        <v>0</v>
      </c>
      <c r="N5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1" s="14" t="str">
        <f>IFERROR(TP[[#This Row],[Costo Total Pza. MXN]]*TP[[#This Row],[CANTIDAD]],"Sin Datos")</f>
        <v>Sin Datos</v>
      </c>
      <c r="P51" s="29" t="str">
        <f>IFERROR((((TP[[#This Row],[Costo Total Pza. UDS]]*TP[[#This Row],[DÓLAR]])*$B$3)+(TP[[#This Row],[Costo Total Pza. UDS]]*TP[[#This Row],[DÓLAR]])),"Sin Datos")</f>
        <v>Sin Datos</v>
      </c>
      <c r="Q51" s="57"/>
      <c r="R5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1" s="29" t="str">
        <f>IFERROR(TP[[#This Row],[Costo Total Pza. MXN]]+TP[[#This Row],[Impuesto Unitario MXN]],"Sin Datos")</f>
        <v>Sin Datos</v>
      </c>
      <c r="T51" s="29" t="str">
        <f>IFERROR(TP[[#This Row],[Costo Costo]]*50%+TP[[#This Row],[Costo Costo]],"Sin Datos")</f>
        <v>Sin Datos</v>
      </c>
      <c r="U51" s="14" t="str">
        <f>IFERROR(TP[[#This Row],[Precio de Oficina]]-TP[[#This Row],[Costo Costo]],"Sin Datos")</f>
        <v>Sin Datos</v>
      </c>
      <c r="V51" s="29" t="str">
        <f>IFERROR(TP[[#This Row],[Precio de Oficina]]*14%+TP[[#This Row],[Precio de Oficina]],"Sin Datos")</f>
        <v>Sin Datos</v>
      </c>
      <c r="W51" s="29" t="str">
        <f>IFERROR(TP[[#This Row],[Precio de Oficina]]*20%+TP[[#This Row],[Precio de Oficina]],"Sin Datos")</f>
        <v>Sin Datos</v>
      </c>
      <c r="X51" s="30" t="str">
        <f>IFERROR(TP[[#This Row],[Precio de Wix]]*33.6%+TP[[#This Row],[Precio de Wix]]+100,"Sin Datos")</f>
        <v>Sin Datos</v>
      </c>
      <c r="Z51" s="8" t="s">
        <v>254</v>
      </c>
    </row>
    <row r="52" spans="1:26" x14ac:dyDescent="0.2">
      <c r="A52" s="36" t="s">
        <v>255</v>
      </c>
      <c r="B52" s="49"/>
      <c r="C52" s="49"/>
      <c r="D52" s="53"/>
      <c r="E52" s="52"/>
      <c r="F52" s="53"/>
      <c r="G52" s="28" t="str">
        <f>IFERROR(TP[[#This Row],[Costo Real Unitario USD]]*TP[[#This Row],[Costo de Envio Total UDS]]/TP[[#This Row],[Costo Total Pedido USD]], "Sin Datos")</f>
        <v>Sin Datos</v>
      </c>
      <c r="H52" s="9">
        <f>IFERROR(TP[[#This Row],[Costo Total Pedido USD]]+TP[[#This Row],[Costo de Envio Total UDS]],"Sin Datos")</f>
        <v>0</v>
      </c>
      <c r="I52" s="52"/>
      <c r="J52" s="9" t="str">
        <f>IFERROR((TP[[#This Row],[Costo Real Unitario USD]]*TP[[#This Row],[Impuesto UDS]])/TP[[#This Row],[Costo Total Pedido USD]],"Sin Datos")</f>
        <v>Sin Datos</v>
      </c>
      <c r="K52" s="9" t="str">
        <f>IFERROR(TP[[#This Row],[Costo Real Unitario USD]]+TP[[#This Row],[Costo de Envio Unitario UDS]]+TP[[#This Row],[Impuesto Unitario UDS]],"Sin Datos")</f>
        <v>Sin Datos</v>
      </c>
      <c r="L52" s="9">
        <f>IFERROR(TP[[#This Row],[Costo Total Pedido USD]]+TP[[#This Row],[Costo de Envio Total UDS]]+TP[[#This Row],[Impuesto UDS]],"Sin Datos")</f>
        <v>0</v>
      </c>
      <c r="M52" s="14">
        <f>IFERROR(((TP[[#This Row],[Costo Total Pedido USD]]*TP[[#This Row],[DÓLAR]])*$B$3)+(TP[[#This Row],[Costo Total Pedido USD]]*TP[[#This Row],[DÓLAR]]),"Sin Datos")</f>
        <v>0</v>
      </c>
      <c r="N5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2" s="14" t="str">
        <f>IFERROR(TP[[#This Row],[Costo Total Pza. MXN]]*TP[[#This Row],[CANTIDAD]],"Sin Datos")</f>
        <v>Sin Datos</v>
      </c>
      <c r="P52" s="29" t="str">
        <f>IFERROR((((TP[[#This Row],[Costo Total Pza. UDS]]*TP[[#This Row],[DÓLAR]])*$B$3)+(TP[[#This Row],[Costo Total Pza. UDS]]*TP[[#This Row],[DÓLAR]])),"Sin Datos")</f>
        <v>Sin Datos</v>
      </c>
      <c r="Q52" s="57"/>
      <c r="R5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2" s="29" t="str">
        <f>IFERROR(TP[[#This Row],[Costo Total Pza. MXN]]+TP[[#This Row],[Impuesto Unitario MXN]],"Sin Datos")</f>
        <v>Sin Datos</v>
      </c>
      <c r="T52" s="29" t="str">
        <f>IFERROR(TP[[#This Row],[Costo Costo]]*50%+TP[[#This Row],[Costo Costo]],"Sin Datos")</f>
        <v>Sin Datos</v>
      </c>
      <c r="U52" s="14" t="str">
        <f>IFERROR(TP[[#This Row],[Precio de Oficina]]-TP[[#This Row],[Costo Costo]],"Sin Datos")</f>
        <v>Sin Datos</v>
      </c>
      <c r="V52" s="29" t="str">
        <f>IFERROR(TP[[#This Row],[Precio de Oficina]]*14%+TP[[#This Row],[Precio de Oficina]],"Sin Datos")</f>
        <v>Sin Datos</v>
      </c>
      <c r="W52" s="29" t="str">
        <f>IFERROR(TP[[#This Row],[Precio de Oficina]]*20%+TP[[#This Row],[Precio de Oficina]],"Sin Datos")</f>
        <v>Sin Datos</v>
      </c>
      <c r="X52" s="30" t="str">
        <f>IFERROR(TP[[#This Row],[Precio de Wix]]*33.6%+TP[[#This Row],[Precio de Wix]]+100,"Sin Datos")</f>
        <v>Sin Datos</v>
      </c>
      <c r="Z52" s="8" t="s">
        <v>255</v>
      </c>
    </row>
    <row r="53" spans="1:26" x14ac:dyDescent="0.2">
      <c r="A53" s="36" t="s">
        <v>256</v>
      </c>
      <c r="B53" s="49"/>
      <c r="C53" s="49"/>
      <c r="D53" s="53"/>
      <c r="E53" s="52"/>
      <c r="F53" s="53"/>
      <c r="G53" s="28" t="str">
        <f>IFERROR(TP[[#This Row],[Costo Real Unitario USD]]*TP[[#This Row],[Costo de Envio Total UDS]]/TP[[#This Row],[Costo Total Pedido USD]], "Sin Datos")</f>
        <v>Sin Datos</v>
      </c>
      <c r="H53" s="9">
        <f>IFERROR(TP[[#This Row],[Costo Total Pedido USD]]+TP[[#This Row],[Costo de Envio Total UDS]],"Sin Datos")</f>
        <v>0</v>
      </c>
      <c r="I53" s="52"/>
      <c r="J53" s="9" t="str">
        <f>IFERROR((TP[[#This Row],[Costo Real Unitario USD]]*TP[[#This Row],[Impuesto UDS]])/TP[[#This Row],[Costo Total Pedido USD]],"Sin Datos")</f>
        <v>Sin Datos</v>
      </c>
      <c r="K53" s="9" t="str">
        <f>IFERROR(TP[[#This Row],[Costo Real Unitario USD]]+TP[[#This Row],[Costo de Envio Unitario UDS]]+TP[[#This Row],[Impuesto Unitario UDS]],"Sin Datos")</f>
        <v>Sin Datos</v>
      </c>
      <c r="L53" s="9">
        <f>IFERROR(TP[[#This Row],[Costo Total Pedido USD]]+TP[[#This Row],[Costo de Envio Total UDS]]+TP[[#This Row],[Impuesto UDS]],"Sin Datos")</f>
        <v>0</v>
      </c>
      <c r="M53" s="14">
        <f>IFERROR(((TP[[#This Row],[Costo Total Pedido USD]]*TP[[#This Row],[DÓLAR]])*$B$3)+(TP[[#This Row],[Costo Total Pedido USD]]*TP[[#This Row],[DÓLAR]]),"Sin Datos")</f>
        <v>0</v>
      </c>
      <c r="N5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3" s="14" t="str">
        <f>IFERROR(TP[[#This Row],[Costo Total Pza. MXN]]*TP[[#This Row],[CANTIDAD]],"Sin Datos")</f>
        <v>Sin Datos</v>
      </c>
      <c r="P53" s="29" t="str">
        <f>IFERROR((((TP[[#This Row],[Costo Total Pza. UDS]]*TP[[#This Row],[DÓLAR]])*$B$3)+(TP[[#This Row],[Costo Total Pza. UDS]]*TP[[#This Row],[DÓLAR]])),"Sin Datos")</f>
        <v>Sin Datos</v>
      </c>
      <c r="Q53" s="57"/>
      <c r="R5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3" s="29" t="str">
        <f>IFERROR(TP[[#This Row],[Costo Total Pza. MXN]]+TP[[#This Row],[Impuesto Unitario MXN]],"Sin Datos")</f>
        <v>Sin Datos</v>
      </c>
      <c r="T53" s="29" t="str">
        <f>IFERROR(TP[[#This Row],[Costo Costo]]*50%+TP[[#This Row],[Costo Costo]],"Sin Datos")</f>
        <v>Sin Datos</v>
      </c>
      <c r="U53" s="14" t="str">
        <f>IFERROR(TP[[#This Row],[Precio de Oficina]]-TP[[#This Row],[Costo Costo]],"Sin Datos")</f>
        <v>Sin Datos</v>
      </c>
      <c r="V53" s="29" t="str">
        <f>IFERROR(TP[[#This Row],[Precio de Oficina]]*14%+TP[[#This Row],[Precio de Oficina]],"Sin Datos")</f>
        <v>Sin Datos</v>
      </c>
      <c r="W53" s="29" t="str">
        <f>IFERROR(TP[[#This Row],[Precio de Oficina]]*20%+TP[[#This Row],[Precio de Oficina]],"Sin Datos")</f>
        <v>Sin Datos</v>
      </c>
      <c r="X53" s="30" t="str">
        <f>IFERROR(TP[[#This Row],[Precio de Wix]]*33.6%+TP[[#This Row],[Precio de Wix]]+100,"Sin Datos")</f>
        <v>Sin Datos</v>
      </c>
      <c r="Z53" s="8" t="s">
        <v>256</v>
      </c>
    </row>
    <row r="54" spans="1:26" x14ac:dyDescent="0.2">
      <c r="A54" s="36" t="s">
        <v>257</v>
      </c>
      <c r="B54" s="49"/>
      <c r="C54" s="49"/>
      <c r="D54" s="53"/>
      <c r="E54" s="52"/>
      <c r="F54" s="53"/>
      <c r="G54" s="28" t="str">
        <f>IFERROR(TP[[#This Row],[Costo Real Unitario USD]]*TP[[#This Row],[Costo de Envio Total UDS]]/TP[[#This Row],[Costo Total Pedido USD]], "Sin Datos")</f>
        <v>Sin Datos</v>
      </c>
      <c r="H54" s="9">
        <f>IFERROR(TP[[#This Row],[Costo Total Pedido USD]]+TP[[#This Row],[Costo de Envio Total UDS]],"Sin Datos")</f>
        <v>0</v>
      </c>
      <c r="I54" s="52"/>
      <c r="J54" s="9" t="str">
        <f>IFERROR((TP[[#This Row],[Costo Real Unitario USD]]*TP[[#This Row],[Impuesto UDS]])/TP[[#This Row],[Costo Total Pedido USD]],"Sin Datos")</f>
        <v>Sin Datos</v>
      </c>
      <c r="K54" s="9" t="str">
        <f>IFERROR(TP[[#This Row],[Costo Real Unitario USD]]+TP[[#This Row],[Costo de Envio Unitario UDS]]+TP[[#This Row],[Impuesto Unitario UDS]],"Sin Datos")</f>
        <v>Sin Datos</v>
      </c>
      <c r="L54" s="9">
        <f>IFERROR(TP[[#This Row],[Costo Total Pedido USD]]+TP[[#This Row],[Costo de Envio Total UDS]]+TP[[#This Row],[Impuesto UDS]],"Sin Datos")</f>
        <v>0</v>
      </c>
      <c r="M54" s="14">
        <f>IFERROR(((TP[[#This Row],[Costo Total Pedido USD]]*TP[[#This Row],[DÓLAR]])*$B$3)+(TP[[#This Row],[Costo Total Pedido USD]]*TP[[#This Row],[DÓLAR]]),"Sin Datos")</f>
        <v>0</v>
      </c>
      <c r="N5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4" s="14" t="str">
        <f>IFERROR(TP[[#This Row],[Costo Total Pza. MXN]]*TP[[#This Row],[CANTIDAD]],"Sin Datos")</f>
        <v>Sin Datos</v>
      </c>
      <c r="P54" s="29" t="str">
        <f>IFERROR((((TP[[#This Row],[Costo Total Pza. UDS]]*TP[[#This Row],[DÓLAR]])*$B$3)+(TP[[#This Row],[Costo Total Pza. UDS]]*TP[[#This Row],[DÓLAR]])),"Sin Datos")</f>
        <v>Sin Datos</v>
      </c>
      <c r="Q54" s="57"/>
      <c r="R5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4" s="29" t="str">
        <f>IFERROR(TP[[#This Row],[Costo Total Pza. MXN]]+TP[[#This Row],[Impuesto Unitario MXN]],"Sin Datos")</f>
        <v>Sin Datos</v>
      </c>
      <c r="T54" s="29" t="str">
        <f>IFERROR(TP[[#This Row],[Costo Costo]]*50%+TP[[#This Row],[Costo Costo]],"Sin Datos")</f>
        <v>Sin Datos</v>
      </c>
      <c r="U54" s="14" t="str">
        <f>IFERROR(TP[[#This Row],[Precio de Oficina]]-TP[[#This Row],[Costo Costo]],"Sin Datos")</f>
        <v>Sin Datos</v>
      </c>
      <c r="V54" s="29" t="str">
        <f>IFERROR(TP[[#This Row],[Precio de Oficina]]*14%+TP[[#This Row],[Precio de Oficina]],"Sin Datos")</f>
        <v>Sin Datos</v>
      </c>
      <c r="W54" s="29" t="str">
        <f>IFERROR(TP[[#This Row],[Precio de Oficina]]*20%+TP[[#This Row],[Precio de Oficina]],"Sin Datos")</f>
        <v>Sin Datos</v>
      </c>
      <c r="X54" s="30" t="str">
        <f>IFERROR(TP[[#This Row],[Precio de Wix]]*33.6%+TP[[#This Row],[Precio de Wix]]+100,"Sin Datos")</f>
        <v>Sin Datos</v>
      </c>
      <c r="Z54" s="8" t="s">
        <v>257</v>
      </c>
    </row>
    <row r="55" spans="1:26" x14ac:dyDescent="0.2">
      <c r="A55" s="36" t="s">
        <v>258</v>
      </c>
      <c r="B55" s="49"/>
      <c r="C55" s="49"/>
      <c r="D55" s="53"/>
      <c r="E55" s="52"/>
      <c r="F55" s="53"/>
      <c r="G55" s="28" t="str">
        <f>IFERROR(TP[[#This Row],[Costo Real Unitario USD]]*TP[[#This Row],[Costo de Envio Total UDS]]/TP[[#This Row],[Costo Total Pedido USD]], "Sin Datos")</f>
        <v>Sin Datos</v>
      </c>
      <c r="H55" s="9">
        <f>IFERROR(TP[[#This Row],[Costo Total Pedido USD]]+TP[[#This Row],[Costo de Envio Total UDS]],"Sin Datos")</f>
        <v>0</v>
      </c>
      <c r="I55" s="52"/>
      <c r="J55" s="9" t="str">
        <f>IFERROR((TP[[#This Row],[Costo Real Unitario USD]]*TP[[#This Row],[Impuesto UDS]])/TP[[#This Row],[Costo Total Pedido USD]],"Sin Datos")</f>
        <v>Sin Datos</v>
      </c>
      <c r="K55" s="9" t="str">
        <f>IFERROR(TP[[#This Row],[Costo Real Unitario USD]]+TP[[#This Row],[Costo de Envio Unitario UDS]]+TP[[#This Row],[Impuesto Unitario UDS]],"Sin Datos")</f>
        <v>Sin Datos</v>
      </c>
      <c r="L55" s="9">
        <f>IFERROR(TP[[#This Row],[Costo Total Pedido USD]]+TP[[#This Row],[Costo de Envio Total UDS]]+TP[[#This Row],[Impuesto UDS]],"Sin Datos")</f>
        <v>0</v>
      </c>
      <c r="M55" s="14">
        <f>IFERROR(((TP[[#This Row],[Costo Total Pedido USD]]*TP[[#This Row],[DÓLAR]])*$B$3)+(TP[[#This Row],[Costo Total Pedido USD]]*TP[[#This Row],[DÓLAR]]),"Sin Datos")</f>
        <v>0</v>
      </c>
      <c r="N5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5" s="14" t="str">
        <f>IFERROR(TP[[#This Row],[Costo Total Pza. MXN]]*TP[[#This Row],[CANTIDAD]],"Sin Datos")</f>
        <v>Sin Datos</v>
      </c>
      <c r="P55" s="29" t="str">
        <f>IFERROR((((TP[[#This Row],[Costo Total Pza. UDS]]*TP[[#This Row],[DÓLAR]])*$B$3)+(TP[[#This Row],[Costo Total Pza. UDS]]*TP[[#This Row],[DÓLAR]])),"Sin Datos")</f>
        <v>Sin Datos</v>
      </c>
      <c r="Q55" s="57"/>
      <c r="R5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5" s="29" t="str">
        <f>IFERROR(TP[[#This Row],[Costo Total Pza. MXN]]+TP[[#This Row],[Impuesto Unitario MXN]],"Sin Datos")</f>
        <v>Sin Datos</v>
      </c>
      <c r="T55" s="29" t="str">
        <f>IFERROR(TP[[#This Row],[Costo Costo]]*50%+TP[[#This Row],[Costo Costo]],"Sin Datos")</f>
        <v>Sin Datos</v>
      </c>
      <c r="U55" s="14" t="str">
        <f>IFERROR(TP[[#This Row],[Precio de Oficina]]-TP[[#This Row],[Costo Costo]],"Sin Datos")</f>
        <v>Sin Datos</v>
      </c>
      <c r="V55" s="29" t="str">
        <f>IFERROR(TP[[#This Row],[Precio de Oficina]]*14%+TP[[#This Row],[Precio de Oficina]],"Sin Datos")</f>
        <v>Sin Datos</v>
      </c>
      <c r="W55" s="29" t="str">
        <f>IFERROR(TP[[#This Row],[Precio de Oficina]]*20%+TP[[#This Row],[Precio de Oficina]],"Sin Datos")</f>
        <v>Sin Datos</v>
      </c>
      <c r="X55" s="30" t="str">
        <f>IFERROR(TP[[#This Row],[Precio de Wix]]*33.6%+TP[[#This Row],[Precio de Wix]]+100,"Sin Datos")</f>
        <v>Sin Datos</v>
      </c>
      <c r="Z55" s="8" t="s">
        <v>258</v>
      </c>
    </row>
    <row r="56" spans="1:26" x14ac:dyDescent="0.2">
      <c r="A56" s="36" t="s">
        <v>259</v>
      </c>
      <c r="B56" s="49"/>
      <c r="C56" s="49"/>
      <c r="D56" s="53"/>
      <c r="E56" s="52"/>
      <c r="F56" s="53"/>
      <c r="G56" s="28" t="str">
        <f>IFERROR(TP[[#This Row],[Costo Real Unitario USD]]*TP[[#This Row],[Costo de Envio Total UDS]]/TP[[#This Row],[Costo Total Pedido USD]], "Sin Datos")</f>
        <v>Sin Datos</v>
      </c>
      <c r="H56" s="9">
        <f>IFERROR(TP[[#This Row],[Costo Total Pedido USD]]+TP[[#This Row],[Costo de Envio Total UDS]],"Sin Datos")</f>
        <v>0</v>
      </c>
      <c r="I56" s="52"/>
      <c r="J56" s="9" t="str">
        <f>IFERROR((TP[[#This Row],[Costo Real Unitario USD]]*TP[[#This Row],[Impuesto UDS]])/TP[[#This Row],[Costo Total Pedido USD]],"Sin Datos")</f>
        <v>Sin Datos</v>
      </c>
      <c r="K56" s="9" t="str">
        <f>IFERROR(TP[[#This Row],[Costo Real Unitario USD]]+TP[[#This Row],[Costo de Envio Unitario UDS]]+TP[[#This Row],[Impuesto Unitario UDS]],"Sin Datos")</f>
        <v>Sin Datos</v>
      </c>
      <c r="L56" s="9">
        <f>IFERROR(TP[[#This Row],[Costo Total Pedido USD]]+TP[[#This Row],[Costo de Envio Total UDS]]+TP[[#This Row],[Impuesto UDS]],"Sin Datos")</f>
        <v>0</v>
      </c>
      <c r="M56" s="14">
        <f>IFERROR(((TP[[#This Row],[Costo Total Pedido USD]]*TP[[#This Row],[DÓLAR]])*$B$3)+(TP[[#This Row],[Costo Total Pedido USD]]*TP[[#This Row],[DÓLAR]]),"Sin Datos")</f>
        <v>0</v>
      </c>
      <c r="N5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6" s="14" t="str">
        <f>IFERROR(TP[[#This Row],[Costo Total Pza. MXN]]*TP[[#This Row],[CANTIDAD]],"Sin Datos")</f>
        <v>Sin Datos</v>
      </c>
      <c r="P56" s="29" t="str">
        <f>IFERROR((((TP[[#This Row],[Costo Total Pza. UDS]]*TP[[#This Row],[DÓLAR]])*$B$3)+(TP[[#This Row],[Costo Total Pza. UDS]]*TP[[#This Row],[DÓLAR]])),"Sin Datos")</f>
        <v>Sin Datos</v>
      </c>
      <c r="Q56" s="57"/>
      <c r="R5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6" s="29" t="str">
        <f>IFERROR(TP[[#This Row],[Costo Total Pza. MXN]]+TP[[#This Row],[Impuesto Unitario MXN]],"Sin Datos")</f>
        <v>Sin Datos</v>
      </c>
      <c r="T56" s="29" t="str">
        <f>IFERROR(TP[[#This Row],[Costo Costo]]*50%+TP[[#This Row],[Costo Costo]],"Sin Datos")</f>
        <v>Sin Datos</v>
      </c>
      <c r="U56" s="14" t="str">
        <f>IFERROR(TP[[#This Row],[Precio de Oficina]]-TP[[#This Row],[Costo Costo]],"Sin Datos")</f>
        <v>Sin Datos</v>
      </c>
      <c r="V56" s="29" t="str">
        <f>IFERROR(TP[[#This Row],[Precio de Oficina]]*14%+TP[[#This Row],[Precio de Oficina]],"Sin Datos")</f>
        <v>Sin Datos</v>
      </c>
      <c r="W56" s="29" t="str">
        <f>IFERROR(TP[[#This Row],[Precio de Oficina]]*20%+TP[[#This Row],[Precio de Oficina]],"Sin Datos")</f>
        <v>Sin Datos</v>
      </c>
      <c r="X56" s="30" t="str">
        <f>IFERROR(TP[[#This Row],[Precio de Wix]]*33.6%+TP[[#This Row],[Precio de Wix]]+100,"Sin Datos")</f>
        <v>Sin Datos</v>
      </c>
      <c r="Z56" s="8" t="s">
        <v>259</v>
      </c>
    </row>
    <row r="57" spans="1:26" x14ac:dyDescent="0.2">
      <c r="A57" s="36" t="s">
        <v>260</v>
      </c>
      <c r="B57" s="49"/>
      <c r="C57" s="49"/>
      <c r="D57" s="53"/>
      <c r="E57" s="52"/>
      <c r="F57" s="53"/>
      <c r="G57" s="28" t="str">
        <f>IFERROR(TP[[#This Row],[Costo Real Unitario USD]]*TP[[#This Row],[Costo de Envio Total UDS]]/TP[[#This Row],[Costo Total Pedido USD]], "Sin Datos")</f>
        <v>Sin Datos</v>
      </c>
      <c r="H57" s="9">
        <f>IFERROR(TP[[#This Row],[Costo Total Pedido USD]]+TP[[#This Row],[Costo de Envio Total UDS]],"Sin Datos")</f>
        <v>0</v>
      </c>
      <c r="I57" s="52"/>
      <c r="J57" s="9" t="str">
        <f>IFERROR((TP[[#This Row],[Costo Real Unitario USD]]*TP[[#This Row],[Impuesto UDS]])/TP[[#This Row],[Costo Total Pedido USD]],"Sin Datos")</f>
        <v>Sin Datos</v>
      </c>
      <c r="K57" s="9" t="str">
        <f>IFERROR(TP[[#This Row],[Costo Real Unitario USD]]+TP[[#This Row],[Costo de Envio Unitario UDS]]+TP[[#This Row],[Impuesto Unitario UDS]],"Sin Datos")</f>
        <v>Sin Datos</v>
      </c>
      <c r="L57" s="9">
        <f>IFERROR(TP[[#This Row],[Costo Total Pedido USD]]+TP[[#This Row],[Costo de Envio Total UDS]]+TP[[#This Row],[Impuesto UDS]],"Sin Datos")</f>
        <v>0</v>
      </c>
      <c r="M57" s="14">
        <f>IFERROR(((TP[[#This Row],[Costo Total Pedido USD]]*TP[[#This Row],[DÓLAR]])*$B$3)+(TP[[#This Row],[Costo Total Pedido USD]]*TP[[#This Row],[DÓLAR]]),"Sin Datos")</f>
        <v>0</v>
      </c>
      <c r="N5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7" s="14" t="str">
        <f>IFERROR(TP[[#This Row],[Costo Total Pza. MXN]]*TP[[#This Row],[CANTIDAD]],"Sin Datos")</f>
        <v>Sin Datos</v>
      </c>
      <c r="P57" s="29" t="str">
        <f>IFERROR((((TP[[#This Row],[Costo Total Pza. UDS]]*TP[[#This Row],[DÓLAR]])*$B$3)+(TP[[#This Row],[Costo Total Pza. UDS]]*TP[[#This Row],[DÓLAR]])),"Sin Datos")</f>
        <v>Sin Datos</v>
      </c>
      <c r="Q57" s="57"/>
      <c r="R5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7" s="29" t="str">
        <f>IFERROR(TP[[#This Row],[Costo Total Pza. MXN]]+TP[[#This Row],[Impuesto Unitario MXN]],"Sin Datos")</f>
        <v>Sin Datos</v>
      </c>
      <c r="T57" s="29" t="str">
        <f>IFERROR(TP[[#This Row],[Costo Costo]]*50%+TP[[#This Row],[Costo Costo]],"Sin Datos")</f>
        <v>Sin Datos</v>
      </c>
      <c r="U57" s="14" t="str">
        <f>IFERROR(TP[[#This Row],[Precio de Oficina]]-TP[[#This Row],[Costo Costo]],"Sin Datos")</f>
        <v>Sin Datos</v>
      </c>
      <c r="V57" s="29" t="str">
        <f>IFERROR(TP[[#This Row],[Precio de Oficina]]*14%+TP[[#This Row],[Precio de Oficina]],"Sin Datos")</f>
        <v>Sin Datos</v>
      </c>
      <c r="W57" s="29" t="str">
        <f>IFERROR(TP[[#This Row],[Precio de Oficina]]*20%+TP[[#This Row],[Precio de Oficina]],"Sin Datos")</f>
        <v>Sin Datos</v>
      </c>
      <c r="X57" s="30" t="str">
        <f>IFERROR(TP[[#This Row],[Precio de Wix]]*33.6%+TP[[#This Row],[Precio de Wix]]+100,"Sin Datos")</f>
        <v>Sin Datos</v>
      </c>
      <c r="Z57" s="8" t="s">
        <v>260</v>
      </c>
    </row>
    <row r="58" spans="1:26" x14ac:dyDescent="0.2">
      <c r="A58" s="36" t="s">
        <v>261</v>
      </c>
      <c r="B58" s="49"/>
      <c r="C58" s="49"/>
      <c r="D58" s="53"/>
      <c r="E58" s="52"/>
      <c r="F58" s="53"/>
      <c r="G58" s="28" t="str">
        <f>IFERROR(TP[[#This Row],[Costo Real Unitario USD]]*TP[[#This Row],[Costo de Envio Total UDS]]/TP[[#This Row],[Costo Total Pedido USD]], "Sin Datos")</f>
        <v>Sin Datos</v>
      </c>
      <c r="H58" s="9">
        <f>IFERROR(TP[[#This Row],[Costo Total Pedido USD]]+TP[[#This Row],[Costo de Envio Total UDS]],"Sin Datos")</f>
        <v>0</v>
      </c>
      <c r="I58" s="52"/>
      <c r="J58" s="9" t="str">
        <f>IFERROR((TP[[#This Row],[Costo Real Unitario USD]]*TP[[#This Row],[Impuesto UDS]])/TP[[#This Row],[Costo Total Pedido USD]],"Sin Datos")</f>
        <v>Sin Datos</v>
      </c>
      <c r="K58" s="9" t="str">
        <f>IFERROR(TP[[#This Row],[Costo Real Unitario USD]]+TP[[#This Row],[Costo de Envio Unitario UDS]]+TP[[#This Row],[Impuesto Unitario UDS]],"Sin Datos")</f>
        <v>Sin Datos</v>
      </c>
      <c r="L58" s="9">
        <f>IFERROR(TP[[#This Row],[Costo Total Pedido USD]]+TP[[#This Row],[Costo de Envio Total UDS]]+TP[[#This Row],[Impuesto UDS]],"Sin Datos")</f>
        <v>0</v>
      </c>
      <c r="M58" s="14">
        <f>IFERROR(((TP[[#This Row],[Costo Total Pedido USD]]*TP[[#This Row],[DÓLAR]])*$B$3)+(TP[[#This Row],[Costo Total Pedido USD]]*TP[[#This Row],[DÓLAR]]),"Sin Datos")</f>
        <v>0</v>
      </c>
      <c r="N5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58" s="14" t="str">
        <f>IFERROR(TP[[#This Row],[Costo Total Pza. MXN]]*TP[[#This Row],[CANTIDAD]],"Sin Datos")</f>
        <v>Sin Datos</v>
      </c>
      <c r="P58" s="29" t="str">
        <f>IFERROR((((TP[[#This Row],[Costo Total Pza. UDS]]*TP[[#This Row],[DÓLAR]])*$B$3)+(TP[[#This Row],[Costo Total Pza. UDS]]*TP[[#This Row],[DÓLAR]])),"Sin Datos")</f>
        <v>Sin Datos</v>
      </c>
      <c r="Q58" s="57"/>
      <c r="R5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58" s="29" t="str">
        <f>IFERROR(TP[[#This Row],[Costo Total Pza. MXN]]+TP[[#This Row],[Impuesto Unitario MXN]],"Sin Datos")</f>
        <v>Sin Datos</v>
      </c>
      <c r="T58" s="29" t="str">
        <f>IFERROR(TP[[#This Row],[Costo Costo]]*50%+TP[[#This Row],[Costo Costo]],"Sin Datos")</f>
        <v>Sin Datos</v>
      </c>
      <c r="U58" s="14" t="str">
        <f>IFERROR(TP[[#This Row],[Precio de Oficina]]-TP[[#This Row],[Costo Costo]],"Sin Datos")</f>
        <v>Sin Datos</v>
      </c>
      <c r="V58" s="29" t="str">
        <f>IFERROR(TP[[#This Row],[Precio de Oficina]]*14%+TP[[#This Row],[Precio de Oficina]],"Sin Datos")</f>
        <v>Sin Datos</v>
      </c>
      <c r="W58" s="29" t="str">
        <f>IFERROR(TP[[#This Row],[Precio de Oficina]]*20%+TP[[#This Row],[Precio de Oficina]],"Sin Datos")</f>
        <v>Sin Datos</v>
      </c>
      <c r="X58" s="30" t="str">
        <f>IFERROR(TP[[#This Row],[Precio de Wix]]*33.6%+TP[[#This Row],[Precio de Wix]]+100,"Sin Datos")</f>
        <v>Sin Datos</v>
      </c>
      <c r="Z58" s="8" t="s">
        <v>261</v>
      </c>
    </row>
    <row r="59" spans="1:26" x14ac:dyDescent="0.2">
      <c r="A59" s="36" t="s">
        <v>262</v>
      </c>
      <c r="B59" s="72">
        <v>19.940000000000001</v>
      </c>
      <c r="C59" s="49">
        <v>2</v>
      </c>
      <c r="D59" s="53">
        <v>240</v>
      </c>
      <c r="E59" s="52">
        <v>1130</v>
      </c>
      <c r="F59" s="53">
        <v>1840</v>
      </c>
      <c r="G59" s="28">
        <f>IFERROR(TP[[#This Row],[Costo Real Unitario USD]]*TP[[#This Row],[Costo de Envio Total UDS]]/TP[[#This Row],[Costo Total Pedido USD]], "Sin Datos")</f>
        <v>390.79646017699116</v>
      </c>
      <c r="H59" s="9">
        <f>IFERROR(TP[[#This Row],[Costo Total Pedido USD]]+TP[[#This Row],[Costo de Envio Total UDS]],"Sin Datos")</f>
        <v>2970</v>
      </c>
      <c r="I59" s="52"/>
      <c r="J59" s="9">
        <f>IFERROR((TP[[#This Row],[Costo Real Unitario USD]]*TP[[#This Row],[Impuesto UDS]])/TP[[#This Row],[Costo Total Pedido USD]],"Sin Datos")</f>
        <v>0</v>
      </c>
      <c r="K59" s="9">
        <f>IFERROR(TP[[#This Row],[Costo Real Unitario USD]]+TP[[#This Row],[Costo de Envio Unitario UDS]]+TP[[#This Row],[Impuesto Unitario UDS]],"Sin Datos")</f>
        <v>630.7964601769911</v>
      </c>
      <c r="L59" s="9">
        <f>IFERROR(TP[[#This Row],[Costo Total Pedido USD]]+TP[[#This Row],[Costo de Envio Total UDS]]+TP[[#This Row],[Impuesto UDS]],"Sin Datos")</f>
        <v>2970</v>
      </c>
      <c r="M59" s="14">
        <f>IFERROR(((TP[[#This Row],[Costo Total Pedido USD]]*TP[[#This Row],[DÓLAR]])*$B$3)+(TP[[#This Row],[Costo Total Pedido USD]]*TP[[#This Row],[DÓLAR]]),"Sin Datos")</f>
        <v>23658.81</v>
      </c>
      <c r="N5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62182.89</v>
      </c>
      <c r="O59" s="14">
        <f>IFERROR(TP[[#This Row],[Costo Total Pza. MXN]]*TP[[#This Row],[CANTIDAD]],"Sin Datos")</f>
        <v>26413.970973451327</v>
      </c>
      <c r="P59" s="29">
        <f>IFERROR((((TP[[#This Row],[Costo Total Pza. UDS]]*TP[[#This Row],[DÓLAR]])*$B$3)+(TP[[#This Row],[Costo Total Pza. UDS]]*TP[[#This Row],[DÓLAR]])),"Sin Datos")</f>
        <v>13206.985486725664</v>
      </c>
      <c r="Q59" s="57">
        <v>1798.25</v>
      </c>
      <c r="R59" s="29">
        <f>IFERROR((((TP[[#This Row],[Costo Real Unitario USD]]*TP[[#This Row],[DÓLAR]])*$B$3)+(TP[[#This Row],[Costo Real Unitario USD]]*TP[[#This Row],[DÓLAR]]))*TP[[#This Row],[Impuesto MXN]]/TP[[#This Row],[Costo Real Pedido MXN]],"Sin Datos")</f>
        <v>381.92920353982305</v>
      </c>
      <c r="S59" s="29">
        <f>IFERROR(TP[[#This Row],[Costo Total Pza. MXN]]+TP[[#This Row],[Impuesto Unitario MXN]],"Sin Datos")</f>
        <v>13588.914690265487</v>
      </c>
      <c r="T59" s="29">
        <f>IFERROR(TP[[#This Row],[Costo Costo]]*50%+TP[[#This Row],[Costo Costo]],"Sin Datos")</f>
        <v>20383.372035398228</v>
      </c>
      <c r="U59" s="14">
        <f>IFERROR(TP[[#This Row],[Precio de Oficina]]-TP[[#This Row],[Costo Costo]],"Sin Datos")</f>
        <v>6794.4573451327415</v>
      </c>
      <c r="V59" s="29">
        <f>IFERROR(TP[[#This Row],[Precio de Oficina]]*14%+TP[[#This Row],[Precio de Oficina]],"Sin Datos")</f>
        <v>23237.044120353981</v>
      </c>
      <c r="W59" s="29">
        <f>IFERROR(TP[[#This Row],[Precio de Oficina]]*20%+TP[[#This Row],[Precio de Oficina]],"Sin Datos")</f>
        <v>24460.046442477873</v>
      </c>
      <c r="X59" s="30">
        <f>IFERROR(TP[[#This Row],[Precio de Wix]]*33.6%+TP[[#This Row],[Precio de Wix]]+100,"Sin Datos")</f>
        <v>32778.622047150435</v>
      </c>
      <c r="Z59" s="8" t="s">
        <v>262</v>
      </c>
    </row>
    <row r="60" spans="1:26" x14ac:dyDescent="0.2">
      <c r="A60" s="36" t="s">
        <v>263</v>
      </c>
      <c r="B60" s="72">
        <v>21</v>
      </c>
      <c r="C60" s="49">
        <v>5</v>
      </c>
      <c r="D60" s="53">
        <v>245</v>
      </c>
      <c r="E60" s="52">
        <v>1225</v>
      </c>
      <c r="F60" s="53">
        <v>1500</v>
      </c>
      <c r="G60" s="28">
        <f>IFERROR(TP[[#This Row],[Costo Real Unitario USD]]*TP[[#This Row],[Costo de Envio Total UDS]]/TP[[#This Row],[Costo Total Pedido USD]], "Sin Datos")</f>
        <v>300</v>
      </c>
      <c r="H60" s="9">
        <f>IFERROR(TP[[#This Row],[Costo Total Pedido USD]]+TP[[#This Row],[Costo de Envio Total UDS]],"Sin Datos")</f>
        <v>2725</v>
      </c>
      <c r="I60" s="52">
        <v>36.75</v>
      </c>
      <c r="J60" s="9">
        <f>IFERROR((TP[[#This Row],[Costo Real Unitario USD]]*TP[[#This Row],[Impuesto UDS]])/TP[[#This Row],[Costo Total Pedido USD]],"Sin Datos")</f>
        <v>7.35</v>
      </c>
      <c r="K60" s="9">
        <f>IFERROR(TP[[#This Row],[Costo Real Unitario USD]]+TP[[#This Row],[Costo de Envio Unitario UDS]]+TP[[#This Row],[Impuesto Unitario UDS]],"Sin Datos")</f>
        <v>552.35</v>
      </c>
      <c r="L60" s="9">
        <f>IFERROR(TP[[#This Row],[Costo Total Pedido USD]]+TP[[#This Row],[Costo de Envio Total UDS]]+TP[[#This Row],[Impuesto UDS]],"Sin Datos")</f>
        <v>2761.75</v>
      </c>
      <c r="M60" s="14">
        <f>IFERROR(((TP[[#This Row],[Costo Total Pedido USD]]*TP[[#This Row],[DÓLAR]])*$B$3)+(TP[[#This Row],[Costo Total Pedido USD]]*TP[[#This Row],[DÓLAR]]),"Sin Datos")</f>
        <v>27011.25</v>
      </c>
      <c r="N6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60896.587500000001</v>
      </c>
      <c r="O60" s="14">
        <f>IFERROR(TP[[#This Row],[Costo Total Pza. MXN]]*TP[[#This Row],[CANTIDAD]],"Sin Datos")</f>
        <v>60896.587500000009</v>
      </c>
      <c r="P60" s="29">
        <f>IFERROR((((TP[[#This Row],[Costo Total Pza. UDS]]*TP[[#This Row],[DÓLAR]])*$B$3)+(TP[[#This Row],[Costo Total Pza. UDS]]*TP[[#This Row],[DÓLAR]])),"Sin Datos")</f>
        <v>12179.317500000001</v>
      </c>
      <c r="Q60" s="57"/>
      <c r="R60" s="29">
        <f>IFERROR((((TP[[#This Row],[Costo Real Unitario USD]]*TP[[#This Row],[DÓLAR]])*$B$3)+(TP[[#This Row],[Costo Real Unitario USD]]*TP[[#This Row],[DÓLAR]]))*TP[[#This Row],[Impuesto MXN]]/TP[[#This Row],[Costo Real Pedido MXN]],"Sin Datos")</f>
        <v>0</v>
      </c>
      <c r="S60" s="29">
        <f>IFERROR(TP[[#This Row],[Costo Total Pza. MXN]]+TP[[#This Row],[Impuesto Unitario MXN]],"Sin Datos")</f>
        <v>12179.317500000001</v>
      </c>
      <c r="T60" s="29">
        <f>IFERROR(TP[[#This Row],[Costo Costo]]*50%+TP[[#This Row],[Costo Costo]],"Sin Datos")</f>
        <v>18268.97625</v>
      </c>
      <c r="U60" s="14">
        <f>IFERROR(TP[[#This Row],[Precio de Oficina]]-TP[[#This Row],[Costo Costo]],"Sin Datos")</f>
        <v>6089.6587499999987</v>
      </c>
      <c r="V60" s="29">
        <f>IFERROR(TP[[#This Row],[Precio de Oficina]]*14%+TP[[#This Row],[Precio de Oficina]],"Sin Datos")</f>
        <v>20826.632924999998</v>
      </c>
      <c r="W60" s="29">
        <f>IFERROR(TP[[#This Row],[Precio de Oficina]]*20%+TP[[#This Row],[Precio de Oficina]],"Sin Datos")</f>
        <v>21922.771499999999</v>
      </c>
      <c r="X60" s="30">
        <f>IFERROR(TP[[#This Row],[Precio de Wix]]*33.6%+TP[[#This Row],[Precio de Wix]]+100,"Sin Datos")</f>
        <v>29388.822723999998</v>
      </c>
      <c r="Z60" s="8" t="s">
        <v>263</v>
      </c>
    </row>
    <row r="61" spans="1:26" x14ac:dyDescent="0.2">
      <c r="A61" s="36" t="s">
        <v>264</v>
      </c>
      <c r="B61" s="49"/>
      <c r="C61" s="49"/>
      <c r="D61" s="53"/>
      <c r="E61" s="52"/>
      <c r="F61" s="53"/>
      <c r="G61" s="28" t="str">
        <f>IFERROR(TP[[#This Row],[Costo Real Unitario USD]]*TP[[#This Row],[Costo de Envio Total UDS]]/TP[[#This Row],[Costo Total Pedido USD]], "Sin Datos")</f>
        <v>Sin Datos</v>
      </c>
      <c r="H61" s="9">
        <f>IFERROR(TP[[#This Row],[Costo Total Pedido USD]]+TP[[#This Row],[Costo de Envio Total UDS]],"Sin Datos")</f>
        <v>0</v>
      </c>
      <c r="I61" s="52"/>
      <c r="J61" s="9" t="str">
        <f>IFERROR((TP[[#This Row],[Costo Real Unitario USD]]*TP[[#This Row],[Impuesto UDS]])/TP[[#This Row],[Costo Total Pedido USD]],"Sin Datos")</f>
        <v>Sin Datos</v>
      </c>
      <c r="K61" s="9" t="str">
        <f>IFERROR(TP[[#This Row],[Costo Real Unitario USD]]+TP[[#This Row],[Costo de Envio Unitario UDS]]+TP[[#This Row],[Impuesto Unitario UDS]],"Sin Datos")</f>
        <v>Sin Datos</v>
      </c>
      <c r="L61" s="9">
        <f>IFERROR(TP[[#This Row],[Costo Total Pedido USD]]+TP[[#This Row],[Costo de Envio Total UDS]]+TP[[#This Row],[Impuesto UDS]],"Sin Datos")</f>
        <v>0</v>
      </c>
      <c r="M61" s="14">
        <f>IFERROR(((TP[[#This Row],[Costo Total Pedido USD]]*TP[[#This Row],[DÓLAR]])*$B$3)+(TP[[#This Row],[Costo Total Pedido USD]]*TP[[#This Row],[DÓLAR]]),"Sin Datos")</f>
        <v>0</v>
      </c>
      <c r="N6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1" s="14" t="str">
        <f>IFERROR(TP[[#This Row],[Costo Total Pza. MXN]]*TP[[#This Row],[CANTIDAD]],"Sin Datos")</f>
        <v>Sin Datos</v>
      </c>
      <c r="P61" s="29" t="str">
        <f>IFERROR((((TP[[#This Row],[Costo Total Pza. UDS]]*TP[[#This Row],[DÓLAR]])*$B$3)+(TP[[#This Row],[Costo Total Pza. UDS]]*TP[[#This Row],[DÓLAR]])),"Sin Datos")</f>
        <v>Sin Datos</v>
      </c>
      <c r="Q61" s="57"/>
      <c r="R6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1" s="29" t="str">
        <f>IFERROR(TP[[#This Row],[Costo Total Pza. MXN]]+TP[[#This Row],[Impuesto Unitario MXN]],"Sin Datos")</f>
        <v>Sin Datos</v>
      </c>
      <c r="T61" s="29" t="str">
        <f>IFERROR(TP[[#This Row],[Costo Costo]]*50%+TP[[#This Row],[Costo Costo]],"Sin Datos")</f>
        <v>Sin Datos</v>
      </c>
      <c r="U61" s="14" t="str">
        <f>IFERROR(TP[[#This Row],[Precio de Oficina]]-TP[[#This Row],[Costo Costo]],"Sin Datos")</f>
        <v>Sin Datos</v>
      </c>
      <c r="V61" s="29" t="str">
        <f>IFERROR(TP[[#This Row],[Precio de Oficina]]*14%+TP[[#This Row],[Precio de Oficina]],"Sin Datos")</f>
        <v>Sin Datos</v>
      </c>
      <c r="W61" s="29" t="str">
        <f>IFERROR(TP[[#This Row],[Precio de Oficina]]*20%+TP[[#This Row],[Precio de Oficina]],"Sin Datos")</f>
        <v>Sin Datos</v>
      </c>
      <c r="X61" s="30" t="str">
        <f>IFERROR(TP[[#This Row],[Precio de Wix]]*33.6%+TP[[#This Row],[Precio de Wix]]+100,"Sin Datos")</f>
        <v>Sin Datos</v>
      </c>
      <c r="Z61" s="8" t="s">
        <v>264</v>
      </c>
    </row>
    <row r="62" spans="1:26" x14ac:dyDescent="0.2">
      <c r="A62" s="36" t="s">
        <v>265</v>
      </c>
      <c r="B62" s="49"/>
      <c r="C62" s="49"/>
      <c r="D62" s="53"/>
      <c r="E62" s="52"/>
      <c r="F62" s="53"/>
      <c r="G62" s="28" t="str">
        <f>IFERROR(TP[[#This Row],[Costo Real Unitario USD]]*TP[[#This Row],[Costo de Envio Total UDS]]/TP[[#This Row],[Costo Total Pedido USD]], "Sin Datos")</f>
        <v>Sin Datos</v>
      </c>
      <c r="H62" s="9">
        <f>IFERROR(TP[[#This Row],[Costo Total Pedido USD]]+TP[[#This Row],[Costo de Envio Total UDS]],"Sin Datos")</f>
        <v>0</v>
      </c>
      <c r="I62" s="52"/>
      <c r="J62" s="9" t="str">
        <f>IFERROR((TP[[#This Row],[Costo Real Unitario USD]]*TP[[#This Row],[Impuesto UDS]])/TP[[#This Row],[Costo Total Pedido USD]],"Sin Datos")</f>
        <v>Sin Datos</v>
      </c>
      <c r="K62" s="9" t="str">
        <f>IFERROR(TP[[#This Row],[Costo Real Unitario USD]]+TP[[#This Row],[Costo de Envio Unitario UDS]]+TP[[#This Row],[Impuesto Unitario UDS]],"Sin Datos")</f>
        <v>Sin Datos</v>
      </c>
      <c r="L62" s="9">
        <f>IFERROR(TP[[#This Row],[Costo Total Pedido USD]]+TP[[#This Row],[Costo de Envio Total UDS]]+TP[[#This Row],[Impuesto UDS]],"Sin Datos")</f>
        <v>0</v>
      </c>
      <c r="M62" s="14">
        <f>IFERROR(((TP[[#This Row],[Costo Total Pedido USD]]*TP[[#This Row],[DÓLAR]])*$B$3)+(TP[[#This Row],[Costo Total Pedido USD]]*TP[[#This Row],[DÓLAR]]),"Sin Datos")</f>
        <v>0</v>
      </c>
      <c r="N6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2" s="14" t="str">
        <f>IFERROR(TP[[#This Row],[Costo Total Pza. MXN]]*TP[[#This Row],[CANTIDAD]],"Sin Datos")</f>
        <v>Sin Datos</v>
      </c>
      <c r="P62" s="29" t="str">
        <f>IFERROR((((TP[[#This Row],[Costo Total Pza. UDS]]*TP[[#This Row],[DÓLAR]])*$B$3)+(TP[[#This Row],[Costo Total Pza. UDS]]*TP[[#This Row],[DÓLAR]])),"Sin Datos")</f>
        <v>Sin Datos</v>
      </c>
      <c r="Q62" s="57"/>
      <c r="R6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2" s="29" t="str">
        <f>IFERROR(TP[[#This Row],[Costo Total Pza. MXN]]+TP[[#This Row],[Impuesto Unitario MXN]],"Sin Datos")</f>
        <v>Sin Datos</v>
      </c>
      <c r="T62" s="29" t="str">
        <f>IFERROR(TP[[#This Row],[Costo Costo]]*50%+TP[[#This Row],[Costo Costo]],"Sin Datos")</f>
        <v>Sin Datos</v>
      </c>
      <c r="U62" s="14" t="str">
        <f>IFERROR(TP[[#This Row],[Precio de Oficina]]-TP[[#This Row],[Costo Costo]],"Sin Datos")</f>
        <v>Sin Datos</v>
      </c>
      <c r="V62" s="29" t="str">
        <f>IFERROR(TP[[#This Row],[Precio de Oficina]]*14%+TP[[#This Row],[Precio de Oficina]],"Sin Datos")</f>
        <v>Sin Datos</v>
      </c>
      <c r="W62" s="29" t="str">
        <f>IFERROR(TP[[#This Row],[Precio de Oficina]]*20%+TP[[#This Row],[Precio de Oficina]],"Sin Datos")</f>
        <v>Sin Datos</v>
      </c>
      <c r="X62" s="30" t="str">
        <f>IFERROR(TP[[#This Row],[Precio de Wix]]*33.6%+TP[[#This Row],[Precio de Wix]]+100,"Sin Datos")</f>
        <v>Sin Datos</v>
      </c>
      <c r="Z62" s="8" t="s">
        <v>265</v>
      </c>
    </row>
    <row r="63" spans="1:26" x14ac:dyDescent="0.2">
      <c r="A63" s="36" t="s">
        <v>266</v>
      </c>
      <c r="B63" s="49"/>
      <c r="C63" s="49"/>
      <c r="D63" s="53"/>
      <c r="E63" s="52"/>
      <c r="F63" s="53"/>
      <c r="G63" s="28" t="str">
        <f>IFERROR(TP[[#This Row],[Costo Real Unitario USD]]*TP[[#This Row],[Costo de Envio Total UDS]]/TP[[#This Row],[Costo Total Pedido USD]], "Sin Datos")</f>
        <v>Sin Datos</v>
      </c>
      <c r="H63" s="9">
        <f>IFERROR(TP[[#This Row],[Costo Total Pedido USD]]+TP[[#This Row],[Costo de Envio Total UDS]],"Sin Datos")</f>
        <v>0</v>
      </c>
      <c r="I63" s="52"/>
      <c r="J63" s="9" t="str">
        <f>IFERROR((TP[[#This Row],[Costo Real Unitario USD]]*TP[[#This Row],[Impuesto UDS]])/TP[[#This Row],[Costo Total Pedido USD]],"Sin Datos")</f>
        <v>Sin Datos</v>
      </c>
      <c r="K63" s="9" t="str">
        <f>IFERROR(TP[[#This Row],[Costo Real Unitario USD]]+TP[[#This Row],[Costo de Envio Unitario UDS]]+TP[[#This Row],[Impuesto Unitario UDS]],"Sin Datos")</f>
        <v>Sin Datos</v>
      </c>
      <c r="L63" s="9">
        <f>IFERROR(TP[[#This Row],[Costo Total Pedido USD]]+TP[[#This Row],[Costo de Envio Total UDS]]+TP[[#This Row],[Impuesto UDS]],"Sin Datos")</f>
        <v>0</v>
      </c>
      <c r="M63" s="14">
        <f>IFERROR(((TP[[#This Row],[Costo Total Pedido USD]]*TP[[#This Row],[DÓLAR]])*$B$3)+(TP[[#This Row],[Costo Total Pedido USD]]*TP[[#This Row],[DÓLAR]]),"Sin Datos")</f>
        <v>0</v>
      </c>
      <c r="N6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3" s="14" t="str">
        <f>IFERROR(TP[[#This Row],[Costo Total Pza. MXN]]*TP[[#This Row],[CANTIDAD]],"Sin Datos")</f>
        <v>Sin Datos</v>
      </c>
      <c r="P63" s="29" t="str">
        <f>IFERROR((((TP[[#This Row],[Costo Total Pza. UDS]]*TP[[#This Row],[DÓLAR]])*$B$3)+(TP[[#This Row],[Costo Total Pza. UDS]]*TP[[#This Row],[DÓLAR]])),"Sin Datos")</f>
        <v>Sin Datos</v>
      </c>
      <c r="Q63" s="57"/>
      <c r="R6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3" s="29" t="str">
        <f>IFERROR(TP[[#This Row],[Costo Total Pza. MXN]]+TP[[#This Row],[Impuesto Unitario MXN]],"Sin Datos")</f>
        <v>Sin Datos</v>
      </c>
      <c r="T63" s="29" t="str">
        <f>IFERROR(TP[[#This Row],[Costo Costo]]*50%+TP[[#This Row],[Costo Costo]],"Sin Datos")</f>
        <v>Sin Datos</v>
      </c>
      <c r="U63" s="14" t="str">
        <f>IFERROR(TP[[#This Row],[Precio de Oficina]]-TP[[#This Row],[Costo Costo]],"Sin Datos")</f>
        <v>Sin Datos</v>
      </c>
      <c r="V63" s="29" t="str">
        <f>IFERROR(TP[[#This Row],[Precio de Oficina]]*14%+TP[[#This Row],[Precio de Oficina]],"Sin Datos")</f>
        <v>Sin Datos</v>
      </c>
      <c r="W63" s="29" t="str">
        <f>IFERROR(TP[[#This Row],[Precio de Oficina]]*20%+TP[[#This Row],[Precio de Oficina]],"Sin Datos")</f>
        <v>Sin Datos</v>
      </c>
      <c r="X63" s="30" t="str">
        <f>IFERROR(TP[[#This Row],[Precio de Wix]]*33.6%+TP[[#This Row],[Precio de Wix]]+100,"Sin Datos")</f>
        <v>Sin Datos</v>
      </c>
      <c r="Z63" s="8" t="s">
        <v>266</v>
      </c>
    </row>
    <row r="64" spans="1:26" x14ac:dyDescent="0.2">
      <c r="A64" s="36" t="s">
        <v>267</v>
      </c>
      <c r="B64" s="49"/>
      <c r="C64" s="49"/>
      <c r="D64" s="53"/>
      <c r="E64" s="52"/>
      <c r="F64" s="53"/>
      <c r="G64" s="28" t="str">
        <f>IFERROR(TP[[#This Row],[Costo Real Unitario USD]]*TP[[#This Row],[Costo de Envio Total UDS]]/TP[[#This Row],[Costo Total Pedido USD]], "Sin Datos")</f>
        <v>Sin Datos</v>
      </c>
      <c r="H64" s="9">
        <f>IFERROR(TP[[#This Row],[Costo Total Pedido USD]]+TP[[#This Row],[Costo de Envio Total UDS]],"Sin Datos")</f>
        <v>0</v>
      </c>
      <c r="I64" s="52"/>
      <c r="J64" s="9" t="str">
        <f>IFERROR((TP[[#This Row],[Costo Real Unitario USD]]*TP[[#This Row],[Impuesto UDS]])/TP[[#This Row],[Costo Total Pedido USD]],"Sin Datos")</f>
        <v>Sin Datos</v>
      </c>
      <c r="K64" s="9" t="str">
        <f>IFERROR(TP[[#This Row],[Costo Real Unitario USD]]+TP[[#This Row],[Costo de Envio Unitario UDS]]+TP[[#This Row],[Impuesto Unitario UDS]],"Sin Datos")</f>
        <v>Sin Datos</v>
      </c>
      <c r="L64" s="9">
        <f>IFERROR(TP[[#This Row],[Costo Total Pedido USD]]+TP[[#This Row],[Costo de Envio Total UDS]]+TP[[#This Row],[Impuesto UDS]],"Sin Datos")</f>
        <v>0</v>
      </c>
      <c r="M64" s="14">
        <f>IFERROR(((TP[[#This Row],[Costo Total Pedido USD]]*TP[[#This Row],[DÓLAR]])*$B$3)+(TP[[#This Row],[Costo Total Pedido USD]]*TP[[#This Row],[DÓLAR]]),"Sin Datos")</f>
        <v>0</v>
      </c>
      <c r="N6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4" s="14" t="str">
        <f>IFERROR(TP[[#This Row],[Costo Total Pza. MXN]]*TP[[#This Row],[CANTIDAD]],"Sin Datos")</f>
        <v>Sin Datos</v>
      </c>
      <c r="P64" s="29" t="str">
        <f>IFERROR((((TP[[#This Row],[Costo Total Pza. UDS]]*TP[[#This Row],[DÓLAR]])*$B$3)+(TP[[#This Row],[Costo Total Pza. UDS]]*TP[[#This Row],[DÓLAR]])),"Sin Datos")</f>
        <v>Sin Datos</v>
      </c>
      <c r="Q64" s="57"/>
      <c r="R6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4" s="29" t="str">
        <f>IFERROR(TP[[#This Row],[Costo Total Pza. MXN]]+TP[[#This Row],[Impuesto Unitario MXN]],"Sin Datos")</f>
        <v>Sin Datos</v>
      </c>
      <c r="T64" s="29" t="str">
        <f>IFERROR(TP[[#This Row],[Costo Costo]]*50%+TP[[#This Row],[Costo Costo]],"Sin Datos")</f>
        <v>Sin Datos</v>
      </c>
      <c r="U64" s="14" t="str">
        <f>IFERROR(TP[[#This Row],[Precio de Oficina]]-TP[[#This Row],[Costo Costo]],"Sin Datos")</f>
        <v>Sin Datos</v>
      </c>
      <c r="V64" s="29" t="str">
        <f>IFERROR(TP[[#This Row],[Precio de Oficina]]*14%+TP[[#This Row],[Precio de Oficina]],"Sin Datos")</f>
        <v>Sin Datos</v>
      </c>
      <c r="W64" s="29" t="str">
        <f>IFERROR(TP[[#This Row],[Precio de Oficina]]*20%+TP[[#This Row],[Precio de Oficina]],"Sin Datos")</f>
        <v>Sin Datos</v>
      </c>
      <c r="X64" s="30" t="str">
        <f>IFERROR(TP[[#This Row],[Precio de Wix]]*33.6%+TP[[#This Row],[Precio de Wix]]+100,"Sin Datos")</f>
        <v>Sin Datos</v>
      </c>
      <c r="Z64" s="8" t="s">
        <v>267</v>
      </c>
    </row>
    <row r="65" spans="1:26" x14ac:dyDescent="0.2">
      <c r="A65" s="36" t="s">
        <v>268</v>
      </c>
      <c r="B65" s="49"/>
      <c r="C65" s="49"/>
      <c r="D65" s="53"/>
      <c r="E65" s="52"/>
      <c r="F65" s="53"/>
      <c r="G65" s="28" t="str">
        <f>IFERROR(TP[[#This Row],[Costo Real Unitario USD]]*TP[[#This Row],[Costo de Envio Total UDS]]/TP[[#This Row],[Costo Total Pedido USD]], "Sin Datos")</f>
        <v>Sin Datos</v>
      </c>
      <c r="H65" s="9">
        <f>IFERROR(TP[[#This Row],[Costo Total Pedido USD]]+TP[[#This Row],[Costo de Envio Total UDS]],"Sin Datos")</f>
        <v>0</v>
      </c>
      <c r="I65" s="52"/>
      <c r="J65" s="9" t="str">
        <f>IFERROR((TP[[#This Row],[Costo Real Unitario USD]]*TP[[#This Row],[Impuesto UDS]])/TP[[#This Row],[Costo Total Pedido USD]],"Sin Datos")</f>
        <v>Sin Datos</v>
      </c>
      <c r="K65" s="9" t="str">
        <f>IFERROR(TP[[#This Row],[Costo Real Unitario USD]]+TP[[#This Row],[Costo de Envio Unitario UDS]]+TP[[#This Row],[Impuesto Unitario UDS]],"Sin Datos")</f>
        <v>Sin Datos</v>
      </c>
      <c r="L65" s="9">
        <f>IFERROR(TP[[#This Row],[Costo Total Pedido USD]]+TP[[#This Row],[Costo de Envio Total UDS]]+TP[[#This Row],[Impuesto UDS]],"Sin Datos")</f>
        <v>0</v>
      </c>
      <c r="M65" s="14">
        <f>IFERROR(((TP[[#This Row],[Costo Total Pedido USD]]*TP[[#This Row],[DÓLAR]])*$B$3)+(TP[[#This Row],[Costo Total Pedido USD]]*TP[[#This Row],[DÓLAR]]),"Sin Datos")</f>
        <v>0</v>
      </c>
      <c r="N6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5" s="14" t="str">
        <f>IFERROR(TP[[#This Row],[Costo Total Pza. MXN]]*TP[[#This Row],[CANTIDAD]],"Sin Datos")</f>
        <v>Sin Datos</v>
      </c>
      <c r="P65" s="29" t="str">
        <f>IFERROR((((TP[[#This Row],[Costo Total Pza. UDS]]*TP[[#This Row],[DÓLAR]])*$B$3)+(TP[[#This Row],[Costo Total Pza. UDS]]*TP[[#This Row],[DÓLAR]])),"Sin Datos")</f>
        <v>Sin Datos</v>
      </c>
      <c r="Q65" s="57"/>
      <c r="R6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5" s="29" t="str">
        <f>IFERROR(TP[[#This Row],[Costo Total Pza. MXN]]+TP[[#This Row],[Impuesto Unitario MXN]],"Sin Datos")</f>
        <v>Sin Datos</v>
      </c>
      <c r="T65" s="29" t="str">
        <f>IFERROR(TP[[#This Row],[Costo Costo]]*50%+TP[[#This Row],[Costo Costo]],"Sin Datos")</f>
        <v>Sin Datos</v>
      </c>
      <c r="U65" s="14" t="str">
        <f>IFERROR(TP[[#This Row],[Precio de Oficina]]-TP[[#This Row],[Costo Costo]],"Sin Datos")</f>
        <v>Sin Datos</v>
      </c>
      <c r="V65" s="29" t="str">
        <f>IFERROR(TP[[#This Row],[Precio de Oficina]]*14%+TP[[#This Row],[Precio de Oficina]],"Sin Datos")</f>
        <v>Sin Datos</v>
      </c>
      <c r="W65" s="29" t="str">
        <f>IFERROR(TP[[#This Row],[Precio de Oficina]]*20%+TP[[#This Row],[Precio de Oficina]],"Sin Datos")</f>
        <v>Sin Datos</v>
      </c>
      <c r="X65" s="30" t="str">
        <f>IFERROR(TP[[#This Row],[Precio de Wix]]*33.6%+TP[[#This Row],[Precio de Wix]]+100,"Sin Datos")</f>
        <v>Sin Datos</v>
      </c>
      <c r="Z65" s="8" t="s">
        <v>268</v>
      </c>
    </row>
    <row r="66" spans="1:26" x14ac:dyDescent="0.2">
      <c r="A66" s="36" t="s">
        <v>269</v>
      </c>
      <c r="B66" s="49"/>
      <c r="C66" s="49"/>
      <c r="D66" s="53"/>
      <c r="E66" s="52"/>
      <c r="F66" s="53"/>
      <c r="G66" s="28" t="str">
        <f>IFERROR(TP[[#This Row],[Costo Real Unitario USD]]*TP[[#This Row],[Costo de Envio Total UDS]]/TP[[#This Row],[Costo Total Pedido USD]], "Sin Datos")</f>
        <v>Sin Datos</v>
      </c>
      <c r="H66" s="9">
        <f>IFERROR(TP[[#This Row],[Costo Total Pedido USD]]+TP[[#This Row],[Costo de Envio Total UDS]],"Sin Datos")</f>
        <v>0</v>
      </c>
      <c r="I66" s="52"/>
      <c r="J66" s="9" t="str">
        <f>IFERROR((TP[[#This Row],[Costo Real Unitario USD]]*TP[[#This Row],[Impuesto UDS]])/TP[[#This Row],[Costo Total Pedido USD]],"Sin Datos")</f>
        <v>Sin Datos</v>
      </c>
      <c r="K66" s="9" t="str">
        <f>IFERROR(TP[[#This Row],[Costo Real Unitario USD]]+TP[[#This Row],[Costo de Envio Unitario UDS]]+TP[[#This Row],[Impuesto Unitario UDS]],"Sin Datos")</f>
        <v>Sin Datos</v>
      </c>
      <c r="L66" s="9">
        <f>IFERROR(TP[[#This Row],[Costo Total Pedido USD]]+TP[[#This Row],[Costo de Envio Total UDS]]+TP[[#This Row],[Impuesto UDS]],"Sin Datos")</f>
        <v>0</v>
      </c>
      <c r="M66" s="14">
        <f>IFERROR(((TP[[#This Row],[Costo Total Pedido USD]]*TP[[#This Row],[DÓLAR]])*$B$3)+(TP[[#This Row],[Costo Total Pedido USD]]*TP[[#This Row],[DÓLAR]]),"Sin Datos")</f>
        <v>0</v>
      </c>
      <c r="N6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6" s="14" t="str">
        <f>IFERROR(TP[[#This Row],[Costo Total Pza. MXN]]*TP[[#This Row],[CANTIDAD]],"Sin Datos")</f>
        <v>Sin Datos</v>
      </c>
      <c r="P66" s="29" t="str">
        <f>IFERROR((((TP[[#This Row],[Costo Total Pza. UDS]]*TP[[#This Row],[DÓLAR]])*$B$3)+(TP[[#This Row],[Costo Total Pza. UDS]]*TP[[#This Row],[DÓLAR]])),"Sin Datos")</f>
        <v>Sin Datos</v>
      </c>
      <c r="Q66" s="57"/>
      <c r="R6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6" s="29" t="str">
        <f>IFERROR(TP[[#This Row],[Costo Total Pza. MXN]]+TP[[#This Row],[Impuesto Unitario MXN]],"Sin Datos")</f>
        <v>Sin Datos</v>
      </c>
      <c r="T66" s="29" t="str">
        <f>IFERROR(TP[[#This Row],[Costo Costo]]*50%+TP[[#This Row],[Costo Costo]],"Sin Datos")</f>
        <v>Sin Datos</v>
      </c>
      <c r="U66" s="14" t="str">
        <f>IFERROR(TP[[#This Row],[Precio de Oficina]]-TP[[#This Row],[Costo Costo]],"Sin Datos")</f>
        <v>Sin Datos</v>
      </c>
      <c r="V66" s="29" t="str">
        <f>IFERROR(TP[[#This Row],[Precio de Oficina]]*14%+TP[[#This Row],[Precio de Oficina]],"Sin Datos")</f>
        <v>Sin Datos</v>
      </c>
      <c r="W66" s="29" t="str">
        <f>IFERROR(TP[[#This Row],[Precio de Oficina]]*20%+TP[[#This Row],[Precio de Oficina]],"Sin Datos")</f>
        <v>Sin Datos</v>
      </c>
      <c r="X66" s="30" t="str">
        <f>IFERROR(TP[[#This Row],[Precio de Wix]]*33.6%+TP[[#This Row],[Precio de Wix]]+100,"Sin Datos")</f>
        <v>Sin Datos</v>
      </c>
      <c r="Z66" s="8" t="s">
        <v>269</v>
      </c>
    </row>
    <row r="67" spans="1:26" x14ac:dyDescent="0.2">
      <c r="A67" s="36" t="s">
        <v>270</v>
      </c>
      <c r="B67" s="49"/>
      <c r="C67" s="49"/>
      <c r="D67" s="53"/>
      <c r="E67" s="52"/>
      <c r="F67" s="53"/>
      <c r="G67" s="28" t="str">
        <f>IFERROR(TP[[#This Row],[Costo Real Unitario USD]]*TP[[#This Row],[Costo de Envio Total UDS]]/TP[[#This Row],[Costo Total Pedido USD]], "Sin Datos")</f>
        <v>Sin Datos</v>
      </c>
      <c r="H67" s="9">
        <f>IFERROR(TP[[#This Row],[Costo Total Pedido USD]]+TP[[#This Row],[Costo de Envio Total UDS]],"Sin Datos")</f>
        <v>0</v>
      </c>
      <c r="I67" s="52"/>
      <c r="J67" s="9" t="str">
        <f>IFERROR((TP[[#This Row],[Costo Real Unitario USD]]*TP[[#This Row],[Impuesto UDS]])/TP[[#This Row],[Costo Total Pedido USD]],"Sin Datos")</f>
        <v>Sin Datos</v>
      </c>
      <c r="K67" s="9" t="str">
        <f>IFERROR(TP[[#This Row],[Costo Real Unitario USD]]+TP[[#This Row],[Costo de Envio Unitario UDS]]+TP[[#This Row],[Impuesto Unitario UDS]],"Sin Datos")</f>
        <v>Sin Datos</v>
      </c>
      <c r="L67" s="9">
        <f>IFERROR(TP[[#This Row],[Costo Total Pedido USD]]+TP[[#This Row],[Costo de Envio Total UDS]]+TP[[#This Row],[Impuesto UDS]],"Sin Datos")</f>
        <v>0</v>
      </c>
      <c r="M67" s="14">
        <f>IFERROR(((TP[[#This Row],[Costo Total Pedido USD]]*TP[[#This Row],[DÓLAR]])*$B$3)+(TP[[#This Row],[Costo Total Pedido USD]]*TP[[#This Row],[DÓLAR]]),"Sin Datos")</f>
        <v>0</v>
      </c>
      <c r="N6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7" s="14" t="str">
        <f>IFERROR(TP[[#This Row],[Costo Total Pza. MXN]]*TP[[#This Row],[CANTIDAD]],"Sin Datos")</f>
        <v>Sin Datos</v>
      </c>
      <c r="P67" s="29" t="str">
        <f>IFERROR((((TP[[#This Row],[Costo Total Pza. UDS]]*TP[[#This Row],[DÓLAR]])*$B$3)+(TP[[#This Row],[Costo Total Pza. UDS]]*TP[[#This Row],[DÓLAR]])),"Sin Datos")</f>
        <v>Sin Datos</v>
      </c>
      <c r="Q67" s="57"/>
      <c r="R6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7" s="29" t="str">
        <f>IFERROR(TP[[#This Row],[Costo Total Pza. MXN]]+TP[[#This Row],[Impuesto Unitario MXN]],"Sin Datos")</f>
        <v>Sin Datos</v>
      </c>
      <c r="T67" s="29" t="str">
        <f>IFERROR(TP[[#This Row],[Costo Costo]]*50%+TP[[#This Row],[Costo Costo]],"Sin Datos")</f>
        <v>Sin Datos</v>
      </c>
      <c r="U67" s="14" t="str">
        <f>IFERROR(TP[[#This Row],[Precio de Oficina]]-TP[[#This Row],[Costo Costo]],"Sin Datos")</f>
        <v>Sin Datos</v>
      </c>
      <c r="V67" s="29" t="str">
        <f>IFERROR(TP[[#This Row],[Precio de Oficina]]*14%+TP[[#This Row],[Precio de Oficina]],"Sin Datos")</f>
        <v>Sin Datos</v>
      </c>
      <c r="W67" s="29" t="str">
        <f>IFERROR(TP[[#This Row],[Precio de Oficina]]*20%+TP[[#This Row],[Precio de Oficina]],"Sin Datos")</f>
        <v>Sin Datos</v>
      </c>
      <c r="X67" s="30" t="str">
        <f>IFERROR(TP[[#This Row],[Precio de Wix]]*33.6%+TP[[#This Row],[Precio de Wix]]+100,"Sin Datos")</f>
        <v>Sin Datos</v>
      </c>
      <c r="Z67" s="8" t="s">
        <v>270</v>
      </c>
    </row>
    <row r="68" spans="1:26" x14ac:dyDescent="0.2">
      <c r="A68" s="36" t="s">
        <v>271</v>
      </c>
      <c r="B68" s="49"/>
      <c r="C68" s="49"/>
      <c r="D68" s="53"/>
      <c r="E68" s="52"/>
      <c r="F68" s="53"/>
      <c r="G68" s="28" t="str">
        <f>IFERROR(TP[[#This Row],[Costo Real Unitario USD]]*TP[[#This Row],[Costo de Envio Total UDS]]/TP[[#This Row],[Costo Total Pedido USD]], "Sin Datos")</f>
        <v>Sin Datos</v>
      </c>
      <c r="H68" s="9">
        <f>IFERROR(TP[[#This Row],[Costo Total Pedido USD]]+TP[[#This Row],[Costo de Envio Total UDS]],"Sin Datos")</f>
        <v>0</v>
      </c>
      <c r="I68" s="52"/>
      <c r="J68" s="9" t="str">
        <f>IFERROR((TP[[#This Row],[Costo Real Unitario USD]]*TP[[#This Row],[Impuesto UDS]])/TP[[#This Row],[Costo Total Pedido USD]],"Sin Datos")</f>
        <v>Sin Datos</v>
      </c>
      <c r="K68" s="9" t="str">
        <f>IFERROR(TP[[#This Row],[Costo Real Unitario USD]]+TP[[#This Row],[Costo de Envio Unitario UDS]]+TP[[#This Row],[Impuesto Unitario UDS]],"Sin Datos")</f>
        <v>Sin Datos</v>
      </c>
      <c r="L68" s="9">
        <f>IFERROR(TP[[#This Row],[Costo Total Pedido USD]]+TP[[#This Row],[Costo de Envio Total UDS]]+TP[[#This Row],[Impuesto UDS]],"Sin Datos")</f>
        <v>0</v>
      </c>
      <c r="M68" s="14">
        <f>IFERROR(((TP[[#This Row],[Costo Total Pedido USD]]*TP[[#This Row],[DÓLAR]])*$B$3)+(TP[[#This Row],[Costo Total Pedido USD]]*TP[[#This Row],[DÓLAR]]),"Sin Datos")</f>
        <v>0</v>
      </c>
      <c r="N6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8" s="14" t="str">
        <f>IFERROR(TP[[#This Row],[Costo Total Pza. MXN]]*TP[[#This Row],[CANTIDAD]],"Sin Datos")</f>
        <v>Sin Datos</v>
      </c>
      <c r="P68" s="29" t="str">
        <f>IFERROR((((TP[[#This Row],[Costo Total Pza. UDS]]*TP[[#This Row],[DÓLAR]])*$B$3)+(TP[[#This Row],[Costo Total Pza. UDS]]*TP[[#This Row],[DÓLAR]])),"Sin Datos")</f>
        <v>Sin Datos</v>
      </c>
      <c r="Q68" s="57"/>
      <c r="R6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8" s="29" t="str">
        <f>IFERROR(TP[[#This Row],[Costo Total Pza. MXN]]+TP[[#This Row],[Impuesto Unitario MXN]],"Sin Datos")</f>
        <v>Sin Datos</v>
      </c>
      <c r="T68" s="29" t="str">
        <f>IFERROR(TP[[#This Row],[Costo Costo]]*50%+TP[[#This Row],[Costo Costo]],"Sin Datos")</f>
        <v>Sin Datos</v>
      </c>
      <c r="U68" s="14" t="str">
        <f>IFERROR(TP[[#This Row],[Precio de Oficina]]-TP[[#This Row],[Costo Costo]],"Sin Datos")</f>
        <v>Sin Datos</v>
      </c>
      <c r="V68" s="29" t="str">
        <f>IFERROR(TP[[#This Row],[Precio de Oficina]]*14%+TP[[#This Row],[Precio de Oficina]],"Sin Datos")</f>
        <v>Sin Datos</v>
      </c>
      <c r="W68" s="29" t="str">
        <f>IFERROR(TP[[#This Row],[Precio de Oficina]]*20%+TP[[#This Row],[Precio de Oficina]],"Sin Datos")</f>
        <v>Sin Datos</v>
      </c>
      <c r="X68" s="30" t="str">
        <f>IFERROR(TP[[#This Row],[Precio de Wix]]*33.6%+TP[[#This Row],[Precio de Wix]]+100,"Sin Datos")</f>
        <v>Sin Datos</v>
      </c>
      <c r="Z68" s="8" t="s">
        <v>271</v>
      </c>
    </row>
    <row r="69" spans="1:26" x14ac:dyDescent="0.2">
      <c r="A69" s="36" t="s">
        <v>272</v>
      </c>
      <c r="B69" s="49"/>
      <c r="C69" s="49"/>
      <c r="D69" s="53"/>
      <c r="E69" s="52"/>
      <c r="F69" s="53"/>
      <c r="G69" s="28" t="str">
        <f>IFERROR(TP[[#This Row],[Costo Real Unitario USD]]*TP[[#This Row],[Costo de Envio Total UDS]]/TP[[#This Row],[Costo Total Pedido USD]], "Sin Datos")</f>
        <v>Sin Datos</v>
      </c>
      <c r="H69" s="9">
        <f>IFERROR(TP[[#This Row],[Costo Total Pedido USD]]+TP[[#This Row],[Costo de Envio Total UDS]],"Sin Datos")</f>
        <v>0</v>
      </c>
      <c r="I69" s="52"/>
      <c r="J69" s="9" t="str">
        <f>IFERROR((TP[[#This Row],[Costo Real Unitario USD]]*TP[[#This Row],[Impuesto UDS]])/TP[[#This Row],[Costo Total Pedido USD]],"Sin Datos")</f>
        <v>Sin Datos</v>
      </c>
      <c r="K69" s="9" t="str">
        <f>IFERROR(TP[[#This Row],[Costo Real Unitario USD]]+TP[[#This Row],[Costo de Envio Unitario UDS]]+TP[[#This Row],[Impuesto Unitario UDS]],"Sin Datos")</f>
        <v>Sin Datos</v>
      </c>
      <c r="L69" s="9">
        <f>IFERROR(TP[[#This Row],[Costo Total Pedido USD]]+TP[[#This Row],[Costo de Envio Total UDS]]+TP[[#This Row],[Impuesto UDS]],"Sin Datos")</f>
        <v>0</v>
      </c>
      <c r="M69" s="14">
        <f>IFERROR(((TP[[#This Row],[Costo Total Pedido USD]]*TP[[#This Row],[DÓLAR]])*$B$3)+(TP[[#This Row],[Costo Total Pedido USD]]*TP[[#This Row],[DÓLAR]]),"Sin Datos")</f>
        <v>0</v>
      </c>
      <c r="N6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69" s="14" t="str">
        <f>IFERROR(TP[[#This Row],[Costo Total Pza. MXN]]*TP[[#This Row],[CANTIDAD]],"Sin Datos")</f>
        <v>Sin Datos</v>
      </c>
      <c r="P69" s="29" t="str">
        <f>IFERROR((((TP[[#This Row],[Costo Total Pza. UDS]]*TP[[#This Row],[DÓLAR]])*$B$3)+(TP[[#This Row],[Costo Total Pza. UDS]]*TP[[#This Row],[DÓLAR]])),"Sin Datos")</f>
        <v>Sin Datos</v>
      </c>
      <c r="Q69" s="57"/>
      <c r="R6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69" s="29" t="str">
        <f>IFERROR(TP[[#This Row],[Costo Total Pza. MXN]]+TP[[#This Row],[Impuesto Unitario MXN]],"Sin Datos")</f>
        <v>Sin Datos</v>
      </c>
      <c r="T69" s="29" t="str">
        <f>IFERROR(TP[[#This Row],[Costo Costo]]*50%+TP[[#This Row],[Costo Costo]],"Sin Datos")</f>
        <v>Sin Datos</v>
      </c>
      <c r="U69" s="14" t="str">
        <f>IFERROR(TP[[#This Row],[Precio de Oficina]]-TP[[#This Row],[Costo Costo]],"Sin Datos")</f>
        <v>Sin Datos</v>
      </c>
      <c r="V69" s="29" t="str">
        <f>IFERROR(TP[[#This Row],[Precio de Oficina]]*14%+TP[[#This Row],[Precio de Oficina]],"Sin Datos")</f>
        <v>Sin Datos</v>
      </c>
      <c r="W69" s="29" t="str">
        <f>IFERROR(TP[[#This Row],[Precio de Oficina]]*20%+TP[[#This Row],[Precio de Oficina]],"Sin Datos")</f>
        <v>Sin Datos</v>
      </c>
      <c r="X69" s="30" t="str">
        <f>IFERROR(TP[[#This Row],[Precio de Wix]]*33.6%+TP[[#This Row],[Precio de Wix]]+100,"Sin Datos")</f>
        <v>Sin Datos</v>
      </c>
      <c r="Z69" s="8" t="s">
        <v>272</v>
      </c>
    </row>
    <row r="70" spans="1:26" x14ac:dyDescent="0.2">
      <c r="A70" s="36" t="s">
        <v>273</v>
      </c>
      <c r="B70" s="49"/>
      <c r="C70" s="49"/>
      <c r="D70" s="53"/>
      <c r="E70" s="52"/>
      <c r="F70" s="53"/>
      <c r="G70" s="28" t="str">
        <f>IFERROR(TP[[#This Row],[Costo Real Unitario USD]]*TP[[#This Row],[Costo de Envio Total UDS]]/TP[[#This Row],[Costo Total Pedido USD]], "Sin Datos")</f>
        <v>Sin Datos</v>
      </c>
      <c r="H70" s="9">
        <f>IFERROR(TP[[#This Row],[Costo Total Pedido USD]]+TP[[#This Row],[Costo de Envio Total UDS]],"Sin Datos")</f>
        <v>0</v>
      </c>
      <c r="I70" s="52"/>
      <c r="J70" s="9" t="str">
        <f>IFERROR((TP[[#This Row],[Costo Real Unitario USD]]*TP[[#This Row],[Impuesto UDS]])/TP[[#This Row],[Costo Total Pedido USD]],"Sin Datos")</f>
        <v>Sin Datos</v>
      </c>
      <c r="K70" s="9" t="str">
        <f>IFERROR(TP[[#This Row],[Costo Real Unitario USD]]+TP[[#This Row],[Costo de Envio Unitario UDS]]+TP[[#This Row],[Impuesto Unitario UDS]],"Sin Datos")</f>
        <v>Sin Datos</v>
      </c>
      <c r="L70" s="9">
        <f>IFERROR(TP[[#This Row],[Costo Total Pedido USD]]+TP[[#This Row],[Costo de Envio Total UDS]]+TP[[#This Row],[Impuesto UDS]],"Sin Datos")</f>
        <v>0</v>
      </c>
      <c r="M70" s="14">
        <f>IFERROR(((TP[[#This Row],[Costo Total Pedido USD]]*TP[[#This Row],[DÓLAR]])*$B$3)+(TP[[#This Row],[Costo Total Pedido USD]]*TP[[#This Row],[DÓLAR]]),"Sin Datos")</f>
        <v>0</v>
      </c>
      <c r="N7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0" s="14" t="str">
        <f>IFERROR(TP[[#This Row],[Costo Total Pza. MXN]]*TP[[#This Row],[CANTIDAD]],"Sin Datos")</f>
        <v>Sin Datos</v>
      </c>
      <c r="P70" s="29" t="str">
        <f>IFERROR((((TP[[#This Row],[Costo Total Pza. UDS]]*TP[[#This Row],[DÓLAR]])*$B$3)+(TP[[#This Row],[Costo Total Pza. UDS]]*TP[[#This Row],[DÓLAR]])),"Sin Datos")</f>
        <v>Sin Datos</v>
      </c>
      <c r="Q70" s="57"/>
      <c r="R7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0" s="29" t="str">
        <f>IFERROR(TP[[#This Row],[Costo Total Pza. MXN]]+TP[[#This Row],[Impuesto Unitario MXN]],"Sin Datos")</f>
        <v>Sin Datos</v>
      </c>
      <c r="T70" s="29" t="str">
        <f>IFERROR(TP[[#This Row],[Costo Costo]]*50%+TP[[#This Row],[Costo Costo]],"Sin Datos")</f>
        <v>Sin Datos</v>
      </c>
      <c r="U70" s="14" t="str">
        <f>IFERROR(TP[[#This Row],[Precio de Oficina]]-TP[[#This Row],[Costo Costo]],"Sin Datos")</f>
        <v>Sin Datos</v>
      </c>
      <c r="V70" s="29" t="str">
        <f>IFERROR(TP[[#This Row],[Precio de Oficina]]*14%+TP[[#This Row],[Precio de Oficina]],"Sin Datos")</f>
        <v>Sin Datos</v>
      </c>
      <c r="W70" s="29" t="str">
        <f>IFERROR(TP[[#This Row],[Precio de Oficina]]*20%+TP[[#This Row],[Precio de Oficina]],"Sin Datos")</f>
        <v>Sin Datos</v>
      </c>
      <c r="X70" s="30" t="str">
        <f>IFERROR(TP[[#This Row],[Precio de Wix]]*33.6%+TP[[#This Row],[Precio de Wix]]+100,"Sin Datos")</f>
        <v>Sin Datos</v>
      </c>
      <c r="Z70" s="8" t="s">
        <v>273</v>
      </c>
    </row>
    <row r="71" spans="1:26" x14ac:dyDescent="0.2">
      <c r="A71" s="36" t="s">
        <v>274</v>
      </c>
      <c r="B71" s="49"/>
      <c r="C71" s="49"/>
      <c r="D71" s="53"/>
      <c r="E71" s="52"/>
      <c r="F71" s="53"/>
      <c r="G71" s="28" t="str">
        <f>IFERROR(TP[[#This Row],[Costo Real Unitario USD]]*TP[[#This Row],[Costo de Envio Total UDS]]/TP[[#This Row],[Costo Total Pedido USD]], "Sin Datos")</f>
        <v>Sin Datos</v>
      </c>
      <c r="H71" s="9">
        <f>IFERROR(TP[[#This Row],[Costo Total Pedido USD]]+TP[[#This Row],[Costo de Envio Total UDS]],"Sin Datos")</f>
        <v>0</v>
      </c>
      <c r="I71" s="52"/>
      <c r="J71" s="9" t="str">
        <f>IFERROR((TP[[#This Row],[Costo Real Unitario USD]]*TP[[#This Row],[Impuesto UDS]])/TP[[#This Row],[Costo Total Pedido USD]],"Sin Datos")</f>
        <v>Sin Datos</v>
      </c>
      <c r="K71" s="9" t="str">
        <f>IFERROR(TP[[#This Row],[Costo Real Unitario USD]]+TP[[#This Row],[Costo de Envio Unitario UDS]]+TP[[#This Row],[Impuesto Unitario UDS]],"Sin Datos")</f>
        <v>Sin Datos</v>
      </c>
      <c r="L71" s="9">
        <f>IFERROR(TP[[#This Row],[Costo Total Pedido USD]]+TP[[#This Row],[Costo de Envio Total UDS]]+TP[[#This Row],[Impuesto UDS]],"Sin Datos")</f>
        <v>0</v>
      </c>
      <c r="M71" s="14">
        <f>IFERROR(((TP[[#This Row],[Costo Total Pedido USD]]*TP[[#This Row],[DÓLAR]])*$B$3)+(TP[[#This Row],[Costo Total Pedido USD]]*TP[[#This Row],[DÓLAR]]),"Sin Datos")</f>
        <v>0</v>
      </c>
      <c r="N7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1" s="14" t="str">
        <f>IFERROR(TP[[#This Row],[Costo Total Pza. MXN]]*TP[[#This Row],[CANTIDAD]],"Sin Datos")</f>
        <v>Sin Datos</v>
      </c>
      <c r="P71" s="29" t="str">
        <f>IFERROR((((TP[[#This Row],[Costo Total Pza. UDS]]*TP[[#This Row],[DÓLAR]])*$B$3)+(TP[[#This Row],[Costo Total Pza. UDS]]*TP[[#This Row],[DÓLAR]])),"Sin Datos")</f>
        <v>Sin Datos</v>
      </c>
      <c r="Q71" s="57"/>
      <c r="R7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1" s="29" t="str">
        <f>IFERROR(TP[[#This Row],[Costo Total Pza. MXN]]+TP[[#This Row],[Impuesto Unitario MXN]],"Sin Datos")</f>
        <v>Sin Datos</v>
      </c>
      <c r="T71" s="29" t="str">
        <f>IFERROR(TP[[#This Row],[Costo Costo]]*50%+TP[[#This Row],[Costo Costo]],"Sin Datos")</f>
        <v>Sin Datos</v>
      </c>
      <c r="U71" s="14" t="str">
        <f>IFERROR(TP[[#This Row],[Precio de Oficina]]-TP[[#This Row],[Costo Costo]],"Sin Datos")</f>
        <v>Sin Datos</v>
      </c>
      <c r="V71" s="29" t="str">
        <f>IFERROR(TP[[#This Row],[Precio de Oficina]]*14%+TP[[#This Row],[Precio de Oficina]],"Sin Datos")</f>
        <v>Sin Datos</v>
      </c>
      <c r="W71" s="29" t="str">
        <f>IFERROR(TP[[#This Row],[Precio de Oficina]]*20%+TP[[#This Row],[Precio de Oficina]],"Sin Datos")</f>
        <v>Sin Datos</v>
      </c>
      <c r="X71" s="30" t="str">
        <f>IFERROR(TP[[#This Row],[Precio de Wix]]*33.6%+TP[[#This Row],[Precio de Wix]]+100,"Sin Datos")</f>
        <v>Sin Datos</v>
      </c>
      <c r="Z71" s="8" t="s">
        <v>274</v>
      </c>
    </row>
    <row r="72" spans="1:26" x14ac:dyDescent="0.2">
      <c r="A72" s="36" t="s">
        <v>275</v>
      </c>
      <c r="B72" s="49"/>
      <c r="C72" s="49"/>
      <c r="D72" s="53"/>
      <c r="E72" s="52"/>
      <c r="F72" s="53"/>
      <c r="G72" s="28" t="str">
        <f>IFERROR(TP[[#This Row],[Costo Real Unitario USD]]*TP[[#This Row],[Costo de Envio Total UDS]]/TP[[#This Row],[Costo Total Pedido USD]], "Sin Datos")</f>
        <v>Sin Datos</v>
      </c>
      <c r="H72" s="9">
        <f>IFERROR(TP[[#This Row],[Costo Total Pedido USD]]+TP[[#This Row],[Costo de Envio Total UDS]],"Sin Datos")</f>
        <v>0</v>
      </c>
      <c r="I72" s="52"/>
      <c r="J72" s="9" t="str">
        <f>IFERROR((TP[[#This Row],[Costo Real Unitario USD]]*TP[[#This Row],[Impuesto UDS]])/TP[[#This Row],[Costo Total Pedido USD]],"Sin Datos")</f>
        <v>Sin Datos</v>
      </c>
      <c r="K72" s="9" t="str">
        <f>IFERROR(TP[[#This Row],[Costo Real Unitario USD]]+TP[[#This Row],[Costo de Envio Unitario UDS]]+TP[[#This Row],[Impuesto Unitario UDS]],"Sin Datos")</f>
        <v>Sin Datos</v>
      </c>
      <c r="L72" s="9">
        <f>IFERROR(TP[[#This Row],[Costo Total Pedido USD]]+TP[[#This Row],[Costo de Envio Total UDS]]+TP[[#This Row],[Impuesto UDS]],"Sin Datos")</f>
        <v>0</v>
      </c>
      <c r="M72" s="14">
        <f>IFERROR(((TP[[#This Row],[Costo Total Pedido USD]]*TP[[#This Row],[DÓLAR]])*$B$3)+(TP[[#This Row],[Costo Total Pedido USD]]*TP[[#This Row],[DÓLAR]]),"Sin Datos")</f>
        <v>0</v>
      </c>
      <c r="N7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2" s="14" t="str">
        <f>IFERROR(TP[[#This Row],[Costo Total Pza. MXN]]*TP[[#This Row],[CANTIDAD]],"Sin Datos")</f>
        <v>Sin Datos</v>
      </c>
      <c r="P72" s="29" t="str">
        <f>IFERROR((((TP[[#This Row],[Costo Total Pza. UDS]]*TP[[#This Row],[DÓLAR]])*$B$3)+(TP[[#This Row],[Costo Total Pza. UDS]]*TP[[#This Row],[DÓLAR]])),"Sin Datos")</f>
        <v>Sin Datos</v>
      </c>
      <c r="Q72" s="57"/>
      <c r="R7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2" s="29" t="str">
        <f>IFERROR(TP[[#This Row],[Costo Total Pza. MXN]]+TP[[#This Row],[Impuesto Unitario MXN]],"Sin Datos")</f>
        <v>Sin Datos</v>
      </c>
      <c r="T72" s="29" t="str">
        <f>IFERROR(TP[[#This Row],[Costo Costo]]*50%+TP[[#This Row],[Costo Costo]],"Sin Datos")</f>
        <v>Sin Datos</v>
      </c>
      <c r="U72" s="14" t="str">
        <f>IFERROR(TP[[#This Row],[Precio de Oficina]]-TP[[#This Row],[Costo Costo]],"Sin Datos")</f>
        <v>Sin Datos</v>
      </c>
      <c r="V72" s="29" t="str">
        <f>IFERROR(TP[[#This Row],[Precio de Oficina]]*14%+TP[[#This Row],[Precio de Oficina]],"Sin Datos")</f>
        <v>Sin Datos</v>
      </c>
      <c r="W72" s="29" t="str">
        <f>IFERROR(TP[[#This Row],[Precio de Oficina]]*20%+TP[[#This Row],[Precio de Oficina]],"Sin Datos")</f>
        <v>Sin Datos</v>
      </c>
      <c r="X72" s="30" t="str">
        <f>IFERROR(TP[[#This Row],[Precio de Wix]]*33.6%+TP[[#This Row],[Precio de Wix]]+100,"Sin Datos")</f>
        <v>Sin Datos</v>
      </c>
      <c r="Z72" s="8" t="s">
        <v>275</v>
      </c>
    </row>
    <row r="73" spans="1:26" x14ac:dyDescent="0.2">
      <c r="A73" s="36" t="s">
        <v>276</v>
      </c>
      <c r="B73" s="49"/>
      <c r="C73" s="49"/>
      <c r="D73" s="53"/>
      <c r="E73" s="52"/>
      <c r="F73" s="53"/>
      <c r="G73" s="28" t="str">
        <f>IFERROR(TP[[#This Row],[Costo Real Unitario USD]]*TP[[#This Row],[Costo de Envio Total UDS]]/TP[[#This Row],[Costo Total Pedido USD]], "Sin Datos")</f>
        <v>Sin Datos</v>
      </c>
      <c r="H73" s="9">
        <f>IFERROR(TP[[#This Row],[Costo Total Pedido USD]]+TP[[#This Row],[Costo de Envio Total UDS]],"Sin Datos")</f>
        <v>0</v>
      </c>
      <c r="I73" s="52"/>
      <c r="J73" s="9" t="str">
        <f>IFERROR((TP[[#This Row],[Costo Real Unitario USD]]*TP[[#This Row],[Impuesto UDS]])/TP[[#This Row],[Costo Total Pedido USD]],"Sin Datos")</f>
        <v>Sin Datos</v>
      </c>
      <c r="K73" s="9" t="str">
        <f>IFERROR(TP[[#This Row],[Costo Real Unitario USD]]+TP[[#This Row],[Costo de Envio Unitario UDS]]+TP[[#This Row],[Impuesto Unitario UDS]],"Sin Datos")</f>
        <v>Sin Datos</v>
      </c>
      <c r="L73" s="9">
        <f>IFERROR(TP[[#This Row],[Costo Total Pedido USD]]+TP[[#This Row],[Costo de Envio Total UDS]]+TP[[#This Row],[Impuesto UDS]],"Sin Datos")</f>
        <v>0</v>
      </c>
      <c r="M73" s="14">
        <f>IFERROR(((TP[[#This Row],[Costo Total Pedido USD]]*TP[[#This Row],[DÓLAR]])*$B$3)+(TP[[#This Row],[Costo Total Pedido USD]]*TP[[#This Row],[DÓLAR]]),"Sin Datos")</f>
        <v>0</v>
      </c>
      <c r="N7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3" s="14" t="str">
        <f>IFERROR(TP[[#This Row],[Costo Total Pza. MXN]]*TP[[#This Row],[CANTIDAD]],"Sin Datos")</f>
        <v>Sin Datos</v>
      </c>
      <c r="P73" s="29" t="str">
        <f>IFERROR((((TP[[#This Row],[Costo Total Pza. UDS]]*TP[[#This Row],[DÓLAR]])*$B$3)+(TP[[#This Row],[Costo Total Pza. UDS]]*TP[[#This Row],[DÓLAR]])),"Sin Datos")</f>
        <v>Sin Datos</v>
      </c>
      <c r="Q73" s="57"/>
      <c r="R7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3" s="29" t="str">
        <f>IFERROR(TP[[#This Row],[Costo Total Pza. MXN]]+TP[[#This Row],[Impuesto Unitario MXN]],"Sin Datos")</f>
        <v>Sin Datos</v>
      </c>
      <c r="T73" s="29" t="str">
        <f>IFERROR(TP[[#This Row],[Costo Costo]]*50%+TP[[#This Row],[Costo Costo]],"Sin Datos")</f>
        <v>Sin Datos</v>
      </c>
      <c r="U73" s="14" t="str">
        <f>IFERROR(TP[[#This Row],[Precio de Oficina]]-TP[[#This Row],[Costo Costo]],"Sin Datos")</f>
        <v>Sin Datos</v>
      </c>
      <c r="V73" s="29" t="str">
        <f>IFERROR(TP[[#This Row],[Precio de Oficina]]*14%+TP[[#This Row],[Precio de Oficina]],"Sin Datos")</f>
        <v>Sin Datos</v>
      </c>
      <c r="W73" s="29" t="str">
        <f>IFERROR(TP[[#This Row],[Precio de Oficina]]*20%+TP[[#This Row],[Precio de Oficina]],"Sin Datos")</f>
        <v>Sin Datos</v>
      </c>
      <c r="X73" s="30" t="str">
        <f>IFERROR(TP[[#This Row],[Precio de Wix]]*33.6%+TP[[#This Row],[Precio de Wix]]+100,"Sin Datos")</f>
        <v>Sin Datos</v>
      </c>
      <c r="Z73" s="8" t="s">
        <v>276</v>
      </c>
    </row>
    <row r="74" spans="1:26" x14ac:dyDescent="0.2">
      <c r="A74" s="36" t="s">
        <v>277</v>
      </c>
      <c r="B74" s="49"/>
      <c r="C74" s="49"/>
      <c r="D74" s="53"/>
      <c r="E74" s="52"/>
      <c r="F74" s="53"/>
      <c r="G74" s="28" t="str">
        <f>IFERROR(TP[[#This Row],[Costo Real Unitario USD]]*TP[[#This Row],[Costo de Envio Total UDS]]/TP[[#This Row],[Costo Total Pedido USD]], "Sin Datos")</f>
        <v>Sin Datos</v>
      </c>
      <c r="H74" s="9">
        <f>IFERROR(TP[[#This Row],[Costo Total Pedido USD]]+TP[[#This Row],[Costo de Envio Total UDS]],"Sin Datos")</f>
        <v>0</v>
      </c>
      <c r="I74" s="52"/>
      <c r="J74" s="9" t="str">
        <f>IFERROR((TP[[#This Row],[Costo Real Unitario USD]]*TP[[#This Row],[Impuesto UDS]])/TP[[#This Row],[Costo Total Pedido USD]],"Sin Datos")</f>
        <v>Sin Datos</v>
      </c>
      <c r="K74" s="9" t="str">
        <f>IFERROR(TP[[#This Row],[Costo Real Unitario USD]]+TP[[#This Row],[Costo de Envio Unitario UDS]]+TP[[#This Row],[Impuesto Unitario UDS]],"Sin Datos")</f>
        <v>Sin Datos</v>
      </c>
      <c r="L74" s="9">
        <f>IFERROR(TP[[#This Row],[Costo Total Pedido USD]]+TP[[#This Row],[Costo de Envio Total UDS]]+TP[[#This Row],[Impuesto UDS]],"Sin Datos")</f>
        <v>0</v>
      </c>
      <c r="M74" s="14">
        <f>IFERROR(((TP[[#This Row],[Costo Total Pedido USD]]*TP[[#This Row],[DÓLAR]])*$B$3)+(TP[[#This Row],[Costo Total Pedido USD]]*TP[[#This Row],[DÓLAR]]),"Sin Datos")</f>
        <v>0</v>
      </c>
      <c r="N7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4" s="14" t="str">
        <f>IFERROR(TP[[#This Row],[Costo Total Pza. MXN]]*TP[[#This Row],[CANTIDAD]],"Sin Datos")</f>
        <v>Sin Datos</v>
      </c>
      <c r="P74" s="29" t="str">
        <f>IFERROR((((TP[[#This Row],[Costo Total Pza. UDS]]*TP[[#This Row],[DÓLAR]])*$B$3)+(TP[[#This Row],[Costo Total Pza. UDS]]*TP[[#This Row],[DÓLAR]])),"Sin Datos")</f>
        <v>Sin Datos</v>
      </c>
      <c r="Q74" s="57"/>
      <c r="R7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4" s="29" t="str">
        <f>IFERROR(TP[[#This Row],[Costo Total Pza. MXN]]+TP[[#This Row],[Impuesto Unitario MXN]],"Sin Datos")</f>
        <v>Sin Datos</v>
      </c>
      <c r="T74" s="29" t="str">
        <f>IFERROR(TP[[#This Row],[Costo Costo]]*50%+TP[[#This Row],[Costo Costo]],"Sin Datos")</f>
        <v>Sin Datos</v>
      </c>
      <c r="U74" s="14" t="str">
        <f>IFERROR(TP[[#This Row],[Precio de Oficina]]-TP[[#This Row],[Costo Costo]],"Sin Datos")</f>
        <v>Sin Datos</v>
      </c>
      <c r="V74" s="29" t="str">
        <f>IFERROR(TP[[#This Row],[Precio de Oficina]]*14%+TP[[#This Row],[Precio de Oficina]],"Sin Datos")</f>
        <v>Sin Datos</v>
      </c>
      <c r="W74" s="29" t="str">
        <f>IFERROR(TP[[#This Row],[Precio de Oficina]]*20%+TP[[#This Row],[Precio de Oficina]],"Sin Datos")</f>
        <v>Sin Datos</v>
      </c>
      <c r="X74" s="30" t="str">
        <f>IFERROR(TP[[#This Row],[Precio de Wix]]*33.6%+TP[[#This Row],[Precio de Wix]]+100,"Sin Datos")</f>
        <v>Sin Datos</v>
      </c>
      <c r="Z74" s="8" t="s">
        <v>277</v>
      </c>
    </row>
    <row r="75" spans="1:26" x14ac:dyDescent="0.2">
      <c r="A75" s="36" t="s">
        <v>278</v>
      </c>
      <c r="B75" s="49"/>
      <c r="C75" s="49"/>
      <c r="D75" s="53"/>
      <c r="E75" s="52"/>
      <c r="F75" s="53"/>
      <c r="G75" s="28" t="str">
        <f>IFERROR(TP[[#This Row],[Costo Real Unitario USD]]*TP[[#This Row],[Costo de Envio Total UDS]]/TP[[#This Row],[Costo Total Pedido USD]], "Sin Datos")</f>
        <v>Sin Datos</v>
      </c>
      <c r="H75" s="9">
        <f>IFERROR(TP[[#This Row],[Costo Total Pedido USD]]+TP[[#This Row],[Costo de Envio Total UDS]],"Sin Datos")</f>
        <v>0</v>
      </c>
      <c r="I75" s="52"/>
      <c r="J75" s="9" t="str">
        <f>IFERROR((TP[[#This Row],[Costo Real Unitario USD]]*TP[[#This Row],[Impuesto UDS]])/TP[[#This Row],[Costo Total Pedido USD]],"Sin Datos")</f>
        <v>Sin Datos</v>
      </c>
      <c r="K75" s="9" t="str">
        <f>IFERROR(TP[[#This Row],[Costo Real Unitario USD]]+TP[[#This Row],[Costo de Envio Unitario UDS]]+TP[[#This Row],[Impuesto Unitario UDS]],"Sin Datos")</f>
        <v>Sin Datos</v>
      </c>
      <c r="L75" s="9">
        <f>IFERROR(TP[[#This Row],[Costo Total Pedido USD]]+TP[[#This Row],[Costo de Envio Total UDS]]+TP[[#This Row],[Impuesto UDS]],"Sin Datos")</f>
        <v>0</v>
      </c>
      <c r="M75" s="14">
        <f>IFERROR(((TP[[#This Row],[Costo Total Pedido USD]]*TP[[#This Row],[DÓLAR]])*$B$3)+(TP[[#This Row],[Costo Total Pedido USD]]*TP[[#This Row],[DÓLAR]]),"Sin Datos")</f>
        <v>0</v>
      </c>
      <c r="N7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5" s="14" t="str">
        <f>IFERROR(TP[[#This Row],[Costo Total Pza. MXN]]*TP[[#This Row],[CANTIDAD]],"Sin Datos")</f>
        <v>Sin Datos</v>
      </c>
      <c r="P75" s="29" t="str">
        <f>IFERROR((((TP[[#This Row],[Costo Total Pza. UDS]]*TP[[#This Row],[DÓLAR]])*$B$3)+(TP[[#This Row],[Costo Total Pza. UDS]]*TP[[#This Row],[DÓLAR]])),"Sin Datos")</f>
        <v>Sin Datos</v>
      </c>
      <c r="Q75" s="57"/>
      <c r="R7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5" s="29" t="str">
        <f>IFERROR(TP[[#This Row],[Costo Total Pza. MXN]]+TP[[#This Row],[Impuesto Unitario MXN]],"Sin Datos")</f>
        <v>Sin Datos</v>
      </c>
      <c r="T75" s="29" t="str">
        <f>IFERROR(TP[[#This Row],[Costo Costo]]*50%+TP[[#This Row],[Costo Costo]],"Sin Datos")</f>
        <v>Sin Datos</v>
      </c>
      <c r="U75" s="14" t="str">
        <f>IFERROR(TP[[#This Row],[Precio de Oficina]]-TP[[#This Row],[Costo Costo]],"Sin Datos")</f>
        <v>Sin Datos</v>
      </c>
      <c r="V75" s="29" t="str">
        <f>IFERROR(TP[[#This Row],[Precio de Oficina]]*14%+TP[[#This Row],[Precio de Oficina]],"Sin Datos")</f>
        <v>Sin Datos</v>
      </c>
      <c r="W75" s="29" t="str">
        <f>IFERROR(TP[[#This Row],[Precio de Oficina]]*20%+TP[[#This Row],[Precio de Oficina]],"Sin Datos")</f>
        <v>Sin Datos</v>
      </c>
      <c r="X75" s="30" t="str">
        <f>IFERROR(TP[[#This Row],[Precio de Wix]]*33.6%+TP[[#This Row],[Precio de Wix]]+100,"Sin Datos")</f>
        <v>Sin Datos</v>
      </c>
      <c r="Z75" s="8" t="s">
        <v>278</v>
      </c>
    </row>
    <row r="76" spans="1:26" x14ac:dyDescent="0.2">
      <c r="A76" s="36" t="s">
        <v>279</v>
      </c>
      <c r="B76" s="49"/>
      <c r="C76" s="49"/>
      <c r="D76" s="53"/>
      <c r="E76" s="52"/>
      <c r="F76" s="53"/>
      <c r="G76" s="28" t="str">
        <f>IFERROR(TP[[#This Row],[Costo Real Unitario USD]]*TP[[#This Row],[Costo de Envio Total UDS]]/TP[[#This Row],[Costo Total Pedido USD]], "Sin Datos")</f>
        <v>Sin Datos</v>
      </c>
      <c r="H76" s="9">
        <f>IFERROR(TP[[#This Row],[Costo Total Pedido USD]]+TP[[#This Row],[Costo de Envio Total UDS]],"Sin Datos")</f>
        <v>0</v>
      </c>
      <c r="I76" s="52"/>
      <c r="J76" s="9" t="str">
        <f>IFERROR((TP[[#This Row],[Costo Real Unitario USD]]*TP[[#This Row],[Impuesto UDS]])/TP[[#This Row],[Costo Total Pedido USD]],"Sin Datos")</f>
        <v>Sin Datos</v>
      </c>
      <c r="K76" s="9" t="str">
        <f>IFERROR(TP[[#This Row],[Costo Real Unitario USD]]+TP[[#This Row],[Costo de Envio Unitario UDS]]+TP[[#This Row],[Impuesto Unitario UDS]],"Sin Datos")</f>
        <v>Sin Datos</v>
      </c>
      <c r="L76" s="9">
        <f>IFERROR(TP[[#This Row],[Costo Total Pedido USD]]+TP[[#This Row],[Costo de Envio Total UDS]]+TP[[#This Row],[Impuesto UDS]],"Sin Datos")</f>
        <v>0</v>
      </c>
      <c r="M76" s="14">
        <f>IFERROR(((TP[[#This Row],[Costo Total Pedido USD]]*TP[[#This Row],[DÓLAR]])*$B$3)+(TP[[#This Row],[Costo Total Pedido USD]]*TP[[#This Row],[DÓLAR]]),"Sin Datos")</f>
        <v>0</v>
      </c>
      <c r="N7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6" s="14" t="str">
        <f>IFERROR(TP[[#This Row],[Costo Total Pza. MXN]]*TP[[#This Row],[CANTIDAD]],"Sin Datos")</f>
        <v>Sin Datos</v>
      </c>
      <c r="P76" s="29" t="str">
        <f>IFERROR((((TP[[#This Row],[Costo Total Pza. UDS]]*TP[[#This Row],[DÓLAR]])*$B$3)+(TP[[#This Row],[Costo Total Pza. UDS]]*TP[[#This Row],[DÓLAR]])),"Sin Datos")</f>
        <v>Sin Datos</v>
      </c>
      <c r="Q76" s="57"/>
      <c r="R7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6" s="29" t="str">
        <f>IFERROR(TP[[#This Row],[Costo Total Pza. MXN]]+TP[[#This Row],[Impuesto Unitario MXN]],"Sin Datos")</f>
        <v>Sin Datos</v>
      </c>
      <c r="T76" s="29" t="str">
        <f>IFERROR(TP[[#This Row],[Costo Costo]]*50%+TP[[#This Row],[Costo Costo]],"Sin Datos")</f>
        <v>Sin Datos</v>
      </c>
      <c r="U76" s="14" t="str">
        <f>IFERROR(TP[[#This Row],[Precio de Oficina]]-TP[[#This Row],[Costo Costo]],"Sin Datos")</f>
        <v>Sin Datos</v>
      </c>
      <c r="V76" s="29" t="str">
        <f>IFERROR(TP[[#This Row],[Precio de Oficina]]*14%+TP[[#This Row],[Precio de Oficina]],"Sin Datos")</f>
        <v>Sin Datos</v>
      </c>
      <c r="W76" s="29" t="str">
        <f>IFERROR(TP[[#This Row],[Precio de Oficina]]*20%+TP[[#This Row],[Precio de Oficina]],"Sin Datos")</f>
        <v>Sin Datos</v>
      </c>
      <c r="X76" s="30" t="str">
        <f>IFERROR(TP[[#This Row],[Precio de Wix]]*33.6%+TP[[#This Row],[Precio de Wix]]+100,"Sin Datos")</f>
        <v>Sin Datos</v>
      </c>
      <c r="Z76" s="8" t="s">
        <v>279</v>
      </c>
    </row>
    <row r="77" spans="1:26" x14ac:dyDescent="0.2">
      <c r="A77" s="36" t="s">
        <v>280</v>
      </c>
      <c r="B77" s="49"/>
      <c r="C77" s="49"/>
      <c r="D77" s="53"/>
      <c r="E77" s="52"/>
      <c r="F77" s="53"/>
      <c r="G77" s="28" t="str">
        <f>IFERROR(TP[[#This Row],[Costo Real Unitario USD]]*TP[[#This Row],[Costo de Envio Total UDS]]/TP[[#This Row],[Costo Total Pedido USD]], "Sin Datos")</f>
        <v>Sin Datos</v>
      </c>
      <c r="H77" s="9">
        <f>IFERROR(TP[[#This Row],[Costo Total Pedido USD]]+TP[[#This Row],[Costo de Envio Total UDS]],"Sin Datos")</f>
        <v>0</v>
      </c>
      <c r="I77" s="52"/>
      <c r="J77" s="9" t="str">
        <f>IFERROR((TP[[#This Row],[Costo Real Unitario USD]]*TP[[#This Row],[Impuesto UDS]])/TP[[#This Row],[Costo Total Pedido USD]],"Sin Datos")</f>
        <v>Sin Datos</v>
      </c>
      <c r="K77" s="9" t="str">
        <f>IFERROR(TP[[#This Row],[Costo Real Unitario USD]]+TP[[#This Row],[Costo de Envio Unitario UDS]]+TP[[#This Row],[Impuesto Unitario UDS]],"Sin Datos")</f>
        <v>Sin Datos</v>
      </c>
      <c r="L77" s="9">
        <f>IFERROR(TP[[#This Row],[Costo Total Pedido USD]]+TP[[#This Row],[Costo de Envio Total UDS]]+TP[[#This Row],[Impuesto UDS]],"Sin Datos")</f>
        <v>0</v>
      </c>
      <c r="M77" s="14">
        <f>IFERROR(((TP[[#This Row],[Costo Total Pedido USD]]*TP[[#This Row],[DÓLAR]])*$B$3)+(TP[[#This Row],[Costo Total Pedido USD]]*TP[[#This Row],[DÓLAR]]),"Sin Datos")</f>
        <v>0</v>
      </c>
      <c r="N7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7" s="14" t="str">
        <f>IFERROR(TP[[#This Row],[Costo Total Pza. MXN]]*TP[[#This Row],[CANTIDAD]],"Sin Datos")</f>
        <v>Sin Datos</v>
      </c>
      <c r="P77" s="29" t="str">
        <f>IFERROR((((TP[[#This Row],[Costo Total Pza. UDS]]*TP[[#This Row],[DÓLAR]])*$B$3)+(TP[[#This Row],[Costo Total Pza. UDS]]*TP[[#This Row],[DÓLAR]])),"Sin Datos")</f>
        <v>Sin Datos</v>
      </c>
      <c r="Q77" s="57"/>
      <c r="R7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7" s="29" t="str">
        <f>IFERROR(TP[[#This Row],[Costo Total Pza. MXN]]+TP[[#This Row],[Impuesto Unitario MXN]],"Sin Datos")</f>
        <v>Sin Datos</v>
      </c>
      <c r="T77" s="29" t="str">
        <f>IFERROR(TP[[#This Row],[Costo Costo]]*50%+TP[[#This Row],[Costo Costo]],"Sin Datos")</f>
        <v>Sin Datos</v>
      </c>
      <c r="U77" s="14" t="str">
        <f>IFERROR(TP[[#This Row],[Precio de Oficina]]-TP[[#This Row],[Costo Costo]],"Sin Datos")</f>
        <v>Sin Datos</v>
      </c>
      <c r="V77" s="29" t="str">
        <f>IFERROR(TP[[#This Row],[Precio de Oficina]]*14%+TP[[#This Row],[Precio de Oficina]],"Sin Datos")</f>
        <v>Sin Datos</v>
      </c>
      <c r="W77" s="29" t="str">
        <f>IFERROR(TP[[#This Row],[Precio de Oficina]]*20%+TP[[#This Row],[Precio de Oficina]],"Sin Datos")</f>
        <v>Sin Datos</v>
      </c>
      <c r="X77" s="30" t="str">
        <f>IFERROR(TP[[#This Row],[Precio de Wix]]*33.6%+TP[[#This Row],[Precio de Wix]]+100,"Sin Datos")</f>
        <v>Sin Datos</v>
      </c>
      <c r="Z77" s="8" t="s">
        <v>280</v>
      </c>
    </row>
    <row r="78" spans="1:26" x14ac:dyDescent="0.2">
      <c r="A78" s="36" t="s">
        <v>281</v>
      </c>
      <c r="B78" s="49"/>
      <c r="C78" s="49"/>
      <c r="D78" s="53"/>
      <c r="E78" s="52"/>
      <c r="F78" s="53"/>
      <c r="G78" s="28" t="str">
        <f>IFERROR(TP[[#This Row],[Costo Real Unitario USD]]*TP[[#This Row],[Costo de Envio Total UDS]]/TP[[#This Row],[Costo Total Pedido USD]], "Sin Datos")</f>
        <v>Sin Datos</v>
      </c>
      <c r="H78" s="9">
        <f>IFERROR(TP[[#This Row],[Costo Total Pedido USD]]+TP[[#This Row],[Costo de Envio Total UDS]],"Sin Datos")</f>
        <v>0</v>
      </c>
      <c r="I78" s="52"/>
      <c r="J78" s="9" t="str">
        <f>IFERROR((TP[[#This Row],[Costo Real Unitario USD]]*TP[[#This Row],[Impuesto UDS]])/TP[[#This Row],[Costo Total Pedido USD]],"Sin Datos")</f>
        <v>Sin Datos</v>
      </c>
      <c r="K78" s="9" t="str">
        <f>IFERROR(TP[[#This Row],[Costo Real Unitario USD]]+TP[[#This Row],[Costo de Envio Unitario UDS]]+TP[[#This Row],[Impuesto Unitario UDS]],"Sin Datos")</f>
        <v>Sin Datos</v>
      </c>
      <c r="L78" s="9">
        <f>IFERROR(TP[[#This Row],[Costo Total Pedido USD]]+TP[[#This Row],[Costo de Envio Total UDS]]+TP[[#This Row],[Impuesto UDS]],"Sin Datos")</f>
        <v>0</v>
      </c>
      <c r="M78" s="14">
        <f>IFERROR(((TP[[#This Row],[Costo Total Pedido USD]]*TP[[#This Row],[DÓLAR]])*$B$3)+(TP[[#This Row],[Costo Total Pedido USD]]*TP[[#This Row],[DÓLAR]]),"Sin Datos")</f>
        <v>0</v>
      </c>
      <c r="N7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8" s="14" t="str">
        <f>IFERROR(TP[[#This Row],[Costo Total Pza. MXN]]*TP[[#This Row],[CANTIDAD]],"Sin Datos")</f>
        <v>Sin Datos</v>
      </c>
      <c r="P78" s="29" t="str">
        <f>IFERROR((((TP[[#This Row],[Costo Total Pza. UDS]]*TP[[#This Row],[DÓLAR]])*$B$3)+(TP[[#This Row],[Costo Total Pza. UDS]]*TP[[#This Row],[DÓLAR]])),"Sin Datos")</f>
        <v>Sin Datos</v>
      </c>
      <c r="Q78" s="57"/>
      <c r="R7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8" s="29" t="str">
        <f>IFERROR(TP[[#This Row],[Costo Total Pza. MXN]]+TP[[#This Row],[Impuesto Unitario MXN]],"Sin Datos")</f>
        <v>Sin Datos</v>
      </c>
      <c r="T78" s="29" t="str">
        <f>IFERROR(TP[[#This Row],[Costo Costo]]*50%+TP[[#This Row],[Costo Costo]],"Sin Datos")</f>
        <v>Sin Datos</v>
      </c>
      <c r="U78" s="14" t="str">
        <f>IFERROR(TP[[#This Row],[Precio de Oficina]]-TP[[#This Row],[Costo Costo]],"Sin Datos")</f>
        <v>Sin Datos</v>
      </c>
      <c r="V78" s="29" t="str">
        <f>IFERROR(TP[[#This Row],[Precio de Oficina]]*14%+TP[[#This Row],[Precio de Oficina]],"Sin Datos")</f>
        <v>Sin Datos</v>
      </c>
      <c r="W78" s="29" t="str">
        <f>IFERROR(TP[[#This Row],[Precio de Oficina]]*20%+TP[[#This Row],[Precio de Oficina]],"Sin Datos")</f>
        <v>Sin Datos</v>
      </c>
      <c r="X78" s="30" t="str">
        <f>IFERROR(TP[[#This Row],[Precio de Wix]]*33.6%+TP[[#This Row],[Precio de Wix]]+100,"Sin Datos")</f>
        <v>Sin Datos</v>
      </c>
      <c r="Z78" s="8" t="s">
        <v>281</v>
      </c>
    </row>
    <row r="79" spans="1:26" x14ac:dyDescent="0.2">
      <c r="A79" s="36" t="s">
        <v>282</v>
      </c>
      <c r="B79" s="49"/>
      <c r="C79" s="49"/>
      <c r="D79" s="53"/>
      <c r="E79" s="52"/>
      <c r="F79" s="53"/>
      <c r="G79" s="28" t="str">
        <f>IFERROR(TP[[#This Row],[Costo Real Unitario USD]]*TP[[#This Row],[Costo de Envio Total UDS]]/TP[[#This Row],[Costo Total Pedido USD]], "Sin Datos")</f>
        <v>Sin Datos</v>
      </c>
      <c r="H79" s="9">
        <f>IFERROR(TP[[#This Row],[Costo Total Pedido USD]]+TP[[#This Row],[Costo de Envio Total UDS]],"Sin Datos")</f>
        <v>0</v>
      </c>
      <c r="I79" s="52"/>
      <c r="J79" s="9" t="str">
        <f>IFERROR((TP[[#This Row],[Costo Real Unitario USD]]*TP[[#This Row],[Impuesto UDS]])/TP[[#This Row],[Costo Total Pedido USD]],"Sin Datos")</f>
        <v>Sin Datos</v>
      </c>
      <c r="K79" s="9" t="str">
        <f>IFERROR(TP[[#This Row],[Costo Real Unitario USD]]+TP[[#This Row],[Costo de Envio Unitario UDS]]+TP[[#This Row],[Impuesto Unitario UDS]],"Sin Datos")</f>
        <v>Sin Datos</v>
      </c>
      <c r="L79" s="9">
        <f>IFERROR(TP[[#This Row],[Costo Total Pedido USD]]+TP[[#This Row],[Costo de Envio Total UDS]]+TP[[#This Row],[Impuesto UDS]],"Sin Datos")</f>
        <v>0</v>
      </c>
      <c r="M79" s="14">
        <f>IFERROR(((TP[[#This Row],[Costo Total Pedido USD]]*TP[[#This Row],[DÓLAR]])*$B$3)+(TP[[#This Row],[Costo Total Pedido USD]]*TP[[#This Row],[DÓLAR]]),"Sin Datos")</f>
        <v>0</v>
      </c>
      <c r="N7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79" s="14" t="str">
        <f>IFERROR(TP[[#This Row],[Costo Total Pza. MXN]]*TP[[#This Row],[CANTIDAD]],"Sin Datos")</f>
        <v>Sin Datos</v>
      </c>
      <c r="P79" s="29" t="str">
        <f>IFERROR((((TP[[#This Row],[Costo Total Pza. UDS]]*TP[[#This Row],[DÓLAR]])*$B$3)+(TP[[#This Row],[Costo Total Pza. UDS]]*TP[[#This Row],[DÓLAR]])),"Sin Datos")</f>
        <v>Sin Datos</v>
      </c>
      <c r="Q79" s="57"/>
      <c r="R7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79" s="29" t="str">
        <f>IFERROR(TP[[#This Row],[Costo Total Pza. MXN]]+TP[[#This Row],[Impuesto Unitario MXN]],"Sin Datos")</f>
        <v>Sin Datos</v>
      </c>
      <c r="T79" s="29" t="str">
        <f>IFERROR(TP[[#This Row],[Costo Costo]]*50%+TP[[#This Row],[Costo Costo]],"Sin Datos")</f>
        <v>Sin Datos</v>
      </c>
      <c r="U79" s="14" t="str">
        <f>IFERROR(TP[[#This Row],[Precio de Oficina]]-TP[[#This Row],[Costo Costo]],"Sin Datos")</f>
        <v>Sin Datos</v>
      </c>
      <c r="V79" s="29" t="str">
        <f>IFERROR(TP[[#This Row],[Precio de Oficina]]*14%+TP[[#This Row],[Precio de Oficina]],"Sin Datos")</f>
        <v>Sin Datos</v>
      </c>
      <c r="W79" s="29" t="str">
        <f>IFERROR(TP[[#This Row],[Precio de Oficina]]*20%+TP[[#This Row],[Precio de Oficina]],"Sin Datos")</f>
        <v>Sin Datos</v>
      </c>
      <c r="X79" s="30" t="str">
        <f>IFERROR(TP[[#This Row],[Precio de Wix]]*33.6%+TP[[#This Row],[Precio de Wix]]+100,"Sin Datos")</f>
        <v>Sin Datos</v>
      </c>
      <c r="Z79" s="8" t="s">
        <v>282</v>
      </c>
    </row>
    <row r="80" spans="1:26" x14ac:dyDescent="0.2">
      <c r="A80" s="36" t="s">
        <v>283</v>
      </c>
      <c r="B80" s="49"/>
      <c r="C80" s="49"/>
      <c r="D80" s="53"/>
      <c r="E80" s="52"/>
      <c r="F80" s="53"/>
      <c r="G80" s="28" t="str">
        <f>IFERROR(TP[[#This Row],[Costo Real Unitario USD]]*TP[[#This Row],[Costo de Envio Total UDS]]/TP[[#This Row],[Costo Total Pedido USD]], "Sin Datos")</f>
        <v>Sin Datos</v>
      </c>
      <c r="H80" s="9">
        <f>IFERROR(TP[[#This Row],[Costo Total Pedido USD]]+TP[[#This Row],[Costo de Envio Total UDS]],"Sin Datos")</f>
        <v>0</v>
      </c>
      <c r="I80" s="52"/>
      <c r="J80" s="9" t="str">
        <f>IFERROR((TP[[#This Row],[Costo Real Unitario USD]]*TP[[#This Row],[Impuesto UDS]])/TP[[#This Row],[Costo Total Pedido USD]],"Sin Datos")</f>
        <v>Sin Datos</v>
      </c>
      <c r="K80" s="9" t="str">
        <f>IFERROR(TP[[#This Row],[Costo Real Unitario USD]]+TP[[#This Row],[Costo de Envio Unitario UDS]]+TP[[#This Row],[Impuesto Unitario UDS]],"Sin Datos")</f>
        <v>Sin Datos</v>
      </c>
      <c r="L80" s="9">
        <f>IFERROR(TP[[#This Row],[Costo Total Pedido USD]]+TP[[#This Row],[Costo de Envio Total UDS]]+TP[[#This Row],[Impuesto UDS]],"Sin Datos")</f>
        <v>0</v>
      </c>
      <c r="M80" s="14">
        <f>IFERROR(((TP[[#This Row],[Costo Total Pedido USD]]*TP[[#This Row],[DÓLAR]])*$B$3)+(TP[[#This Row],[Costo Total Pedido USD]]*TP[[#This Row],[DÓLAR]]),"Sin Datos")</f>
        <v>0</v>
      </c>
      <c r="N8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0" s="14" t="str">
        <f>IFERROR(TP[[#This Row],[Costo Total Pza. MXN]]*TP[[#This Row],[CANTIDAD]],"Sin Datos")</f>
        <v>Sin Datos</v>
      </c>
      <c r="P80" s="29" t="str">
        <f>IFERROR((((TP[[#This Row],[Costo Total Pza. UDS]]*TP[[#This Row],[DÓLAR]])*$B$3)+(TP[[#This Row],[Costo Total Pza. UDS]]*TP[[#This Row],[DÓLAR]])),"Sin Datos")</f>
        <v>Sin Datos</v>
      </c>
      <c r="Q80" s="57"/>
      <c r="R8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0" s="29" t="str">
        <f>IFERROR(TP[[#This Row],[Costo Total Pza. MXN]]+TP[[#This Row],[Impuesto Unitario MXN]],"Sin Datos")</f>
        <v>Sin Datos</v>
      </c>
      <c r="T80" s="29" t="str">
        <f>IFERROR(TP[[#This Row],[Costo Costo]]*50%+TP[[#This Row],[Costo Costo]],"Sin Datos")</f>
        <v>Sin Datos</v>
      </c>
      <c r="U80" s="14" t="str">
        <f>IFERROR(TP[[#This Row],[Precio de Oficina]]-TP[[#This Row],[Costo Costo]],"Sin Datos")</f>
        <v>Sin Datos</v>
      </c>
      <c r="V80" s="29" t="str">
        <f>IFERROR(TP[[#This Row],[Precio de Oficina]]*14%+TP[[#This Row],[Precio de Oficina]],"Sin Datos")</f>
        <v>Sin Datos</v>
      </c>
      <c r="W80" s="29" t="str">
        <f>IFERROR(TP[[#This Row],[Precio de Oficina]]*20%+TP[[#This Row],[Precio de Oficina]],"Sin Datos")</f>
        <v>Sin Datos</v>
      </c>
      <c r="X80" s="30" t="str">
        <f>IFERROR(TP[[#This Row],[Precio de Wix]]*33.6%+TP[[#This Row],[Precio de Wix]]+100,"Sin Datos")</f>
        <v>Sin Datos</v>
      </c>
      <c r="Z80" s="8" t="s">
        <v>283</v>
      </c>
    </row>
    <row r="81" spans="1:26" x14ac:dyDescent="0.2">
      <c r="A81" s="36" t="s">
        <v>284</v>
      </c>
      <c r="B81" s="49"/>
      <c r="C81" s="49"/>
      <c r="D81" s="53"/>
      <c r="E81" s="52"/>
      <c r="F81" s="53"/>
      <c r="G81" s="28" t="str">
        <f>IFERROR(TP[[#This Row],[Costo Real Unitario USD]]*TP[[#This Row],[Costo de Envio Total UDS]]/TP[[#This Row],[Costo Total Pedido USD]], "Sin Datos")</f>
        <v>Sin Datos</v>
      </c>
      <c r="H81" s="9">
        <f>IFERROR(TP[[#This Row],[Costo Total Pedido USD]]+TP[[#This Row],[Costo de Envio Total UDS]],"Sin Datos")</f>
        <v>0</v>
      </c>
      <c r="I81" s="52"/>
      <c r="J81" s="9" t="str">
        <f>IFERROR((TP[[#This Row],[Costo Real Unitario USD]]*TP[[#This Row],[Impuesto UDS]])/TP[[#This Row],[Costo Total Pedido USD]],"Sin Datos")</f>
        <v>Sin Datos</v>
      </c>
      <c r="K81" s="9" t="str">
        <f>IFERROR(TP[[#This Row],[Costo Real Unitario USD]]+TP[[#This Row],[Costo de Envio Unitario UDS]]+TP[[#This Row],[Impuesto Unitario UDS]],"Sin Datos")</f>
        <v>Sin Datos</v>
      </c>
      <c r="L81" s="9">
        <f>IFERROR(TP[[#This Row],[Costo Total Pedido USD]]+TP[[#This Row],[Costo de Envio Total UDS]]+TP[[#This Row],[Impuesto UDS]],"Sin Datos")</f>
        <v>0</v>
      </c>
      <c r="M81" s="14">
        <f>IFERROR(((TP[[#This Row],[Costo Total Pedido USD]]*TP[[#This Row],[DÓLAR]])*$B$3)+(TP[[#This Row],[Costo Total Pedido USD]]*TP[[#This Row],[DÓLAR]]),"Sin Datos")</f>
        <v>0</v>
      </c>
      <c r="N8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1" s="14" t="str">
        <f>IFERROR(TP[[#This Row],[Costo Total Pza. MXN]]*TP[[#This Row],[CANTIDAD]],"Sin Datos")</f>
        <v>Sin Datos</v>
      </c>
      <c r="P81" s="29" t="str">
        <f>IFERROR((((TP[[#This Row],[Costo Total Pza. UDS]]*TP[[#This Row],[DÓLAR]])*$B$3)+(TP[[#This Row],[Costo Total Pza. UDS]]*TP[[#This Row],[DÓLAR]])),"Sin Datos")</f>
        <v>Sin Datos</v>
      </c>
      <c r="Q81" s="57"/>
      <c r="R8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1" s="29" t="str">
        <f>IFERROR(TP[[#This Row],[Costo Total Pza. MXN]]+TP[[#This Row],[Impuesto Unitario MXN]],"Sin Datos")</f>
        <v>Sin Datos</v>
      </c>
      <c r="T81" s="29" t="str">
        <f>IFERROR(TP[[#This Row],[Costo Costo]]*50%+TP[[#This Row],[Costo Costo]],"Sin Datos")</f>
        <v>Sin Datos</v>
      </c>
      <c r="U81" s="14" t="str">
        <f>IFERROR(TP[[#This Row],[Precio de Oficina]]-TP[[#This Row],[Costo Costo]],"Sin Datos")</f>
        <v>Sin Datos</v>
      </c>
      <c r="V81" s="29" t="str">
        <f>IFERROR(TP[[#This Row],[Precio de Oficina]]*14%+TP[[#This Row],[Precio de Oficina]],"Sin Datos")</f>
        <v>Sin Datos</v>
      </c>
      <c r="W81" s="29" t="str">
        <f>IFERROR(TP[[#This Row],[Precio de Oficina]]*20%+TP[[#This Row],[Precio de Oficina]],"Sin Datos")</f>
        <v>Sin Datos</v>
      </c>
      <c r="X81" s="30" t="str">
        <f>IFERROR(TP[[#This Row],[Precio de Wix]]*33.6%+TP[[#This Row],[Precio de Wix]]+100,"Sin Datos")</f>
        <v>Sin Datos</v>
      </c>
      <c r="Z81" s="8" t="s">
        <v>284</v>
      </c>
    </row>
    <row r="82" spans="1:26" x14ac:dyDescent="0.2">
      <c r="A82" s="36" t="s">
        <v>285</v>
      </c>
      <c r="B82" s="49"/>
      <c r="C82" s="49"/>
      <c r="D82" s="53"/>
      <c r="E82" s="52"/>
      <c r="F82" s="53"/>
      <c r="G82" s="28" t="str">
        <f>IFERROR(TP[[#This Row],[Costo Real Unitario USD]]*TP[[#This Row],[Costo de Envio Total UDS]]/TP[[#This Row],[Costo Total Pedido USD]], "Sin Datos")</f>
        <v>Sin Datos</v>
      </c>
      <c r="H82" s="9">
        <f>IFERROR(TP[[#This Row],[Costo Total Pedido USD]]+TP[[#This Row],[Costo de Envio Total UDS]],"Sin Datos")</f>
        <v>0</v>
      </c>
      <c r="I82" s="52"/>
      <c r="J82" s="9" t="str">
        <f>IFERROR((TP[[#This Row],[Costo Real Unitario USD]]*TP[[#This Row],[Impuesto UDS]])/TP[[#This Row],[Costo Total Pedido USD]],"Sin Datos")</f>
        <v>Sin Datos</v>
      </c>
      <c r="K82" s="9" t="str">
        <f>IFERROR(TP[[#This Row],[Costo Real Unitario USD]]+TP[[#This Row],[Costo de Envio Unitario UDS]]+TP[[#This Row],[Impuesto Unitario UDS]],"Sin Datos")</f>
        <v>Sin Datos</v>
      </c>
      <c r="L82" s="9">
        <f>IFERROR(TP[[#This Row],[Costo Total Pedido USD]]+TP[[#This Row],[Costo de Envio Total UDS]]+TP[[#This Row],[Impuesto UDS]],"Sin Datos")</f>
        <v>0</v>
      </c>
      <c r="M82" s="14">
        <f>IFERROR(((TP[[#This Row],[Costo Total Pedido USD]]*TP[[#This Row],[DÓLAR]])*$B$3)+(TP[[#This Row],[Costo Total Pedido USD]]*TP[[#This Row],[DÓLAR]]),"Sin Datos")</f>
        <v>0</v>
      </c>
      <c r="N8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2" s="14" t="str">
        <f>IFERROR(TP[[#This Row],[Costo Total Pza. MXN]]*TP[[#This Row],[CANTIDAD]],"Sin Datos")</f>
        <v>Sin Datos</v>
      </c>
      <c r="P82" s="29" t="str">
        <f>IFERROR((((TP[[#This Row],[Costo Total Pza. UDS]]*TP[[#This Row],[DÓLAR]])*$B$3)+(TP[[#This Row],[Costo Total Pza. UDS]]*TP[[#This Row],[DÓLAR]])),"Sin Datos")</f>
        <v>Sin Datos</v>
      </c>
      <c r="Q82" s="57"/>
      <c r="R8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2" s="29" t="str">
        <f>IFERROR(TP[[#This Row],[Costo Total Pza. MXN]]+TP[[#This Row],[Impuesto Unitario MXN]],"Sin Datos")</f>
        <v>Sin Datos</v>
      </c>
      <c r="T82" s="29" t="str">
        <f>IFERROR(TP[[#This Row],[Costo Costo]]*50%+TP[[#This Row],[Costo Costo]],"Sin Datos")</f>
        <v>Sin Datos</v>
      </c>
      <c r="U82" s="14" t="str">
        <f>IFERROR(TP[[#This Row],[Precio de Oficina]]-TP[[#This Row],[Costo Costo]],"Sin Datos")</f>
        <v>Sin Datos</v>
      </c>
      <c r="V82" s="29" t="str">
        <f>IFERROR(TP[[#This Row],[Precio de Oficina]]*14%+TP[[#This Row],[Precio de Oficina]],"Sin Datos")</f>
        <v>Sin Datos</v>
      </c>
      <c r="W82" s="29" t="str">
        <f>IFERROR(TP[[#This Row],[Precio de Oficina]]*20%+TP[[#This Row],[Precio de Oficina]],"Sin Datos")</f>
        <v>Sin Datos</v>
      </c>
      <c r="X82" s="30" t="str">
        <f>IFERROR(TP[[#This Row],[Precio de Wix]]*33.6%+TP[[#This Row],[Precio de Wix]]+100,"Sin Datos")</f>
        <v>Sin Datos</v>
      </c>
      <c r="Z82" s="8" t="s">
        <v>285</v>
      </c>
    </row>
    <row r="83" spans="1:26" x14ac:dyDescent="0.2">
      <c r="A83" s="36" t="s">
        <v>286</v>
      </c>
      <c r="B83" s="49"/>
      <c r="C83" s="49"/>
      <c r="D83" s="53"/>
      <c r="E83" s="52"/>
      <c r="F83" s="53"/>
      <c r="G83" s="28" t="str">
        <f>IFERROR(TP[[#This Row],[Costo Real Unitario USD]]*TP[[#This Row],[Costo de Envio Total UDS]]/TP[[#This Row],[Costo Total Pedido USD]], "Sin Datos")</f>
        <v>Sin Datos</v>
      </c>
      <c r="H83" s="9">
        <f>IFERROR(TP[[#This Row],[Costo Total Pedido USD]]+TP[[#This Row],[Costo de Envio Total UDS]],"Sin Datos")</f>
        <v>0</v>
      </c>
      <c r="I83" s="52"/>
      <c r="J83" s="9" t="str">
        <f>IFERROR((TP[[#This Row],[Costo Real Unitario USD]]*TP[[#This Row],[Impuesto UDS]])/TP[[#This Row],[Costo Total Pedido USD]],"Sin Datos")</f>
        <v>Sin Datos</v>
      </c>
      <c r="K83" s="9" t="str">
        <f>IFERROR(TP[[#This Row],[Costo Real Unitario USD]]+TP[[#This Row],[Costo de Envio Unitario UDS]]+TP[[#This Row],[Impuesto Unitario UDS]],"Sin Datos")</f>
        <v>Sin Datos</v>
      </c>
      <c r="L83" s="9">
        <f>IFERROR(TP[[#This Row],[Costo Total Pedido USD]]+TP[[#This Row],[Costo de Envio Total UDS]]+TP[[#This Row],[Impuesto UDS]],"Sin Datos")</f>
        <v>0</v>
      </c>
      <c r="M83" s="14">
        <f>IFERROR(((TP[[#This Row],[Costo Total Pedido USD]]*TP[[#This Row],[DÓLAR]])*$B$3)+(TP[[#This Row],[Costo Total Pedido USD]]*TP[[#This Row],[DÓLAR]]),"Sin Datos")</f>
        <v>0</v>
      </c>
      <c r="N8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3" s="14" t="str">
        <f>IFERROR(TP[[#This Row],[Costo Total Pza. MXN]]*TP[[#This Row],[CANTIDAD]],"Sin Datos")</f>
        <v>Sin Datos</v>
      </c>
      <c r="P83" s="29" t="str">
        <f>IFERROR((((TP[[#This Row],[Costo Total Pza. UDS]]*TP[[#This Row],[DÓLAR]])*$B$3)+(TP[[#This Row],[Costo Total Pza. UDS]]*TP[[#This Row],[DÓLAR]])),"Sin Datos")</f>
        <v>Sin Datos</v>
      </c>
      <c r="Q83" s="57"/>
      <c r="R8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3" s="29" t="str">
        <f>IFERROR(TP[[#This Row],[Costo Total Pza. MXN]]+TP[[#This Row],[Impuesto Unitario MXN]],"Sin Datos")</f>
        <v>Sin Datos</v>
      </c>
      <c r="T83" s="29" t="str">
        <f>IFERROR(TP[[#This Row],[Costo Costo]]*50%+TP[[#This Row],[Costo Costo]],"Sin Datos")</f>
        <v>Sin Datos</v>
      </c>
      <c r="U83" s="14" t="str">
        <f>IFERROR(TP[[#This Row],[Precio de Oficina]]-TP[[#This Row],[Costo Costo]],"Sin Datos")</f>
        <v>Sin Datos</v>
      </c>
      <c r="V83" s="29" t="str">
        <f>IFERROR(TP[[#This Row],[Precio de Oficina]]*14%+TP[[#This Row],[Precio de Oficina]],"Sin Datos")</f>
        <v>Sin Datos</v>
      </c>
      <c r="W83" s="29" t="str">
        <f>IFERROR(TP[[#This Row],[Precio de Oficina]]*20%+TP[[#This Row],[Precio de Oficina]],"Sin Datos")</f>
        <v>Sin Datos</v>
      </c>
      <c r="X83" s="30" t="str">
        <f>IFERROR(TP[[#This Row],[Precio de Wix]]*33.6%+TP[[#This Row],[Precio de Wix]]+100,"Sin Datos")</f>
        <v>Sin Datos</v>
      </c>
      <c r="Z83" s="8" t="s">
        <v>286</v>
      </c>
    </row>
    <row r="84" spans="1:26" x14ac:dyDescent="0.2">
      <c r="A84" s="36" t="s">
        <v>287</v>
      </c>
      <c r="B84" s="49"/>
      <c r="C84" s="49"/>
      <c r="D84" s="53"/>
      <c r="E84" s="52"/>
      <c r="F84" s="53"/>
      <c r="G84" s="28" t="str">
        <f>IFERROR(TP[[#This Row],[Costo Real Unitario USD]]*TP[[#This Row],[Costo de Envio Total UDS]]/TP[[#This Row],[Costo Total Pedido USD]], "Sin Datos")</f>
        <v>Sin Datos</v>
      </c>
      <c r="H84" s="9">
        <f>IFERROR(TP[[#This Row],[Costo Total Pedido USD]]+TP[[#This Row],[Costo de Envio Total UDS]],"Sin Datos")</f>
        <v>0</v>
      </c>
      <c r="I84" s="52"/>
      <c r="J84" s="9" t="str">
        <f>IFERROR((TP[[#This Row],[Costo Real Unitario USD]]*TP[[#This Row],[Impuesto UDS]])/TP[[#This Row],[Costo Total Pedido USD]],"Sin Datos")</f>
        <v>Sin Datos</v>
      </c>
      <c r="K84" s="9" t="str">
        <f>IFERROR(TP[[#This Row],[Costo Real Unitario USD]]+TP[[#This Row],[Costo de Envio Unitario UDS]]+TP[[#This Row],[Impuesto Unitario UDS]],"Sin Datos")</f>
        <v>Sin Datos</v>
      </c>
      <c r="L84" s="9">
        <f>IFERROR(TP[[#This Row],[Costo Total Pedido USD]]+TP[[#This Row],[Costo de Envio Total UDS]]+TP[[#This Row],[Impuesto UDS]],"Sin Datos")</f>
        <v>0</v>
      </c>
      <c r="M84" s="14">
        <f>IFERROR(((TP[[#This Row],[Costo Total Pedido USD]]*TP[[#This Row],[DÓLAR]])*$B$3)+(TP[[#This Row],[Costo Total Pedido USD]]*TP[[#This Row],[DÓLAR]]),"Sin Datos")</f>
        <v>0</v>
      </c>
      <c r="N8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4" s="14" t="str">
        <f>IFERROR(TP[[#This Row],[Costo Total Pza. MXN]]*TP[[#This Row],[CANTIDAD]],"Sin Datos")</f>
        <v>Sin Datos</v>
      </c>
      <c r="P84" s="29" t="str">
        <f>IFERROR((((TP[[#This Row],[Costo Total Pza. UDS]]*TP[[#This Row],[DÓLAR]])*$B$3)+(TP[[#This Row],[Costo Total Pza. UDS]]*TP[[#This Row],[DÓLAR]])),"Sin Datos")</f>
        <v>Sin Datos</v>
      </c>
      <c r="Q84" s="57"/>
      <c r="R8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4" s="29" t="str">
        <f>IFERROR(TP[[#This Row],[Costo Total Pza. MXN]]+TP[[#This Row],[Impuesto Unitario MXN]],"Sin Datos")</f>
        <v>Sin Datos</v>
      </c>
      <c r="T84" s="29" t="str">
        <f>IFERROR(TP[[#This Row],[Costo Costo]]*50%+TP[[#This Row],[Costo Costo]],"Sin Datos")</f>
        <v>Sin Datos</v>
      </c>
      <c r="U84" s="14" t="str">
        <f>IFERROR(TP[[#This Row],[Precio de Oficina]]-TP[[#This Row],[Costo Costo]],"Sin Datos")</f>
        <v>Sin Datos</v>
      </c>
      <c r="V84" s="29" t="str">
        <f>IFERROR(TP[[#This Row],[Precio de Oficina]]*14%+TP[[#This Row],[Precio de Oficina]],"Sin Datos")</f>
        <v>Sin Datos</v>
      </c>
      <c r="W84" s="29" t="str">
        <f>IFERROR(TP[[#This Row],[Precio de Oficina]]*20%+TP[[#This Row],[Precio de Oficina]],"Sin Datos")</f>
        <v>Sin Datos</v>
      </c>
      <c r="X84" s="30" t="str">
        <f>IFERROR(TP[[#This Row],[Precio de Wix]]*33.6%+TP[[#This Row],[Precio de Wix]]+100,"Sin Datos")</f>
        <v>Sin Datos</v>
      </c>
      <c r="Z84" s="8" t="s">
        <v>287</v>
      </c>
    </row>
    <row r="85" spans="1:26" x14ac:dyDescent="0.2">
      <c r="A85" s="36" t="s">
        <v>288</v>
      </c>
      <c r="B85" s="49"/>
      <c r="C85" s="49"/>
      <c r="D85" s="53"/>
      <c r="E85" s="52"/>
      <c r="F85" s="53"/>
      <c r="G85" s="28" t="str">
        <f>IFERROR(TP[[#This Row],[Costo Real Unitario USD]]*TP[[#This Row],[Costo de Envio Total UDS]]/TP[[#This Row],[Costo Total Pedido USD]], "Sin Datos")</f>
        <v>Sin Datos</v>
      </c>
      <c r="H85" s="9">
        <f>IFERROR(TP[[#This Row],[Costo Total Pedido USD]]+TP[[#This Row],[Costo de Envio Total UDS]],"Sin Datos")</f>
        <v>0</v>
      </c>
      <c r="I85" s="52"/>
      <c r="J85" s="9" t="str">
        <f>IFERROR((TP[[#This Row],[Costo Real Unitario USD]]*TP[[#This Row],[Impuesto UDS]])/TP[[#This Row],[Costo Total Pedido USD]],"Sin Datos")</f>
        <v>Sin Datos</v>
      </c>
      <c r="K85" s="9" t="str">
        <f>IFERROR(TP[[#This Row],[Costo Real Unitario USD]]+TP[[#This Row],[Costo de Envio Unitario UDS]]+TP[[#This Row],[Impuesto Unitario UDS]],"Sin Datos")</f>
        <v>Sin Datos</v>
      </c>
      <c r="L85" s="9">
        <f>IFERROR(TP[[#This Row],[Costo Total Pedido USD]]+TP[[#This Row],[Costo de Envio Total UDS]]+TP[[#This Row],[Impuesto UDS]],"Sin Datos")</f>
        <v>0</v>
      </c>
      <c r="M85" s="14">
        <f>IFERROR(((TP[[#This Row],[Costo Total Pedido USD]]*TP[[#This Row],[DÓLAR]])*$B$3)+(TP[[#This Row],[Costo Total Pedido USD]]*TP[[#This Row],[DÓLAR]]),"Sin Datos")</f>
        <v>0</v>
      </c>
      <c r="N8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5" s="14" t="str">
        <f>IFERROR(TP[[#This Row],[Costo Total Pza. MXN]]*TP[[#This Row],[CANTIDAD]],"Sin Datos")</f>
        <v>Sin Datos</v>
      </c>
      <c r="P85" s="29" t="str">
        <f>IFERROR((((TP[[#This Row],[Costo Total Pza. UDS]]*TP[[#This Row],[DÓLAR]])*$B$3)+(TP[[#This Row],[Costo Total Pza. UDS]]*TP[[#This Row],[DÓLAR]])),"Sin Datos")</f>
        <v>Sin Datos</v>
      </c>
      <c r="Q85" s="57"/>
      <c r="R8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5" s="29" t="str">
        <f>IFERROR(TP[[#This Row],[Costo Total Pza. MXN]]+TP[[#This Row],[Impuesto Unitario MXN]],"Sin Datos")</f>
        <v>Sin Datos</v>
      </c>
      <c r="T85" s="29" t="str">
        <f>IFERROR(TP[[#This Row],[Costo Costo]]*50%+TP[[#This Row],[Costo Costo]],"Sin Datos")</f>
        <v>Sin Datos</v>
      </c>
      <c r="U85" s="14" t="str">
        <f>IFERROR(TP[[#This Row],[Precio de Oficina]]-TP[[#This Row],[Costo Costo]],"Sin Datos")</f>
        <v>Sin Datos</v>
      </c>
      <c r="V85" s="29" t="str">
        <f>IFERROR(TP[[#This Row],[Precio de Oficina]]*14%+TP[[#This Row],[Precio de Oficina]],"Sin Datos")</f>
        <v>Sin Datos</v>
      </c>
      <c r="W85" s="29" t="str">
        <f>IFERROR(TP[[#This Row],[Precio de Oficina]]*20%+TP[[#This Row],[Precio de Oficina]],"Sin Datos")</f>
        <v>Sin Datos</v>
      </c>
      <c r="X85" s="30" t="str">
        <f>IFERROR(TP[[#This Row],[Precio de Wix]]*33.6%+TP[[#This Row],[Precio de Wix]]+100,"Sin Datos")</f>
        <v>Sin Datos</v>
      </c>
      <c r="Z85" s="8" t="s">
        <v>288</v>
      </c>
    </row>
    <row r="86" spans="1:26" x14ac:dyDescent="0.2">
      <c r="A86" s="36" t="s">
        <v>289</v>
      </c>
      <c r="B86" s="49"/>
      <c r="C86" s="49"/>
      <c r="D86" s="53"/>
      <c r="E86" s="52"/>
      <c r="F86" s="53"/>
      <c r="G86" s="28" t="str">
        <f>IFERROR(TP[[#This Row],[Costo Real Unitario USD]]*TP[[#This Row],[Costo de Envio Total UDS]]/TP[[#This Row],[Costo Total Pedido USD]], "Sin Datos")</f>
        <v>Sin Datos</v>
      </c>
      <c r="H86" s="9">
        <f>IFERROR(TP[[#This Row],[Costo Total Pedido USD]]+TP[[#This Row],[Costo de Envio Total UDS]],"Sin Datos")</f>
        <v>0</v>
      </c>
      <c r="I86" s="52"/>
      <c r="J86" s="9" t="str">
        <f>IFERROR((TP[[#This Row],[Costo Real Unitario USD]]*TP[[#This Row],[Impuesto UDS]])/TP[[#This Row],[Costo Total Pedido USD]],"Sin Datos")</f>
        <v>Sin Datos</v>
      </c>
      <c r="K86" s="9" t="str">
        <f>IFERROR(TP[[#This Row],[Costo Real Unitario USD]]+TP[[#This Row],[Costo de Envio Unitario UDS]]+TP[[#This Row],[Impuesto Unitario UDS]],"Sin Datos")</f>
        <v>Sin Datos</v>
      </c>
      <c r="L86" s="9">
        <f>IFERROR(TP[[#This Row],[Costo Total Pedido USD]]+TP[[#This Row],[Costo de Envio Total UDS]]+TP[[#This Row],[Impuesto UDS]],"Sin Datos")</f>
        <v>0</v>
      </c>
      <c r="M86" s="14">
        <f>IFERROR(((TP[[#This Row],[Costo Total Pedido USD]]*TP[[#This Row],[DÓLAR]])*$B$3)+(TP[[#This Row],[Costo Total Pedido USD]]*TP[[#This Row],[DÓLAR]]),"Sin Datos")</f>
        <v>0</v>
      </c>
      <c r="N8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6" s="14" t="str">
        <f>IFERROR(TP[[#This Row],[Costo Total Pza. MXN]]*TP[[#This Row],[CANTIDAD]],"Sin Datos")</f>
        <v>Sin Datos</v>
      </c>
      <c r="P86" s="29" t="str">
        <f>IFERROR((((TP[[#This Row],[Costo Total Pza. UDS]]*TP[[#This Row],[DÓLAR]])*$B$3)+(TP[[#This Row],[Costo Total Pza. UDS]]*TP[[#This Row],[DÓLAR]])),"Sin Datos")</f>
        <v>Sin Datos</v>
      </c>
      <c r="Q86" s="57"/>
      <c r="R8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6" s="29" t="str">
        <f>IFERROR(TP[[#This Row],[Costo Total Pza. MXN]]+TP[[#This Row],[Impuesto Unitario MXN]],"Sin Datos")</f>
        <v>Sin Datos</v>
      </c>
      <c r="T86" s="29" t="str">
        <f>IFERROR(TP[[#This Row],[Costo Costo]]*50%+TP[[#This Row],[Costo Costo]],"Sin Datos")</f>
        <v>Sin Datos</v>
      </c>
      <c r="U86" s="14" t="str">
        <f>IFERROR(TP[[#This Row],[Precio de Oficina]]-TP[[#This Row],[Costo Costo]],"Sin Datos")</f>
        <v>Sin Datos</v>
      </c>
      <c r="V86" s="29" t="str">
        <f>IFERROR(TP[[#This Row],[Precio de Oficina]]*14%+TP[[#This Row],[Precio de Oficina]],"Sin Datos")</f>
        <v>Sin Datos</v>
      </c>
      <c r="W86" s="29" t="str">
        <f>IFERROR(TP[[#This Row],[Precio de Oficina]]*20%+TP[[#This Row],[Precio de Oficina]],"Sin Datos")</f>
        <v>Sin Datos</v>
      </c>
      <c r="X86" s="30" t="str">
        <f>IFERROR(TP[[#This Row],[Precio de Wix]]*33.6%+TP[[#This Row],[Precio de Wix]]+100,"Sin Datos")</f>
        <v>Sin Datos</v>
      </c>
      <c r="Z86" s="8" t="s">
        <v>289</v>
      </c>
    </row>
    <row r="87" spans="1:26" x14ac:dyDescent="0.2">
      <c r="A87" s="36" t="s">
        <v>290</v>
      </c>
      <c r="B87" s="49"/>
      <c r="C87" s="49"/>
      <c r="D87" s="53"/>
      <c r="E87" s="52"/>
      <c r="F87" s="53"/>
      <c r="G87" s="28" t="str">
        <f>IFERROR(TP[[#This Row],[Costo Real Unitario USD]]*TP[[#This Row],[Costo de Envio Total UDS]]/TP[[#This Row],[Costo Total Pedido USD]], "Sin Datos")</f>
        <v>Sin Datos</v>
      </c>
      <c r="H87" s="9">
        <f>IFERROR(TP[[#This Row],[Costo Total Pedido USD]]+TP[[#This Row],[Costo de Envio Total UDS]],"Sin Datos")</f>
        <v>0</v>
      </c>
      <c r="I87" s="52"/>
      <c r="J87" s="9" t="str">
        <f>IFERROR((TP[[#This Row],[Costo Real Unitario USD]]*TP[[#This Row],[Impuesto UDS]])/TP[[#This Row],[Costo Total Pedido USD]],"Sin Datos")</f>
        <v>Sin Datos</v>
      </c>
      <c r="K87" s="9" t="str">
        <f>IFERROR(TP[[#This Row],[Costo Real Unitario USD]]+TP[[#This Row],[Costo de Envio Unitario UDS]]+TP[[#This Row],[Impuesto Unitario UDS]],"Sin Datos")</f>
        <v>Sin Datos</v>
      </c>
      <c r="L87" s="9">
        <f>IFERROR(TP[[#This Row],[Costo Total Pedido USD]]+TP[[#This Row],[Costo de Envio Total UDS]]+TP[[#This Row],[Impuesto UDS]],"Sin Datos")</f>
        <v>0</v>
      </c>
      <c r="M87" s="14">
        <f>IFERROR(((TP[[#This Row],[Costo Total Pedido USD]]*TP[[#This Row],[DÓLAR]])*$B$3)+(TP[[#This Row],[Costo Total Pedido USD]]*TP[[#This Row],[DÓLAR]]),"Sin Datos")</f>
        <v>0</v>
      </c>
      <c r="N8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7" s="14" t="str">
        <f>IFERROR(TP[[#This Row],[Costo Total Pza. MXN]]*TP[[#This Row],[CANTIDAD]],"Sin Datos")</f>
        <v>Sin Datos</v>
      </c>
      <c r="P87" s="29" t="str">
        <f>IFERROR((((TP[[#This Row],[Costo Total Pza. UDS]]*TP[[#This Row],[DÓLAR]])*$B$3)+(TP[[#This Row],[Costo Total Pza. UDS]]*TP[[#This Row],[DÓLAR]])),"Sin Datos")</f>
        <v>Sin Datos</v>
      </c>
      <c r="Q87" s="57"/>
      <c r="R8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7" s="29" t="str">
        <f>IFERROR(TP[[#This Row],[Costo Total Pza. MXN]]+TP[[#This Row],[Impuesto Unitario MXN]],"Sin Datos")</f>
        <v>Sin Datos</v>
      </c>
      <c r="T87" s="29" t="str">
        <f>IFERROR(TP[[#This Row],[Costo Costo]]*50%+TP[[#This Row],[Costo Costo]],"Sin Datos")</f>
        <v>Sin Datos</v>
      </c>
      <c r="U87" s="14" t="str">
        <f>IFERROR(TP[[#This Row],[Precio de Oficina]]-TP[[#This Row],[Costo Costo]],"Sin Datos")</f>
        <v>Sin Datos</v>
      </c>
      <c r="V87" s="29" t="str">
        <f>IFERROR(TP[[#This Row],[Precio de Oficina]]*14%+TP[[#This Row],[Precio de Oficina]],"Sin Datos")</f>
        <v>Sin Datos</v>
      </c>
      <c r="W87" s="29" t="str">
        <f>IFERROR(TP[[#This Row],[Precio de Oficina]]*20%+TP[[#This Row],[Precio de Oficina]],"Sin Datos")</f>
        <v>Sin Datos</v>
      </c>
      <c r="X87" s="30" t="str">
        <f>IFERROR(TP[[#This Row],[Precio de Wix]]*33.6%+TP[[#This Row],[Precio de Wix]]+100,"Sin Datos")</f>
        <v>Sin Datos</v>
      </c>
      <c r="Z87" s="8" t="s">
        <v>290</v>
      </c>
    </row>
    <row r="88" spans="1:26" x14ac:dyDescent="0.2">
      <c r="A88" s="36" t="s">
        <v>291</v>
      </c>
      <c r="B88" s="49"/>
      <c r="C88" s="49"/>
      <c r="D88" s="53"/>
      <c r="E88" s="52"/>
      <c r="F88" s="53"/>
      <c r="G88" s="28" t="str">
        <f>IFERROR(TP[[#This Row],[Costo Real Unitario USD]]*TP[[#This Row],[Costo de Envio Total UDS]]/TP[[#This Row],[Costo Total Pedido USD]], "Sin Datos")</f>
        <v>Sin Datos</v>
      </c>
      <c r="H88" s="9">
        <f>IFERROR(TP[[#This Row],[Costo Total Pedido USD]]+TP[[#This Row],[Costo de Envio Total UDS]],"Sin Datos")</f>
        <v>0</v>
      </c>
      <c r="I88" s="52"/>
      <c r="J88" s="9" t="str">
        <f>IFERROR((TP[[#This Row],[Costo Real Unitario USD]]*TP[[#This Row],[Impuesto UDS]])/TP[[#This Row],[Costo Total Pedido USD]],"Sin Datos")</f>
        <v>Sin Datos</v>
      </c>
      <c r="K88" s="9" t="str">
        <f>IFERROR(TP[[#This Row],[Costo Real Unitario USD]]+TP[[#This Row],[Costo de Envio Unitario UDS]]+TP[[#This Row],[Impuesto Unitario UDS]],"Sin Datos")</f>
        <v>Sin Datos</v>
      </c>
      <c r="L88" s="9">
        <f>IFERROR(TP[[#This Row],[Costo Total Pedido USD]]+TP[[#This Row],[Costo de Envio Total UDS]]+TP[[#This Row],[Impuesto UDS]],"Sin Datos")</f>
        <v>0</v>
      </c>
      <c r="M88" s="14">
        <f>IFERROR(((TP[[#This Row],[Costo Total Pedido USD]]*TP[[#This Row],[DÓLAR]])*$B$3)+(TP[[#This Row],[Costo Total Pedido USD]]*TP[[#This Row],[DÓLAR]]),"Sin Datos")</f>
        <v>0</v>
      </c>
      <c r="N8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8" s="14" t="str">
        <f>IFERROR(TP[[#This Row],[Costo Total Pza. MXN]]*TP[[#This Row],[CANTIDAD]],"Sin Datos")</f>
        <v>Sin Datos</v>
      </c>
      <c r="P88" s="29" t="str">
        <f>IFERROR((((TP[[#This Row],[Costo Total Pza. UDS]]*TP[[#This Row],[DÓLAR]])*$B$3)+(TP[[#This Row],[Costo Total Pza. UDS]]*TP[[#This Row],[DÓLAR]])),"Sin Datos")</f>
        <v>Sin Datos</v>
      </c>
      <c r="Q88" s="57"/>
      <c r="R8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8" s="29" t="str">
        <f>IFERROR(TP[[#This Row],[Costo Total Pza. MXN]]+TP[[#This Row],[Impuesto Unitario MXN]],"Sin Datos")</f>
        <v>Sin Datos</v>
      </c>
      <c r="T88" s="29" t="str">
        <f>IFERROR(TP[[#This Row],[Costo Costo]]*50%+TP[[#This Row],[Costo Costo]],"Sin Datos")</f>
        <v>Sin Datos</v>
      </c>
      <c r="U88" s="14" t="str">
        <f>IFERROR(TP[[#This Row],[Precio de Oficina]]-TP[[#This Row],[Costo Costo]],"Sin Datos")</f>
        <v>Sin Datos</v>
      </c>
      <c r="V88" s="29" t="str">
        <f>IFERROR(TP[[#This Row],[Precio de Oficina]]*14%+TP[[#This Row],[Precio de Oficina]],"Sin Datos")</f>
        <v>Sin Datos</v>
      </c>
      <c r="W88" s="29" t="str">
        <f>IFERROR(TP[[#This Row],[Precio de Oficina]]*20%+TP[[#This Row],[Precio de Oficina]],"Sin Datos")</f>
        <v>Sin Datos</v>
      </c>
      <c r="X88" s="30" t="str">
        <f>IFERROR(TP[[#This Row],[Precio de Wix]]*33.6%+TP[[#This Row],[Precio de Wix]]+100,"Sin Datos")</f>
        <v>Sin Datos</v>
      </c>
      <c r="Z88" s="8" t="s">
        <v>291</v>
      </c>
    </row>
    <row r="89" spans="1:26" x14ac:dyDescent="0.2">
      <c r="A89" s="36" t="s">
        <v>292</v>
      </c>
      <c r="B89" s="49"/>
      <c r="C89" s="49"/>
      <c r="D89" s="53"/>
      <c r="E89" s="52"/>
      <c r="F89" s="53"/>
      <c r="G89" s="28" t="str">
        <f>IFERROR(TP[[#This Row],[Costo Real Unitario USD]]*TP[[#This Row],[Costo de Envio Total UDS]]/TP[[#This Row],[Costo Total Pedido USD]], "Sin Datos")</f>
        <v>Sin Datos</v>
      </c>
      <c r="H89" s="9">
        <f>IFERROR(TP[[#This Row],[Costo Total Pedido USD]]+TP[[#This Row],[Costo de Envio Total UDS]],"Sin Datos")</f>
        <v>0</v>
      </c>
      <c r="I89" s="52"/>
      <c r="J89" s="9" t="str">
        <f>IFERROR((TP[[#This Row],[Costo Real Unitario USD]]*TP[[#This Row],[Impuesto UDS]])/TP[[#This Row],[Costo Total Pedido USD]],"Sin Datos")</f>
        <v>Sin Datos</v>
      </c>
      <c r="K89" s="9" t="str">
        <f>IFERROR(TP[[#This Row],[Costo Real Unitario USD]]+TP[[#This Row],[Costo de Envio Unitario UDS]]+TP[[#This Row],[Impuesto Unitario UDS]],"Sin Datos")</f>
        <v>Sin Datos</v>
      </c>
      <c r="L89" s="9">
        <f>IFERROR(TP[[#This Row],[Costo Total Pedido USD]]+TP[[#This Row],[Costo de Envio Total UDS]]+TP[[#This Row],[Impuesto UDS]],"Sin Datos")</f>
        <v>0</v>
      </c>
      <c r="M89" s="14">
        <f>IFERROR(((TP[[#This Row],[Costo Total Pedido USD]]*TP[[#This Row],[DÓLAR]])*$B$3)+(TP[[#This Row],[Costo Total Pedido USD]]*TP[[#This Row],[DÓLAR]]),"Sin Datos")</f>
        <v>0</v>
      </c>
      <c r="N8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89" s="14" t="str">
        <f>IFERROR(TP[[#This Row],[Costo Total Pza. MXN]]*TP[[#This Row],[CANTIDAD]],"Sin Datos")</f>
        <v>Sin Datos</v>
      </c>
      <c r="P89" s="29" t="str">
        <f>IFERROR((((TP[[#This Row],[Costo Total Pza. UDS]]*TP[[#This Row],[DÓLAR]])*$B$3)+(TP[[#This Row],[Costo Total Pza. UDS]]*TP[[#This Row],[DÓLAR]])),"Sin Datos")</f>
        <v>Sin Datos</v>
      </c>
      <c r="Q89" s="57"/>
      <c r="R8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89" s="29" t="str">
        <f>IFERROR(TP[[#This Row],[Costo Total Pza. MXN]]+TP[[#This Row],[Impuesto Unitario MXN]],"Sin Datos")</f>
        <v>Sin Datos</v>
      </c>
      <c r="T89" s="29" t="str">
        <f>IFERROR(TP[[#This Row],[Costo Costo]]*50%+TP[[#This Row],[Costo Costo]],"Sin Datos")</f>
        <v>Sin Datos</v>
      </c>
      <c r="U89" s="14" t="str">
        <f>IFERROR(TP[[#This Row],[Precio de Oficina]]-TP[[#This Row],[Costo Costo]],"Sin Datos")</f>
        <v>Sin Datos</v>
      </c>
      <c r="V89" s="29" t="str">
        <f>IFERROR(TP[[#This Row],[Precio de Oficina]]*14%+TP[[#This Row],[Precio de Oficina]],"Sin Datos")</f>
        <v>Sin Datos</v>
      </c>
      <c r="W89" s="29" t="str">
        <f>IFERROR(TP[[#This Row],[Precio de Oficina]]*20%+TP[[#This Row],[Precio de Oficina]],"Sin Datos")</f>
        <v>Sin Datos</v>
      </c>
      <c r="X89" s="30" t="str">
        <f>IFERROR(TP[[#This Row],[Precio de Wix]]*33.6%+TP[[#This Row],[Precio de Wix]]+100,"Sin Datos")</f>
        <v>Sin Datos</v>
      </c>
      <c r="Z89" s="8" t="s">
        <v>292</v>
      </c>
    </row>
    <row r="90" spans="1:26" x14ac:dyDescent="0.2">
      <c r="A90" s="36" t="s">
        <v>293</v>
      </c>
      <c r="B90" s="49"/>
      <c r="C90" s="49"/>
      <c r="D90" s="53"/>
      <c r="E90" s="52"/>
      <c r="F90" s="53"/>
      <c r="G90" s="28" t="str">
        <f>IFERROR(TP[[#This Row],[Costo Real Unitario USD]]*TP[[#This Row],[Costo de Envio Total UDS]]/TP[[#This Row],[Costo Total Pedido USD]], "Sin Datos")</f>
        <v>Sin Datos</v>
      </c>
      <c r="H90" s="9">
        <f>IFERROR(TP[[#This Row],[Costo Total Pedido USD]]+TP[[#This Row],[Costo de Envio Total UDS]],"Sin Datos")</f>
        <v>0</v>
      </c>
      <c r="I90" s="52"/>
      <c r="J90" s="9" t="str">
        <f>IFERROR((TP[[#This Row],[Costo Real Unitario USD]]*TP[[#This Row],[Impuesto UDS]])/TP[[#This Row],[Costo Total Pedido USD]],"Sin Datos")</f>
        <v>Sin Datos</v>
      </c>
      <c r="K90" s="9" t="str">
        <f>IFERROR(TP[[#This Row],[Costo Real Unitario USD]]+TP[[#This Row],[Costo de Envio Unitario UDS]]+TP[[#This Row],[Impuesto Unitario UDS]],"Sin Datos")</f>
        <v>Sin Datos</v>
      </c>
      <c r="L90" s="9">
        <f>IFERROR(TP[[#This Row],[Costo Total Pedido USD]]+TP[[#This Row],[Costo de Envio Total UDS]]+TP[[#This Row],[Impuesto UDS]],"Sin Datos")</f>
        <v>0</v>
      </c>
      <c r="M90" s="14">
        <f>IFERROR(((TP[[#This Row],[Costo Total Pedido USD]]*TP[[#This Row],[DÓLAR]])*$B$3)+(TP[[#This Row],[Costo Total Pedido USD]]*TP[[#This Row],[DÓLAR]]),"Sin Datos")</f>
        <v>0</v>
      </c>
      <c r="N9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0" s="14" t="str">
        <f>IFERROR(TP[[#This Row],[Costo Total Pza. MXN]]*TP[[#This Row],[CANTIDAD]],"Sin Datos")</f>
        <v>Sin Datos</v>
      </c>
      <c r="P90" s="29" t="str">
        <f>IFERROR((((TP[[#This Row],[Costo Total Pza. UDS]]*TP[[#This Row],[DÓLAR]])*$B$3)+(TP[[#This Row],[Costo Total Pza. UDS]]*TP[[#This Row],[DÓLAR]])),"Sin Datos")</f>
        <v>Sin Datos</v>
      </c>
      <c r="Q90" s="57"/>
      <c r="R9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0" s="29" t="str">
        <f>IFERROR(TP[[#This Row],[Costo Total Pza. MXN]]+TP[[#This Row],[Impuesto Unitario MXN]],"Sin Datos")</f>
        <v>Sin Datos</v>
      </c>
      <c r="T90" s="29" t="str">
        <f>IFERROR(TP[[#This Row],[Costo Costo]]*50%+TP[[#This Row],[Costo Costo]],"Sin Datos")</f>
        <v>Sin Datos</v>
      </c>
      <c r="U90" s="14" t="str">
        <f>IFERROR(TP[[#This Row],[Precio de Oficina]]-TP[[#This Row],[Costo Costo]],"Sin Datos")</f>
        <v>Sin Datos</v>
      </c>
      <c r="V90" s="29" t="str">
        <f>IFERROR(TP[[#This Row],[Precio de Oficina]]*14%+TP[[#This Row],[Precio de Oficina]],"Sin Datos")</f>
        <v>Sin Datos</v>
      </c>
      <c r="W90" s="29" t="str">
        <f>IFERROR(TP[[#This Row],[Precio de Oficina]]*20%+TP[[#This Row],[Precio de Oficina]],"Sin Datos")</f>
        <v>Sin Datos</v>
      </c>
      <c r="X90" s="30" t="str">
        <f>IFERROR(TP[[#This Row],[Precio de Wix]]*33.6%+TP[[#This Row],[Precio de Wix]]+100,"Sin Datos")</f>
        <v>Sin Datos</v>
      </c>
      <c r="Z90" s="8" t="s">
        <v>293</v>
      </c>
    </row>
    <row r="91" spans="1:26" x14ac:dyDescent="0.2">
      <c r="A91" s="36" t="s">
        <v>294</v>
      </c>
      <c r="B91" s="49"/>
      <c r="C91" s="49"/>
      <c r="D91" s="53"/>
      <c r="E91" s="52"/>
      <c r="F91" s="53"/>
      <c r="G91" s="28" t="str">
        <f>IFERROR(TP[[#This Row],[Costo Real Unitario USD]]*TP[[#This Row],[Costo de Envio Total UDS]]/TP[[#This Row],[Costo Total Pedido USD]], "Sin Datos")</f>
        <v>Sin Datos</v>
      </c>
      <c r="H91" s="9">
        <f>IFERROR(TP[[#This Row],[Costo Total Pedido USD]]+TP[[#This Row],[Costo de Envio Total UDS]],"Sin Datos")</f>
        <v>0</v>
      </c>
      <c r="I91" s="52"/>
      <c r="J91" s="9" t="str">
        <f>IFERROR((TP[[#This Row],[Costo Real Unitario USD]]*TP[[#This Row],[Impuesto UDS]])/TP[[#This Row],[Costo Total Pedido USD]],"Sin Datos")</f>
        <v>Sin Datos</v>
      </c>
      <c r="K91" s="9" t="str">
        <f>IFERROR(TP[[#This Row],[Costo Real Unitario USD]]+TP[[#This Row],[Costo de Envio Unitario UDS]]+TP[[#This Row],[Impuesto Unitario UDS]],"Sin Datos")</f>
        <v>Sin Datos</v>
      </c>
      <c r="L91" s="9">
        <f>IFERROR(TP[[#This Row],[Costo Total Pedido USD]]+TP[[#This Row],[Costo de Envio Total UDS]]+TP[[#This Row],[Impuesto UDS]],"Sin Datos")</f>
        <v>0</v>
      </c>
      <c r="M91" s="14">
        <f>IFERROR(((TP[[#This Row],[Costo Total Pedido USD]]*TP[[#This Row],[DÓLAR]])*$B$3)+(TP[[#This Row],[Costo Total Pedido USD]]*TP[[#This Row],[DÓLAR]]),"Sin Datos")</f>
        <v>0</v>
      </c>
      <c r="N9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1" s="14" t="str">
        <f>IFERROR(TP[[#This Row],[Costo Total Pza. MXN]]*TP[[#This Row],[CANTIDAD]],"Sin Datos")</f>
        <v>Sin Datos</v>
      </c>
      <c r="P91" s="29" t="str">
        <f>IFERROR((((TP[[#This Row],[Costo Total Pza. UDS]]*TP[[#This Row],[DÓLAR]])*$B$3)+(TP[[#This Row],[Costo Total Pza. UDS]]*TP[[#This Row],[DÓLAR]])),"Sin Datos")</f>
        <v>Sin Datos</v>
      </c>
      <c r="Q91" s="57"/>
      <c r="R9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1" s="29" t="str">
        <f>IFERROR(TP[[#This Row],[Costo Total Pza. MXN]]+TP[[#This Row],[Impuesto Unitario MXN]],"Sin Datos")</f>
        <v>Sin Datos</v>
      </c>
      <c r="T91" s="29" t="str">
        <f>IFERROR(TP[[#This Row],[Costo Costo]]*50%+TP[[#This Row],[Costo Costo]],"Sin Datos")</f>
        <v>Sin Datos</v>
      </c>
      <c r="U91" s="14" t="str">
        <f>IFERROR(TP[[#This Row],[Precio de Oficina]]-TP[[#This Row],[Costo Costo]],"Sin Datos")</f>
        <v>Sin Datos</v>
      </c>
      <c r="V91" s="29" t="str">
        <f>IFERROR(TP[[#This Row],[Precio de Oficina]]*14%+TP[[#This Row],[Precio de Oficina]],"Sin Datos")</f>
        <v>Sin Datos</v>
      </c>
      <c r="W91" s="29" t="str">
        <f>IFERROR(TP[[#This Row],[Precio de Oficina]]*20%+TP[[#This Row],[Precio de Oficina]],"Sin Datos")</f>
        <v>Sin Datos</v>
      </c>
      <c r="X91" s="30" t="str">
        <f>IFERROR(TP[[#This Row],[Precio de Wix]]*33.6%+TP[[#This Row],[Precio de Wix]]+100,"Sin Datos")</f>
        <v>Sin Datos</v>
      </c>
      <c r="Z91" s="8" t="s">
        <v>294</v>
      </c>
    </row>
    <row r="92" spans="1:26" x14ac:dyDescent="0.2">
      <c r="A92" s="36" t="s">
        <v>295</v>
      </c>
      <c r="B92" s="49"/>
      <c r="C92" s="49"/>
      <c r="D92" s="53"/>
      <c r="E92" s="52"/>
      <c r="F92" s="53"/>
      <c r="G92" s="28" t="str">
        <f>IFERROR(TP[[#This Row],[Costo Real Unitario USD]]*TP[[#This Row],[Costo de Envio Total UDS]]/TP[[#This Row],[Costo Total Pedido USD]], "Sin Datos")</f>
        <v>Sin Datos</v>
      </c>
      <c r="H92" s="9">
        <f>IFERROR(TP[[#This Row],[Costo Total Pedido USD]]+TP[[#This Row],[Costo de Envio Total UDS]],"Sin Datos")</f>
        <v>0</v>
      </c>
      <c r="I92" s="52"/>
      <c r="J92" s="9" t="str">
        <f>IFERROR((TP[[#This Row],[Costo Real Unitario USD]]*TP[[#This Row],[Impuesto UDS]])/TP[[#This Row],[Costo Total Pedido USD]],"Sin Datos")</f>
        <v>Sin Datos</v>
      </c>
      <c r="K92" s="9" t="str">
        <f>IFERROR(TP[[#This Row],[Costo Real Unitario USD]]+TP[[#This Row],[Costo de Envio Unitario UDS]]+TP[[#This Row],[Impuesto Unitario UDS]],"Sin Datos")</f>
        <v>Sin Datos</v>
      </c>
      <c r="L92" s="9">
        <f>IFERROR(TP[[#This Row],[Costo Total Pedido USD]]+TP[[#This Row],[Costo de Envio Total UDS]]+TP[[#This Row],[Impuesto UDS]],"Sin Datos")</f>
        <v>0</v>
      </c>
      <c r="M92" s="14">
        <f>IFERROR(((TP[[#This Row],[Costo Total Pedido USD]]*TP[[#This Row],[DÓLAR]])*$B$3)+(TP[[#This Row],[Costo Total Pedido USD]]*TP[[#This Row],[DÓLAR]]),"Sin Datos")</f>
        <v>0</v>
      </c>
      <c r="N9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2" s="14" t="str">
        <f>IFERROR(TP[[#This Row],[Costo Total Pza. MXN]]*TP[[#This Row],[CANTIDAD]],"Sin Datos")</f>
        <v>Sin Datos</v>
      </c>
      <c r="P92" s="29" t="str">
        <f>IFERROR((((TP[[#This Row],[Costo Total Pza. UDS]]*TP[[#This Row],[DÓLAR]])*$B$3)+(TP[[#This Row],[Costo Total Pza. UDS]]*TP[[#This Row],[DÓLAR]])),"Sin Datos")</f>
        <v>Sin Datos</v>
      </c>
      <c r="Q92" s="57"/>
      <c r="R9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2" s="29" t="str">
        <f>IFERROR(TP[[#This Row],[Costo Total Pza. MXN]]+TP[[#This Row],[Impuesto Unitario MXN]],"Sin Datos")</f>
        <v>Sin Datos</v>
      </c>
      <c r="T92" s="29" t="str">
        <f>IFERROR(TP[[#This Row],[Costo Costo]]*50%+TP[[#This Row],[Costo Costo]],"Sin Datos")</f>
        <v>Sin Datos</v>
      </c>
      <c r="U92" s="14" t="str">
        <f>IFERROR(TP[[#This Row],[Precio de Oficina]]-TP[[#This Row],[Costo Costo]],"Sin Datos")</f>
        <v>Sin Datos</v>
      </c>
      <c r="V92" s="29" t="str">
        <f>IFERROR(TP[[#This Row],[Precio de Oficina]]*14%+TP[[#This Row],[Precio de Oficina]],"Sin Datos")</f>
        <v>Sin Datos</v>
      </c>
      <c r="W92" s="29" t="str">
        <f>IFERROR(TP[[#This Row],[Precio de Oficina]]*20%+TP[[#This Row],[Precio de Oficina]],"Sin Datos")</f>
        <v>Sin Datos</v>
      </c>
      <c r="X92" s="30" t="str">
        <f>IFERROR(TP[[#This Row],[Precio de Wix]]*33.6%+TP[[#This Row],[Precio de Wix]]+100,"Sin Datos")</f>
        <v>Sin Datos</v>
      </c>
      <c r="Z92" s="8" t="s">
        <v>295</v>
      </c>
    </row>
    <row r="93" spans="1:26" x14ac:dyDescent="0.2">
      <c r="A93" s="36" t="s">
        <v>296</v>
      </c>
      <c r="B93" s="49"/>
      <c r="C93" s="49"/>
      <c r="D93" s="53"/>
      <c r="E93" s="52"/>
      <c r="F93" s="53"/>
      <c r="G93" s="28" t="str">
        <f>IFERROR(TP[[#This Row],[Costo Real Unitario USD]]*TP[[#This Row],[Costo de Envio Total UDS]]/TP[[#This Row],[Costo Total Pedido USD]], "Sin Datos")</f>
        <v>Sin Datos</v>
      </c>
      <c r="H93" s="9">
        <f>IFERROR(TP[[#This Row],[Costo Total Pedido USD]]+TP[[#This Row],[Costo de Envio Total UDS]],"Sin Datos")</f>
        <v>0</v>
      </c>
      <c r="I93" s="52"/>
      <c r="J93" s="9" t="str">
        <f>IFERROR((TP[[#This Row],[Costo Real Unitario USD]]*TP[[#This Row],[Impuesto UDS]])/TP[[#This Row],[Costo Total Pedido USD]],"Sin Datos")</f>
        <v>Sin Datos</v>
      </c>
      <c r="K93" s="9" t="str">
        <f>IFERROR(TP[[#This Row],[Costo Real Unitario USD]]+TP[[#This Row],[Costo de Envio Unitario UDS]]+TP[[#This Row],[Impuesto Unitario UDS]],"Sin Datos")</f>
        <v>Sin Datos</v>
      </c>
      <c r="L93" s="9">
        <f>IFERROR(TP[[#This Row],[Costo Total Pedido USD]]+TP[[#This Row],[Costo de Envio Total UDS]]+TP[[#This Row],[Impuesto UDS]],"Sin Datos")</f>
        <v>0</v>
      </c>
      <c r="M93" s="14">
        <f>IFERROR(((TP[[#This Row],[Costo Total Pedido USD]]*TP[[#This Row],[DÓLAR]])*$B$3)+(TP[[#This Row],[Costo Total Pedido USD]]*TP[[#This Row],[DÓLAR]]),"Sin Datos")</f>
        <v>0</v>
      </c>
      <c r="N9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3" s="14" t="str">
        <f>IFERROR(TP[[#This Row],[Costo Total Pza. MXN]]*TP[[#This Row],[CANTIDAD]],"Sin Datos")</f>
        <v>Sin Datos</v>
      </c>
      <c r="P93" s="29" t="str">
        <f>IFERROR((((TP[[#This Row],[Costo Total Pza. UDS]]*TP[[#This Row],[DÓLAR]])*$B$3)+(TP[[#This Row],[Costo Total Pza. UDS]]*TP[[#This Row],[DÓLAR]])),"Sin Datos")</f>
        <v>Sin Datos</v>
      </c>
      <c r="Q93" s="57"/>
      <c r="R9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3" s="29" t="str">
        <f>IFERROR(TP[[#This Row],[Costo Total Pza. MXN]]+TP[[#This Row],[Impuesto Unitario MXN]],"Sin Datos")</f>
        <v>Sin Datos</v>
      </c>
      <c r="T93" s="29" t="str">
        <f>IFERROR(TP[[#This Row],[Costo Costo]]*50%+TP[[#This Row],[Costo Costo]],"Sin Datos")</f>
        <v>Sin Datos</v>
      </c>
      <c r="U93" s="14" t="str">
        <f>IFERROR(TP[[#This Row],[Precio de Oficina]]-TP[[#This Row],[Costo Costo]],"Sin Datos")</f>
        <v>Sin Datos</v>
      </c>
      <c r="V93" s="29" t="str">
        <f>IFERROR(TP[[#This Row],[Precio de Oficina]]*14%+TP[[#This Row],[Precio de Oficina]],"Sin Datos")</f>
        <v>Sin Datos</v>
      </c>
      <c r="W93" s="29" t="str">
        <f>IFERROR(TP[[#This Row],[Precio de Oficina]]*20%+TP[[#This Row],[Precio de Oficina]],"Sin Datos")</f>
        <v>Sin Datos</v>
      </c>
      <c r="X93" s="30" t="str">
        <f>IFERROR(TP[[#This Row],[Precio de Wix]]*33.6%+TP[[#This Row],[Precio de Wix]]+100,"Sin Datos")</f>
        <v>Sin Datos</v>
      </c>
      <c r="Z93" s="8" t="s">
        <v>296</v>
      </c>
    </row>
    <row r="94" spans="1:26" x14ac:dyDescent="0.2">
      <c r="A94" s="36" t="s">
        <v>297</v>
      </c>
      <c r="B94" s="72">
        <v>20.03</v>
      </c>
      <c r="C94" s="49">
        <v>10</v>
      </c>
      <c r="D94" s="53">
        <v>10</v>
      </c>
      <c r="E94" s="52">
        <v>610</v>
      </c>
      <c r="F94" s="53">
        <v>430</v>
      </c>
      <c r="G94" s="28">
        <f>IFERROR(TP[[#This Row],[Costo Real Unitario USD]]*TP[[#This Row],[Costo de Envio Total UDS]]/TP[[#This Row],[Costo Total Pedido USD]], "Sin Datos")</f>
        <v>7.0491803278688527</v>
      </c>
      <c r="H94" s="9">
        <f>IFERROR(TP[[#This Row],[Costo Total Pedido USD]]+TP[[#This Row],[Costo de Envio Total UDS]],"Sin Datos")</f>
        <v>1040</v>
      </c>
      <c r="I94" s="52"/>
      <c r="J94" s="9">
        <f>IFERROR((TP[[#This Row],[Costo Real Unitario USD]]*TP[[#This Row],[Impuesto UDS]])/TP[[#This Row],[Costo Total Pedido USD]],"Sin Datos")</f>
        <v>0</v>
      </c>
      <c r="K94" s="9">
        <f>IFERROR(TP[[#This Row],[Costo Real Unitario USD]]+TP[[#This Row],[Costo de Envio Unitario UDS]]+TP[[#This Row],[Impuesto Unitario UDS]],"Sin Datos")</f>
        <v>17.049180327868854</v>
      </c>
      <c r="L94" s="9">
        <f>IFERROR(TP[[#This Row],[Costo Total Pedido USD]]+TP[[#This Row],[Costo de Envio Total UDS]]+TP[[#This Row],[Impuesto UDS]],"Sin Datos")</f>
        <v>1040</v>
      </c>
      <c r="M94" s="14">
        <f>IFERROR(((TP[[#This Row],[Costo Total Pedido USD]]*TP[[#This Row],[DÓLAR]])*$B$3)+(TP[[#This Row],[Costo Total Pedido USD]]*TP[[#This Row],[DÓLAR]]),"Sin Datos")</f>
        <v>12829.215000000002</v>
      </c>
      <c r="N9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21872.760000000002</v>
      </c>
      <c r="O94" s="14">
        <f>IFERROR(TP[[#This Row],[Costo Total Pza. MXN]]*TP[[#This Row],[CANTIDAD]],"Sin Datos")</f>
        <v>3585.6983606557378</v>
      </c>
      <c r="P94" s="29">
        <f>IFERROR((((TP[[#This Row],[Costo Total Pza. UDS]]*TP[[#This Row],[DÓLAR]])*$B$3)+(TP[[#This Row],[Costo Total Pza. UDS]]*TP[[#This Row],[DÓLAR]])),"Sin Datos")</f>
        <v>358.56983606557378</v>
      </c>
      <c r="Q94" s="57">
        <v>1056</v>
      </c>
      <c r="R94" s="29">
        <f>IFERROR((((TP[[#This Row],[Costo Real Unitario USD]]*TP[[#This Row],[DÓLAR]])*$B$3)+(TP[[#This Row],[Costo Real Unitario USD]]*TP[[#This Row],[DÓLAR]]))*TP[[#This Row],[Impuesto MXN]]/TP[[#This Row],[Costo Real Pedido MXN]],"Sin Datos")</f>
        <v>17.311475409836063</v>
      </c>
      <c r="S94" s="29">
        <f>IFERROR(TP[[#This Row],[Costo Total Pza. MXN]]+TP[[#This Row],[Impuesto Unitario MXN]],"Sin Datos")</f>
        <v>375.88131147540986</v>
      </c>
      <c r="T94" s="29">
        <f>IFERROR(TP[[#This Row],[Costo Costo]]*50%+TP[[#This Row],[Costo Costo]],"Sin Datos")</f>
        <v>563.82196721311482</v>
      </c>
      <c r="U94" s="14">
        <f>IFERROR(TP[[#This Row],[Precio de Oficina]]-TP[[#This Row],[Costo Costo]],"Sin Datos")</f>
        <v>187.94065573770496</v>
      </c>
      <c r="V94" s="29">
        <f>IFERROR(TP[[#This Row],[Precio de Oficina]]*14%+TP[[#This Row],[Precio de Oficina]],"Sin Datos")</f>
        <v>642.75704262295085</v>
      </c>
      <c r="W94" s="29">
        <f>IFERROR(TP[[#This Row],[Precio de Oficina]]*20%+TP[[#This Row],[Precio de Oficina]],"Sin Datos")</f>
        <v>676.58636065573774</v>
      </c>
      <c r="X94" s="30">
        <f>IFERROR(TP[[#This Row],[Precio de Wix]]*33.6%+TP[[#This Row],[Precio de Wix]]+100,"Sin Datos")</f>
        <v>1003.9193778360657</v>
      </c>
      <c r="Z94" s="8" t="s">
        <v>297</v>
      </c>
    </row>
    <row r="95" spans="1:26" x14ac:dyDescent="0.2">
      <c r="A95" s="36" t="s">
        <v>298</v>
      </c>
      <c r="B95" s="49"/>
      <c r="C95" s="49"/>
      <c r="D95" s="53"/>
      <c r="E95" s="52"/>
      <c r="F95" s="53"/>
      <c r="G95" s="28" t="str">
        <f>IFERROR(TP[[#This Row],[Costo Real Unitario USD]]*TP[[#This Row],[Costo de Envio Total UDS]]/TP[[#This Row],[Costo Total Pedido USD]], "Sin Datos")</f>
        <v>Sin Datos</v>
      </c>
      <c r="H95" s="9">
        <f>IFERROR(TP[[#This Row],[Costo Total Pedido USD]]+TP[[#This Row],[Costo de Envio Total UDS]],"Sin Datos")</f>
        <v>0</v>
      </c>
      <c r="I95" s="52"/>
      <c r="J95" s="9" t="str">
        <f>IFERROR((TP[[#This Row],[Costo Real Unitario USD]]*TP[[#This Row],[Impuesto UDS]])/TP[[#This Row],[Costo Total Pedido USD]],"Sin Datos")</f>
        <v>Sin Datos</v>
      </c>
      <c r="K95" s="9" t="str">
        <f>IFERROR(TP[[#This Row],[Costo Real Unitario USD]]+TP[[#This Row],[Costo de Envio Unitario UDS]]+TP[[#This Row],[Impuesto Unitario UDS]],"Sin Datos")</f>
        <v>Sin Datos</v>
      </c>
      <c r="L95" s="9">
        <f>IFERROR(TP[[#This Row],[Costo Total Pedido USD]]+TP[[#This Row],[Costo de Envio Total UDS]]+TP[[#This Row],[Impuesto UDS]],"Sin Datos")</f>
        <v>0</v>
      </c>
      <c r="M95" s="14">
        <f>IFERROR(((TP[[#This Row],[Costo Total Pedido USD]]*TP[[#This Row],[DÓLAR]])*$B$3)+(TP[[#This Row],[Costo Total Pedido USD]]*TP[[#This Row],[DÓLAR]]),"Sin Datos")</f>
        <v>0</v>
      </c>
      <c r="N9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5" s="14" t="str">
        <f>IFERROR(TP[[#This Row],[Costo Total Pza. MXN]]*TP[[#This Row],[CANTIDAD]],"Sin Datos")</f>
        <v>Sin Datos</v>
      </c>
      <c r="P95" s="29" t="str">
        <f>IFERROR((((TP[[#This Row],[Costo Total Pza. UDS]]*TP[[#This Row],[DÓLAR]])*$B$3)+(TP[[#This Row],[Costo Total Pza. UDS]]*TP[[#This Row],[DÓLAR]])),"Sin Datos")</f>
        <v>Sin Datos</v>
      </c>
      <c r="Q95" s="57"/>
      <c r="R9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5" s="29" t="str">
        <f>IFERROR(TP[[#This Row],[Costo Total Pza. MXN]]+TP[[#This Row],[Impuesto Unitario MXN]],"Sin Datos")</f>
        <v>Sin Datos</v>
      </c>
      <c r="T95" s="29" t="str">
        <f>IFERROR(TP[[#This Row],[Costo Costo]]*50%+TP[[#This Row],[Costo Costo]],"Sin Datos")</f>
        <v>Sin Datos</v>
      </c>
      <c r="U95" s="14" t="str">
        <f>IFERROR(TP[[#This Row],[Precio de Oficina]]-TP[[#This Row],[Costo Costo]],"Sin Datos")</f>
        <v>Sin Datos</v>
      </c>
      <c r="V95" s="29" t="str">
        <f>IFERROR(TP[[#This Row],[Precio de Oficina]]*14%+TP[[#This Row],[Precio de Oficina]],"Sin Datos")</f>
        <v>Sin Datos</v>
      </c>
      <c r="W95" s="29" t="str">
        <f>IFERROR(TP[[#This Row],[Precio de Oficina]]*20%+TP[[#This Row],[Precio de Oficina]],"Sin Datos")</f>
        <v>Sin Datos</v>
      </c>
      <c r="X95" s="30" t="str">
        <f>IFERROR(TP[[#This Row],[Precio de Wix]]*33.6%+TP[[#This Row],[Precio de Wix]]+100,"Sin Datos")</f>
        <v>Sin Datos</v>
      </c>
      <c r="Z95" s="8" t="s">
        <v>298</v>
      </c>
    </row>
    <row r="96" spans="1:26" x14ac:dyDescent="0.2">
      <c r="A96" s="36" t="s">
        <v>299</v>
      </c>
      <c r="B96" s="49"/>
      <c r="C96" s="49"/>
      <c r="D96" s="53"/>
      <c r="E96" s="52"/>
      <c r="F96" s="53"/>
      <c r="G96" s="28" t="str">
        <f>IFERROR(TP[[#This Row],[Costo Real Unitario USD]]*TP[[#This Row],[Costo de Envio Total UDS]]/TP[[#This Row],[Costo Total Pedido USD]], "Sin Datos")</f>
        <v>Sin Datos</v>
      </c>
      <c r="H96" s="9">
        <f>IFERROR(TP[[#This Row],[Costo Total Pedido USD]]+TP[[#This Row],[Costo de Envio Total UDS]],"Sin Datos")</f>
        <v>0</v>
      </c>
      <c r="I96" s="52"/>
      <c r="J96" s="9" t="str">
        <f>IFERROR((TP[[#This Row],[Costo Real Unitario USD]]*TP[[#This Row],[Impuesto UDS]])/TP[[#This Row],[Costo Total Pedido USD]],"Sin Datos")</f>
        <v>Sin Datos</v>
      </c>
      <c r="K96" s="9" t="str">
        <f>IFERROR(TP[[#This Row],[Costo Real Unitario USD]]+TP[[#This Row],[Costo de Envio Unitario UDS]]+TP[[#This Row],[Impuesto Unitario UDS]],"Sin Datos")</f>
        <v>Sin Datos</v>
      </c>
      <c r="L96" s="9">
        <f>IFERROR(TP[[#This Row],[Costo Total Pedido USD]]+TP[[#This Row],[Costo de Envio Total UDS]]+TP[[#This Row],[Impuesto UDS]],"Sin Datos")</f>
        <v>0</v>
      </c>
      <c r="M96" s="14">
        <f>IFERROR(((TP[[#This Row],[Costo Total Pedido USD]]*TP[[#This Row],[DÓLAR]])*$B$3)+(TP[[#This Row],[Costo Total Pedido USD]]*TP[[#This Row],[DÓLAR]]),"Sin Datos")</f>
        <v>0</v>
      </c>
      <c r="N9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6" s="14" t="str">
        <f>IFERROR(TP[[#This Row],[Costo Total Pza. MXN]]*TP[[#This Row],[CANTIDAD]],"Sin Datos")</f>
        <v>Sin Datos</v>
      </c>
      <c r="P96" s="29" t="str">
        <f>IFERROR((((TP[[#This Row],[Costo Total Pza. UDS]]*TP[[#This Row],[DÓLAR]])*$B$3)+(TP[[#This Row],[Costo Total Pza. UDS]]*TP[[#This Row],[DÓLAR]])),"Sin Datos")</f>
        <v>Sin Datos</v>
      </c>
      <c r="Q96" s="57"/>
      <c r="R9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6" s="29" t="str">
        <f>IFERROR(TP[[#This Row],[Costo Total Pza. MXN]]+TP[[#This Row],[Impuesto Unitario MXN]],"Sin Datos")</f>
        <v>Sin Datos</v>
      </c>
      <c r="T96" s="29" t="str">
        <f>IFERROR(TP[[#This Row],[Costo Costo]]*50%+TP[[#This Row],[Costo Costo]],"Sin Datos")</f>
        <v>Sin Datos</v>
      </c>
      <c r="U96" s="14" t="str">
        <f>IFERROR(TP[[#This Row],[Precio de Oficina]]-TP[[#This Row],[Costo Costo]],"Sin Datos")</f>
        <v>Sin Datos</v>
      </c>
      <c r="V96" s="29" t="str">
        <f>IFERROR(TP[[#This Row],[Precio de Oficina]]*14%+TP[[#This Row],[Precio de Oficina]],"Sin Datos")</f>
        <v>Sin Datos</v>
      </c>
      <c r="W96" s="29" t="str">
        <f>IFERROR(TP[[#This Row],[Precio de Oficina]]*20%+TP[[#This Row],[Precio de Oficina]],"Sin Datos")</f>
        <v>Sin Datos</v>
      </c>
      <c r="X96" s="30" t="str">
        <f>IFERROR(TP[[#This Row],[Precio de Wix]]*33.6%+TP[[#This Row],[Precio de Wix]]+100,"Sin Datos")</f>
        <v>Sin Datos</v>
      </c>
      <c r="Z96" s="8" t="s">
        <v>299</v>
      </c>
    </row>
    <row r="97" spans="1:26" x14ac:dyDescent="0.2">
      <c r="A97" s="36" t="s">
        <v>300</v>
      </c>
      <c r="B97" s="49"/>
      <c r="C97" s="49"/>
      <c r="D97" s="53"/>
      <c r="E97" s="52"/>
      <c r="F97" s="53"/>
      <c r="G97" s="28" t="str">
        <f>IFERROR(TP[[#This Row],[Costo Real Unitario USD]]*TP[[#This Row],[Costo de Envio Total UDS]]/TP[[#This Row],[Costo Total Pedido USD]], "Sin Datos")</f>
        <v>Sin Datos</v>
      </c>
      <c r="H97" s="9">
        <f>IFERROR(TP[[#This Row],[Costo Total Pedido USD]]+TP[[#This Row],[Costo de Envio Total UDS]],"Sin Datos")</f>
        <v>0</v>
      </c>
      <c r="I97" s="52"/>
      <c r="J97" s="9" t="str">
        <f>IFERROR((TP[[#This Row],[Costo Real Unitario USD]]*TP[[#This Row],[Impuesto UDS]])/TP[[#This Row],[Costo Total Pedido USD]],"Sin Datos")</f>
        <v>Sin Datos</v>
      </c>
      <c r="K97" s="9" t="str">
        <f>IFERROR(TP[[#This Row],[Costo Real Unitario USD]]+TP[[#This Row],[Costo de Envio Unitario UDS]]+TP[[#This Row],[Impuesto Unitario UDS]],"Sin Datos")</f>
        <v>Sin Datos</v>
      </c>
      <c r="L97" s="9">
        <f>IFERROR(TP[[#This Row],[Costo Total Pedido USD]]+TP[[#This Row],[Costo de Envio Total UDS]]+TP[[#This Row],[Impuesto UDS]],"Sin Datos")</f>
        <v>0</v>
      </c>
      <c r="M97" s="14">
        <f>IFERROR(((TP[[#This Row],[Costo Total Pedido USD]]*TP[[#This Row],[DÓLAR]])*$B$3)+(TP[[#This Row],[Costo Total Pedido USD]]*TP[[#This Row],[DÓLAR]]),"Sin Datos")</f>
        <v>0</v>
      </c>
      <c r="N9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7" s="14" t="str">
        <f>IFERROR(TP[[#This Row],[Costo Total Pza. MXN]]*TP[[#This Row],[CANTIDAD]],"Sin Datos")</f>
        <v>Sin Datos</v>
      </c>
      <c r="P97" s="29" t="str">
        <f>IFERROR((((TP[[#This Row],[Costo Total Pza. UDS]]*TP[[#This Row],[DÓLAR]])*$B$3)+(TP[[#This Row],[Costo Total Pza. UDS]]*TP[[#This Row],[DÓLAR]])),"Sin Datos")</f>
        <v>Sin Datos</v>
      </c>
      <c r="Q97" s="57"/>
      <c r="R9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7" s="29" t="str">
        <f>IFERROR(TP[[#This Row],[Costo Total Pza. MXN]]+TP[[#This Row],[Impuesto Unitario MXN]],"Sin Datos")</f>
        <v>Sin Datos</v>
      </c>
      <c r="T97" s="29" t="str">
        <f>IFERROR(TP[[#This Row],[Costo Costo]]*50%+TP[[#This Row],[Costo Costo]],"Sin Datos")</f>
        <v>Sin Datos</v>
      </c>
      <c r="U97" s="14" t="str">
        <f>IFERROR(TP[[#This Row],[Precio de Oficina]]-TP[[#This Row],[Costo Costo]],"Sin Datos")</f>
        <v>Sin Datos</v>
      </c>
      <c r="V97" s="29" t="str">
        <f>IFERROR(TP[[#This Row],[Precio de Oficina]]*14%+TP[[#This Row],[Precio de Oficina]],"Sin Datos")</f>
        <v>Sin Datos</v>
      </c>
      <c r="W97" s="29" t="str">
        <f>IFERROR(TP[[#This Row],[Precio de Oficina]]*20%+TP[[#This Row],[Precio de Oficina]],"Sin Datos")</f>
        <v>Sin Datos</v>
      </c>
      <c r="X97" s="30" t="str">
        <f>IFERROR(TP[[#This Row],[Precio de Wix]]*33.6%+TP[[#This Row],[Precio de Wix]]+100,"Sin Datos")</f>
        <v>Sin Datos</v>
      </c>
      <c r="Z97" s="8" t="s">
        <v>300</v>
      </c>
    </row>
    <row r="98" spans="1:26" x14ac:dyDescent="0.2">
      <c r="A98" s="36" t="s">
        <v>301</v>
      </c>
      <c r="B98" s="49"/>
      <c r="C98" s="49"/>
      <c r="D98" s="53"/>
      <c r="E98" s="52"/>
      <c r="F98" s="53"/>
      <c r="G98" s="28" t="str">
        <f>IFERROR(TP[[#This Row],[Costo Real Unitario USD]]*TP[[#This Row],[Costo de Envio Total UDS]]/TP[[#This Row],[Costo Total Pedido USD]], "Sin Datos")</f>
        <v>Sin Datos</v>
      </c>
      <c r="H98" s="9">
        <f>IFERROR(TP[[#This Row],[Costo Total Pedido USD]]+TP[[#This Row],[Costo de Envio Total UDS]],"Sin Datos")</f>
        <v>0</v>
      </c>
      <c r="I98" s="52"/>
      <c r="J98" s="9" t="str">
        <f>IFERROR((TP[[#This Row],[Costo Real Unitario USD]]*TP[[#This Row],[Impuesto UDS]])/TP[[#This Row],[Costo Total Pedido USD]],"Sin Datos")</f>
        <v>Sin Datos</v>
      </c>
      <c r="K98" s="9" t="str">
        <f>IFERROR(TP[[#This Row],[Costo Real Unitario USD]]+TP[[#This Row],[Costo de Envio Unitario UDS]]+TP[[#This Row],[Impuesto Unitario UDS]],"Sin Datos")</f>
        <v>Sin Datos</v>
      </c>
      <c r="L98" s="9">
        <f>IFERROR(TP[[#This Row],[Costo Total Pedido USD]]+TP[[#This Row],[Costo de Envio Total UDS]]+TP[[#This Row],[Impuesto UDS]],"Sin Datos")</f>
        <v>0</v>
      </c>
      <c r="M98" s="14">
        <f>IFERROR(((TP[[#This Row],[Costo Total Pedido USD]]*TP[[#This Row],[DÓLAR]])*$B$3)+(TP[[#This Row],[Costo Total Pedido USD]]*TP[[#This Row],[DÓLAR]]),"Sin Datos")</f>
        <v>0</v>
      </c>
      <c r="N9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8" s="14" t="str">
        <f>IFERROR(TP[[#This Row],[Costo Total Pza. MXN]]*TP[[#This Row],[CANTIDAD]],"Sin Datos")</f>
        <v>Sin Datos</v>
      </c>
      <c r="P98" s="29" t="str">
        <f>IFERROR((((TP[[#This Row],[Costo Total Pza. UDS]]*TP[[#This Row],[DÓLAR]])*$B$3)+(TP[[#This Row],[Costo Total Pza. UDS]]*TP[[#This Row],[DÓLAR]])),"Sin Datos")</f>
        <v>Sin Datos</v>
      </c>
      <c r="Q98" s="57"/>
      <c r="R9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8" s="29" t="str">
        <f>IFERROR(TP[[#This Row],[Costo Total Pza. MXN]]+TP[[#This Row],[Impuesto Unitario MXN]],"Sin Datos")</f>
        <v>Sin Datos</v>
      </c>
      <c r="T98" s="29" t="str">
        <f>IFERROR(TP[[#This Row],[Costo Costo]]*50%+TP[[#This Row],[Costo Costo]],"Sin Datos")</f>
        <v>Sin Datos</v>
      </c>
      <c r="U98" s="14" t="str">
        <f>IFERROR(TP[[#This Row],[Precio de Oficina]]-TP[[#This Row],[Costo Costo]],"Sin Datos")</f>
        <v>Sin Datos</v>
      </c>
      <c r="V98" s="29" t="str">
        <f>IFERROR(TP[[#This Row],[Precio de Oficina]]*14%+TP[[#This Row],[Precio de Oficina]],"Sin Datos")</f>
        <v>Sin Datos</v>
      </c>
      <c r="W98" s="29" t="str">
        <f>IFERROR(TP[[#This Row],[Precio de Oficina]]*20%+TP[[#This Row],[Precio de Oficina]],"Sin Datos")</f>
        <v>Sin Datos</v>
      </c>
      <c r="X98" s="30" t="str">
        <f>IFERROR(TP[[#This Row],[Precio de Wix]]*33.6%+TP[[#This Row],[Precio de Wix]]+100,"Sin Datos")</f>
        <v>Sin Datos</v>
      </c>
      <c r="Z98" s="8" t="s">
        <v>301</v>
      </c>
    </row>
    <row r="99" spans="1:26" x14ac:dyDescent="0.2">
      <c r="A99" s="36" t="s">
        <v>302</v>
      </c>
      <c r="B99" s="49"/>
      <c r="C99" s="49"/>
      <c r="D99" s="53"/>
      <c r="E99" s="52"/>
      <c r="F99" s="53"/>
      <c r="G99" s="28" t="str">
        <f>IFERROR(TP[[#This Row],[Costo Real Unitario USD]]*TP[[#This Row],[Costo de Envio Total UDS]]/TP[[#This Row],[Costo Total Pedido USD]], "Sin Datos")</f>
        <v>Sin Datos</v>
      </c>
      <c r="H99" s="9">
        <f>IFERROR(TP[[#This Row],[Costo Total Pedido USD]]+TP[[#This Row],[Costo de Envio Total UDS]],"Sin Datos")</f>
        <v>0</v>
      </c>
      <c r="I99" s="52"/>
      <c r="J99" s="9" t="str">
        <f>IFERROR((TP[[#This Row],[Costo Real Unitario USD]]*TP[[#This Row],[Impuesto UDS]])/TP[[#This Row],[Costo Total Pedido USD]],"Sin Datos")</f>
        <v>Sin Datos</v>
      </c>
      <c r="K99" s="9" t="str">
        <f>IFERROR(TP[[#This Row],[Costo Real Unitario USD]]+TP[[#This Row],[Costo de Envio Unitario UDS]]+TP[[#This Row],[Impuesto Unitario UDS]],"Sin Datos")</f>
        <v>Sin Datos</v>
      </c>
      <c r="L99" s="9">
        <f>IFERROR(TP[[#This Row],[Costo Total Pedido USD]]+TP[[#This Row],[Costo de Envio Total UDS]]+TP[[#This Row],[Impuesto UDS]],"Sin Datos")</f>
        <v>0</v>
      </c>
      <c r="M99" s="14">
        <f>IFERROR(((TP[[#This Row],[Costo Total Pedido USD]]*TP[[#This Row],[DÓLAR]])*$B$3)+(TP[[#This Row],[Costo Total Pedido USD]]*TP[[#This Row],[DÓLAR]]),"Sin Datos")</f>
        <v>0</v>
      </c>
      <c r="N9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99" s="14" t="str">
        <f>IFERROR(TP[[#This Row],[Costo Total Pza. MXN]]*TP[[#This Row],[CANTIDAD]],"Sin Datos")</f>
        <v>Sin Datos</v>
      </c>
      <c r="P99" s="29" t="str">
        <f>IFERROR((((TP[[#This Row],[Costo Total Pza. UDS]]*TP[[#This Row],[DÓLAR]])*$B$3)+(TP[[#This Row],[Costo Total Pza. UDS]]*TP[[#This Row],[DÓLAR]])),"Sin Datos")</f>
        <v>Sin Datos</v>
      </c>
      <c r="Q99" s="57"/>
      <c r="R9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99" s="29" t="str">
        <f>IFERROR(TP[[#This Row],[Costo Total Pza. MXN]]+TP[[#This Row],[Impuesto Unitario MXN]],"Sin Datos")</f>
        <v>Sin Datos</v>
      </c>
      <c r="T99" s="29" t="str">
        <f>IFERROR(TP[[#This Row],[Costo Costo]]*50%+TP[[#This Row],[Costo Costo]],"Sin Datos")</f>
        <v>Sin Datos</v>
      </c>
      <c r="U99" s="14" t="str">
        <f>IFERROR(TP[[#This Row],[Precio de Oficina]]-TP[[#This Row],[Costo Costo]],"Sin Datos")</f>
        <v>Sin Datos</v>
      </c>
      <c r="V99" s="29" t="str">
        <f>IFERROR(TP[[#This Row],[Precio de Oficina]]*14%+TP[[#This Row],[Precio de Oficina]],"Sin Datos")</f>
        <v>Sin Datos</v>
      </c>
      <c r="W99" s="29" t="str">
        <f>IFERROR(TP[[#This Row],[Precio de Oficina]]*20%+TP[[#This Row],[Precio de Oficina]],"Sin Datos")</f>
        <v>Sin Datos</v>
      </c>
      <c r="X99" s="30" t="str">
        <f>IFERROR(TP[[#This Row],[Precio de Wix]]*33.6%+TP[[#This Row],[Precio de Wix]]+100,"Sin Datos")</f>
        <v>Sin Datos</v>
      </c>
      <c r="Z99" s="8" t="s">
        <v>302</v>
      </c>
    </row>
    <row r="100" spans="1:26" x14ac:dyDescent="0.2">
      <c r="A100" s="36" t="s">
        <v>303</v>
      </c>
      <c r="B100" s="49"/>
      <c r="C100" s="49"/>
      <c r="D100" s="53"/>
      <c r="E100" s="52"/>
      <c r="F100" s="53"/>
      <c r="G100" s="28" t="str">
        <f>IFERROR(TP[[#This Row],[Costo Real Unitario USD]]*TP[[#This Row],[Costo de Envio Total UDS]]/TP[[#This Row],[Costo Total Pedido USD]], "Sin Datos")</f>
        <v>Sin Datos</v>
      </c>
      <c r="H100" s="9">
        <f>IFERROR(TP[[#This Row],[Costo Total Pedido USD]]+TP[[#This Row],[Costo de Envio Total UDS]],"Sin Datos")</f>
        <v>0</v>
      </c>
      <c r="I100" s="52"/>
      <c r="J100" s="9" t="str">
        <f>IFERROR((TP[[#This Row],[Costo Real Unitario USD]]*TP[[#This Row],[Impuesto UDS]])/TP[[#This Row],[Costo Total Pedido USD]],"Sin Datos")</f>
        <v>Sin Datos</v>
      </c>
      <c r="K100" s="9" t="str">
        <f>IFERROR(TP[[#This Row],[Costo Real Unitario USD]]+TP[[#This Row],[Costo de Envio Unitario UDS]]+TP[[#This Row],[Impuesto Unitario UDS]],"Sin Datos")</f>
        <v>Sin Datos</v>
      </c>
      <c r="L100" s="9">
        <f>IFERROR(TP[[#This Row],[Costo Total Pedido USD]]+TP[[#This Row],[Costo de Envio Total UDS]]+TP[[#This Row],[Impuesto UDS]],"Sin Datos")</f>
        <v>0</v>
      </c>
      <c r="M100" s="14">
        <f>IFERROR(((TP[[#This Row],[Costo Total Pedido USD]]*TP[[#This Row],[DÓLAR]])*$B$3)+(TP[[#This Row],[Costo Total Pedido USD]]*TP[[#This Row],[DÓLAR]]),"Sin Datos")</f>
        <v>0</v>
      </c>
      <c r="N10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0" s="14" t="str">
        <f>IFERROR(TP[[#This Row],[Costo Total Pza. MXN]]*TP[[#This Row],[CANTIDAD]],"Sin Datos")</f>
        <v>Sin Datos</v>
      </c>
      <c r="P100" s="29" t="str">
        <f>IFERROR((((TP[[#This Row],[Costo Total Pza. UDS]]*TP[[#This Row],[DÓLAR]])*$B$3)+(TP[[#This Row],[Costo Total Pza. UDS]]*TP[[#This Row],[DÓLAR]])),"Sin Datos")</f>
        <v>Sin Datos</v>
      </c>
      <c r="Q100" s="57"/>
      <c r="R10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0" s="29" t="str">
        <f>IFERROR(TP[[#This Row],[Costo Total Pza. MXN]]+TP[[#This Row],[Impuesto Unitario MXN]],"Sin Datos")</f>
        <v>Sin Datos</v>
      </c>
      <c r="T100" s="29" t="str">
        <f>IFERROR(TP[[#This Row],[Costo Costo]]*50%+TP[[#This Row],[Costo Costo]],"Sin Datos")</f>
        <v>Sin Datos</v>
      </c>
      <c r="U100" s="14" t="str">
        <f>IFERROR(TP[[#This Row],[Precio de Oficina]]-TP[[#This Row],[Costo Costo]],"Sin Datos")</f>
        <v>Sin Datos</v>
      </c>
      <c r="V100" s="29" t="str">
        <f>IFERROR(TP[[#This Row],[Precio de Oficina]]*14%+TP[[#This Row],[Precio de Oficina]],"Sin Datos")</f>
        <v>Sin Datos</v>
      </c>
      <c r="W100" s="29" t="str">
        <f>IFERROR(TP[[#This Row],[Precio de Oficina]]*20%+TP[[#This Row],[Precio de Oficina]],"Sin Datos")</f>
        <v>Sin Datos</v>
      </c>
      <c r="X100" s="30" t="str">
        <f>IFERROR(TP[[#This Row],[Precio de Wix]]*33.6%+TP[[#This Row],[Precio de Wix]]+100,"Sin Datos")</f>
        <v>Sin Datos</v>
      </c>
      <c r="Z100" s="8" t="s">
        <v>303</v>
      </c>
    </row>
    <row r="101" spans="1:26" x14ac:dyDescent="0.2">
      <c r="A101" s="36" t="s">
        <v>304</v>
      </c>
      <c r="B101" s="49"/>
      <c r="C101" s="49"/>
      <c r="D101" s="53"/>
      <c r="E101" s="52"/>
      <c r="F101" s="53"/>
      <c r="G101" s="28" t="str">
        <f>IFERROR(TP[[#This Row],[Costo Real Unitario USD]]*TP[[#This Row],[Costo de Envio Total UDS]]/TP[[#This Row],[Costo Total Pedido USD]], "Sin Datos")</f>
        <v>Sin Datos</v>
      </c>
      <c r="H101" s="9">
        <f>IFERROR(TP[[#This Row],[Costo Total Pedido USD]]+TP[[#This Row],[Costo de Envio Total UDS]],"Sin Datos")</f>
        <v>0</v>
      </c>
      <c r="I101" s="52"/>
      <c r="J101" s="9" t="str">
        <f>IFERROR((TP[[#This Row],[Costo Real Unitario USD]]*TP[[#This Row],[Impuesto UDS]])/TP[[#This Row],[Costo Total Pedido USD]],"Sin Datos")</f>
        <v>Sin Datos</v>
      </c>
      <c r="K101" s="9" t="str">
        <f>IFERROR(TP[[#This Row],[Costo Real Unitario USD]]+TP[[#This Row],[Costo de Envio Unitario UDS]]+TP[[#This Row],[Impuesto Unitario UDS]],"Sin Datos")</f>
        <v>Sin Datos</v>
      </c>
      <c r="L101" s="9">
        <f>IFERROR(TP[[#This Row],[Costo Total Pedido USD]]+TP[[#This Row],[Costo de Envio Total UDS]]+TP[[#This Row],[Impuesto UDS]],"Sin Datos")</f>
        <v>0</v>
      </c>
      <c r="M101" s="14">
        <f>IFERROR(((TP[[#This Row],[Costo Total Pedido USD]]*TP[[#This Row],[DÓLAR]])*$B$3)+(TP[[#This Row],[Costo Total Pedido USD]]*TP[[#This Row],[DÓLAR]]),"Sin Datos")</f>
        <v>0</v>
      </c>
      <c r="N10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1" s="14" t="str">
        <f>IFERROR(TP[[#This Row],[Costo Total Pza. MXN]]*TP[[#This Row],[CANTIDAD]],"Sin Datos")</f>
        <v>Sin Datos</v>
      </c>
      <c r="P101" s="29" t="str">
        <f>IFERROR((((TP[[#This Row],[Costo Total Pza. UDS]]*TP[[#This Row],[DÓLAR]])*$B$3)+(TP[[#This Row],[Costo Total Pza. UDS]]*TP[[#This Row],[DÓLAR]])),"Sin Datos")</f>
        <v>Sin Datos</v>
      </c>
      <c r="Q101" s="57"/>
      <c r="R10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1" s="29" t="str">
        <f>IFERROR(TP[[#This Row],[Costo Total Pza. MXN]]+TP[[#This Row],[Impuesto Unitario MXN]],"Sin Datos")</f>
        <v>Sin Datos</v>
      </c>
      <c r="T101" s="29" t="str">
        <f>IFERROR(TP[[#This Row],[Costo Costo]]*50%+TP[[#This Row],[Costo Costo]],"Sin Datos")</f>
        <v>Sin Datos</v>
      </c>
      <c r="U101" s="14" t="str">
        <f>IFERROR(TP[[#This Row],[Precio de Oficina]]-TP[[#This Row],[Costo Costo]],"Sin Datos")</f>
        <v>Sin Datos</v>
      </c>
      <c r="V101" s="29" t="str">
        <f>IFERROR(TP[[#This Row],[Precio de Oficina]]*14%+TP[[#This Row],[Precio de Oficina]],"Sin Datos")</f>
        <v>Sin Datos</v>
      </c>
      <c r="W101" s="29" t="str">
        <f>IFERROR(TP[[#This Row],[Precio de Oficina]]*20%+TP[[#This Row],[Precio de Oficina]],"Sin Datos")</f>
        <v>Sin Datos</v>
      </c>
      <c r="X101" s="30" t="str">
        <f>IFERROR(TP[[#This Row],[Precio de Wix]]*33.6%+TP[[#This Row],[Precio de Wix]]+100,"Sin Datos")</f>
        <v>Sin Datos</v>
      </c>
      <c r="Z101" s="8" t="s">
        <v>304</v>
      </c>
    </row>
    <row r="102" spans="1:26" x14ac:dyDescent="0.2">
      <c r="A102" s="36" t="s">
        <v>305</v>
      </c>
      <c r="B102" s="49"/>
      <c r="C102" s="49"/>
      <c r="D102" s="53"/>
      <c r="E102" s="52"/>
      <c r="F102" s="53"/>
      <c r="G102" s="28" t="str">
        <f>IFERROR(TP[[#This Row],[Costo Real Unitario USD]]*TP[[#This Row],[Costo de Envio Total UDS]]/TP[[#This Row],[Costo Total Pedido USD]], "Sin Datos")</f>
        <v>Sin Datos</v>
      </c>
      <c r="H102" s="9">
        <f>IFERROR(TP[[#This Row],[Costo Total Pedido USD]]+TP[[#This Row],[Costo de Envio Total UDS]],"Sin Datos")</f>
        <v>0</v>
      </c>
      <c r="I102" s="52"/>
      <c r="J102" s="9" t="str">
        <f>IFERROR((TP[[#This Row],[Costo Real Unitario USD]]*TP[[#This Row],[Impuesto UDS]])/TP[[#This Row],[Costo Total Pedido USD]],"Sin Datos")</f>
        <v>Sin Datos</v>
      </c>
      <c r="K102" s="9" t="str">
        <f>IFERROR(TP[[#This Row],[Costo Real Unitario USD]]+TP[[#This Row],[Costo de Envio Unitario UDS]]+TP[[#This Row],[Impuesto Unitario UDS]],"Sin Datos")</f>
        <v>Sin Datos</v>
      </c>
      <c r="L102" s="9">
        <f>IFERROR(TP[[#This Row],[Costo Total Pedido USD]]+TP[[#This Row],[Costo de Envio Total UDS]]+TP[[#This Row],[Impuesto UDS]],"Sin Datos")</f>
        <v>0</v>
      </c>
      <c r="M102" s="14">
        <f>IFERROR(((TP[[#This Row],[Costo Total Pedido USD]]*TP[[#This Row],[DÓLAR]])*$B$3)+(TP[[#This Row],[Costo Total Pedido USD]]*TP[[#This Row],[DÓLAR]]),"Sin Datos")</f>
        <v>0</v>
      </c>
      <c r="N10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2" s="14" t="str">
        <f>IFERROR(TP[[#This Row],[Costo Total Pza. MXN]]*TP[[#This Row],[CANTIDAD]],"Sin Datos")</f>
        <v>Sin Datos</v>
      </c>
      <c r="P102" s="29" t="str">
        <f>IFERROR((((TP[[#This Row],[Costo Total Pza. UDS]]*TP[[#This Row],[DÓLAR]])*$B$3)+(TP[[#This Row],[Costo Total Pza. UDS]]*TP[[#This Row],[DÓLAR]])),"Sin Datos")</f>
        <v>Sin Datos</v>
      </c>
      <c r="Q102" s="57"/>
      <c r="R10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2" s="29" t="str">
        <f>IFERROR(TP[[#This Row],[Costo Total Pza. MXN]]+TP[[#This Row],[Impuesto Unitario MXN]],"Sin Datos")</f>
        <v>Sin Datos</v>
      </c>
      <c r="T102" s="29" t="str">
        <f>IFERROR(TP[[#This Row],[Costo Costo]]*50%+TP[[#This Row],[Costo Costo]],"Sin Datos")</f>
        <v>Sin Datos</v>
      </c>
      <c r="U102" s="14" t="str">
        <f>IFERROR(TP[[#This Row],[Precio de Oficina]]-TP[[#This Row],[Costo Costo]],"Sin Datos")</f>
        <v>Sin Datos</v>
      </c>
      <c r="V102" s="29" t="str">
        <f>IFERROR(TP[[#This Row],[Precio de Oficina]]*14%+TP[[#This Row],[Precio de Oficina]],"Sin Datos")</f>
        <v>Sin Datos</v>
      </c>
      <c r="W102" s="29" t="str">
        <f>IFERROR(TP[[#This Row],[Precio de Oficina]]*20%+TP[[#This Row],[Precio de Oficina]],"Sin Datos")</f>
        <v>Sin Datos</v>
      </c>
      <c r="X102" s="30" t="str">
        <f>IFERROR(TP[[#This Row],[Precio de Wix]]*33.6%+TP[[#This Row],[Precio de Wix]]+100,"Sin Datos")</f>
        <v>Sin Datos</v>
      </c>
      <c r="Z102" s="8" t="s">
        <v>305</v>
      </c>
    </row>
    <row r="103" spans="1:26" x14ac:dyDescent="0.2">
      <c r="A103" s="36" t="s">
        <v>306</v>
      </c>
      <c r="B103" s="49"/>
      <c r="C103" s="49"/>
      <c r="D103" s="53"/>
      <c r="E103" s="52"/>
      <c r="F103" s="53"/>
      <c r="G103" s="28" t="str">
        <f>IFERROR(TP[[#This Row],[Costo Real Unitario USD]]*TP[[#This Row],[Costo de Envio Total UDS]]/TP[[#This Row],[Costo Total Pedido USD]], "Sin Datos")</f>
        <v>Sin Datos</v>
      </c>
      <c r="H103" s="9">
        <f>IFERROR(TP[[#This Row],[Costo Total Pedido USD]]+TP[[#This Row],[Costo de Envio Total UDS]],"Sin Datos")</f>
        <v>0</v>
      </c>
      <c r="I103" s="52"/>
      <c r="J103" s="9" t="str">
        <f>IFERROR((TP[[#This Row],[Costo Real Unitario USD]]*TP[[#This Row],[Impuesto UDS]])/TP[[#This Row],[Costo Total Pedido USD]],"Sin Datos")</f>
        <v>Sin Datos</v>
      </c>
      <c r="K103" s="9" t="str">
        <f>IFERROR(TP[[#This Row],[Costo Real Unitario USD]]+TP[[#This Row],[Costo de Envio Unitario UDS]]+TP[[#This Row],[Impuesto Unitario UDS]],"Sin Datos")</f>
        <v>Sin Datos</v>
      </c>
      <c r="L103" s="9">
        <f>IFERROR(TP[[#This Row],[Costo Total Pedido USD]]+TP[[#This Row],[Costo de Envio Total UDS]]+TP[[#This Row],[Impuesto UDS]],"Sin Datos")</f>
        <v>0</v>
      </c>
      <c r="M103" s="14">
        <f>IFERROR(((TP[[#This Row],[Costo Total Pedido USD]]*TP[[#This Row],[DÓLAR]])*$B$3)+(TP[[#This Row],[Costo Total Pedido USD]]*TP[[#This Row],[DÓLAR]]),"Sin Datos")</f>
        <v>0</v>
      </c>
      <c r="N10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3" s="14" t="str">
        <f>IFERROR(TP[[#This Row],[Costo Total Pza. MXN]]*TP[[#This Row],[CANTIDAD]],"Sin Datos")</f>
        <v>Sin Datos</v>
      </c>
      <c r="P103" s="29" t="str">
        <f>IFERROR((((TP[[#This Row],[Costo Total Pza. UDS]]*TP[[#This Row],[DÓLAR]])*$B$3)+(TP[[#This Row],[Costo Total Pza. UDS]]*TP[[#This Row],[DÓLAR]])),"Sin Datos")</f>
        <v>Sin Datos</v>
      </c>
      <c r="Q103" s="57"/>
      <c r="R10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3" s="29" t="str">
        <f>IFERROR(TP[[#This Row],[Costo Total Pza. MXN]]+TP[[#This Row],[Impuesto Unitario MXN]],"Sin Datos")</f>
        <v>Sin Datos</v>
      </c>
      <c r="T103" s="29" t="str">
        <f>IFERROR(TP[[#This Row],[Costo Costo]]*50%+TP[[#This Row],[Costo Costo]],"Sin Datos")</f>
        <v>Sin Datos</v>
      </c>
      <c r="U103" s="14" t="str">
        <f>IFERROR(TP[[#This Row],[Precio de Oficina]]-TP[[#This Row],[Costo Costo]],"Sin Datos")</f>
        <v>Sin Datos</v>
      </c>
      <c r="V103" s="29" t="str">
        <f>IFERROR(TP[[#This Row],[Precio de Oficina]]*14%+TP[[#This Row],[Precio de Oficina]],"Sin Datos")</f>
        <v>Sin Datos</v>
      </c>
      <c r="W103" s="29" t="str">
        <f>IFERROR(TP[[#This Row],[Precio de Oficina]]*20%+TP[[#This Row],[Precio de Oficina]],"Sin Datos")</f>
        <v>Sin Datos</v>
      </c>
      <c r="X103" s="30" t="str">
        <f>IFERROR(TP[[#This Row],[Precio de Wix]]*33.6%+TP[[#This Row],[Precio de Wix]]+100,"Sin Datos")</f>
        <v>Sin Datos</v>
      </c>
      <c r="Z103" s="8" t="s">
        <v>306</v>
      </c>
    </row>
    <row r="104" spans="1:26" x14ac:dyDescent="0.2">
      <c r="A104" s="36" t="s">
        <v>307</v>
      </c>
      <c r="B104" s="49"/>
      <c r="C104" s="49"/>
      <c r="D104" s="53"/>
      <c r="E104" s="52"/>
      <c r="F104" s="53"/>
      <c r="G104" s="28" t="str">
        <f>IFERROR(TP[[#This Row],[Costo Real Unitario USD]]*TP[[#This Row],[Costo de Envio Total UDS]]/TP[[#This Row],[Costo Total Pedido USD]], "Sin Datos")</f>
        <v>Sin Datos</v>
      </c>
      <c r="H104" s="9">
        <f>IFERROR(TP[[#This Row],[Costo Total Pedido USD]]+TP[[#This Row],[Costo de Envio Total UDS]],"Sin Datos")</f>
        <v>0</v>
      </c>
      <c r="I104" s="52"/>
      <c r="J104" s="9" t="str">
        <f>IFERROR((TP[[#This Row],[Costo Real Unitario USD]]*TP[[#This Row],[Impuesto UDS]])/TP[[#This Row],[Costo Total Pedido USD]],"Sin Datos")</f>
        <v>Sin Datos</v>
      </c>
      <c r="K104" s="9" t="str">
        <f>IFERROR(TP[[#This Row],[Costo Real Unitario USD]]+TP[[#This Row],[Costo de Envio Unitario UDS]]+TP[[#This Row],[Impuesto Unitario UDS]],"Sin Datos")</f>
        <v>Sin Datos</v>
      </c>
      <c r="L104" s="9">
        <f>IFERROR(TP[[#This Row],[Costo Total Pedido USD]]+TP[[#This Row],[Costo de Envio Total UDS]]+TP[[#This Row],[Impuesto UDS]],"Sin Datos")</f>
        <v>0</v>
      </c>
      <c r="M104" s="14">
        <f>IFERROR(((TP[[#This Row],[Costo Total Pedido USD]]*TP[[#This Row],[DÓLAR]])*$B$3)+(TP[[#This Row],[Costo Total Pedido USD]]*TP[[#This Row],[DÓLAR]]),"Sin Datos")</f>
        <v>0</v>
      </c>
      <c r="N10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4" s="14" t="str">
        <f>IFERROR(TP[[#This Row],[Costo Total Pza. MXN]]*TP[[#This Row],[CANTIDAD]],"Sin Datos")</f>
        <v>Sin Datos</v>
      </c>
      <c r="P104" s="29" t="str">
        <f>IFERROR((((TP[[#This Row],[Costo Total Pza. UDS]]*TP[[#This Row],[DÓLAR]])*$B$3)+(TP[[#This Row],[Costo Total Pza. UDS]]*TP[[#This Row],[DÓLAR]])),"Sin Datos")</f>
        <v>Sin Datos</v>
      </c>
      <c r="Q104" s="57"/>
      <c r="R10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4" s="29" t="str">
        <f>IFERROR(TP[[#This Row],[Costo Total Pza. MXN]]+TP[[#This Row],[Impuesto Unitario MXN]],"Sin Datos")</f>
        <v>Sin Datos</v>
      </c>
      <c r="T104" s="29" t="str">
        <f>IFERROR(TP[[#This Row],[Costo Costo]]*50%+TP[[#This Row],[Costo Costo]],"Sin Datos")</f>
        <v>Sin Datos</v>
      </c>
      <c r="U104" s="14" t="str">
        <f>IFERROR(TP[[#This Row],[Precio de Oficina]]-TP[[#This Row],[Costo Costo]],"Sin Datos")</f>
        <v>Sin Datos</v>
      </c>
      <c r="V104" s="29" t="str">
        <f>IFERROR(TP[[#This Row],[Precio de Oficina]]*14%+TP[[#This Row],[Precio de Oficina]],"Sin Datos")</f>
        <v>Sin Datos</v>
      </c>
      <c r="W104" s="29" t="str">
        <f>IFERROR(TP[[#This Row],[Precio de Oficina]]*20%+TP[[#This Row],[Precio de Oficina]],"Sin Datos")</f>
        <v>Sin Datos</v>
      </c>
      <c r="X104" s="30" t="str">
        <f>IFERROR(TP[[#This Row],[Precio de Wix]]*33.6%+TP[[#This Row],[Precio de Wix]]+100,"Sin Datos")</f>
        <v>Sin Datos</v>
      </c>
      <c r="Z104" s="8" t="s">
        <v>307</v>
      </c>
    </row>
    <row r="105" spans="1:26" x14ac:dyDescent="0.2">
      <c r="A105" s="36" t="s">
        <v>308</v>
      </c>
      <c r="B105" s="49"/>
      <c r="C105" s="49"/>
      <c r="D105" s="53"/>
      <c r="E105" s="52"/>
      <c r="F105" s="53"/>
      <c r="G105" s="28" t="str">
        <f>IFERROR(TP[[#This Row],[Costo Real Unitario USD]]*TP[[#This Row],[Costo de Envio Total UDS]]/TP[[#This Row],[Costo Total Pedido USD]], "Sin Datos")</f>
        <v>Sin Datos</v>
      </c>
      <c r="H105" s="9">
        <f>IFERROR(TP[[#This Row],[Costo Total Pedido USD]]+TP[[#This Row],[Costo de Envio Total UDS]],"Sin Datos")</f>
        <v>0</v>
      </c>
      <c r="I105" s="52"/>
      <c r="J105" s="9" t="str">
        <f>IFERROR((TP[[#This Row],[Costo Real Unitario USD]]*TP[[#This Row],[Impuesto UDS]])/TP[[#This Row],[Costo Total Pedido USD]],"Sin Datos")</f>
        <v>Sin Datos</v>
      </c>
      <c r="K105" s="9" t="str">
        <f>IFERROR(TP[[#This Row],[Costo Real Unitario USD]]+TP[[#This Row],[Costo de Envio Unitario UDS]]+TP[[#This Row],[Impuesto Unitario UDS]],"Sin Datos")</f>
        <v>Sin Datos</v>
      </c>
      <c r="L105" s="9">
        <f>IFERROR(TP[[#This Row],[Costo Total Pedido USD]]+TP[[#This Row],[Costo de Envio Total UDS]]+TP[[#This Row],[Impuesto UDS]],"Sin Datos")</f>
        <v>0</v>
      </c>
      <c r="M105" s="14">
        <f>IFERROR(((TP[[#This Row],[Costo Total Pedido USD]]*TP[[#This Row],[DÓLAR]])*$B$3)+(TP[[#This Row],[Costo Total Pedido USD]]*TP[[#This Row],[DÓLAR]]),"Sin Datos")</f>
        <v>0</v>
      </c>
      <c r="N10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5" s="14" t="str">
        <f>IFERROR(TP[[#This Row],[Costo Total Pza. MXN]]*TP[[#This Row],[CANTIDAD]],"Sin Datos")</f>
        <v>Sin Datos</v>
      </c>
      <c r="P105" s="29" t="str">
        <f>IFERROR((((TP[[#This Row],[Costo Total Pza. UDS]]*TP[[#This Row],[DÓLAR]])*$B$3)+(TP[[#This Row],[Costo Total Pza. UDS]]*TP[[#This Row],[DÓLAR]])),"Sin Datos")</f>
        <v>Sin Datos</v>
      </c>
      <c r="Q105" s="57"/>
      <c r="R10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5" s="29" t="str">
        <f>IFERROR(TP[[#This Row],[Costo Total Pza. MXN]]+TP[[#This Row],[Impuesto Unitario MXN]],"Sin Datos")</f>
        <v>Sin Datos</v>
      </c>
      <c r="T105" s="29" t="str">
        <f>IFERROR(TP[[#This Row],[Costo Costo]]*50%+TP[[#This Row],[Costo Costo]],"Sin Datos")</f>
        <v>Sin Datos</v>
      </c>
      <c r="U105" s="14" t="str">
        <f>IFERROR(TP[[#This Row],[Precio de Oficina]]-TP[[#This Row],[Costo Costo]],"Sin Datos")</f>
        <v>Sin Datos</v>
      </c>
      <c r="V105" s="29" t="str">
        <f>IFERROR(TP[[#This Row],[Precio de Oficina]]*14%+TP[[#This Row],[Precio de Oficina]],"Sin Datos")</f>
        <v>Sin Datos</v>
      </c>
      <c r="W105" s="29" t="str">
        <f>IFERROR(TP[[#This Row],[Precio de Oficina]]*20%+TP[[#This Row],[Precio de Oficina]],"Sin Datos")</f>
        <v>Sin Datos</v>
      </c>
      <c r="X105" s="30" t="str">
        <f>IFERROR(TP[[#This Row],[Precio de Wix]]*33.6%+TP[[#This Row],[Precio de Wix]]+100,"Sin Datos")</f>
        <v>Sin Datos</v>
      </c>
      <c r="Z105" s="8" t="s">
        <v>308</v>
      </c>
    </row>
    <row r="106" spans="1:26" x14ac:dyDescent="0.2">
      <c r="A106" s="36" t="s">
        <v>309</v>
      </c>
      <c r="B106" s="49"/>
      <c r="C106" s="49"/>
      <c r="D106" s="53"/>
      <c r="E106" s="52"/>
      <c r="F106" s="53"/>
      <c r="G106" s="28" t="str">
        <f>IFERROR(TP[[#This Row],[Costo Real Unitario USD]]*TP[[#This Row],[Costo de Envio Total UDS]]/TP[[#This Row],[Costo Total Pedido USD]], "Sin Datos")</f>
        <v>Sin Datos</v>
      </c>
      <c r="H106" s="9">
        <f>IFERROR(TP[[#This Row],[Costo Total Pedido USD]]+TP[[#This Row],[Costo de Envio Total UDS]],"Sin Datos")</f>
        <v>0</v>
      </c>
      <c r="I106" s="52"/>
      <c r="J106" s="9" t="str">
        <f>IFERROR((TP[[#This Row],[Costo Real Unitario USD]]*TP[[#This Row],[Impuesto UDS]])/TP[[#This Row],[Costo Total Pedido USD]],"Sin Datos")</f>
        <v>Sin Datos</v>
      </c>
      <c r="K106" s="9" t="str">
        <f>IFERROR(TP[[#This Row],[Costo Real Unitario USD]]+TP[[#This Row],[Costo de Envio Unitario UDS]]+TP[[#This Row],[Impuesto Unitario UDS]],"Sin Datos")</f>
        <v>Sin Datos</v>
      </c>
      <c r="L106" s="9">
        <f>IFERROR(TP[[#This Row],[Costo Total Pedido USD]]+TP[[#This Row],[Costo de Envio Total UDS]]+TP[[#This Row],[Impuesto UDS]],"Sin Datos")</f>
        <v>0</v>
      </c>
      <c r="M106" s="14">
        <f>IFERROR(((TP[[#This Row],[Costo Total Pedido USD]]*TP[[#This Row],[DÓLAR]])*$B$3)+(TP[[#This Row],[Costo Total Pedido USD]]*TP[[#This Row],[DÓLAR]]),"Sin Datos")</f>
        <v>0</v>
      </c>
      <c r="N10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6" s="14" t="str">
        <f>IFERROR(TP[[#This Row],[Costo Total Pza. MXN]]*TP[[#This Row],[CANTIDAD]],"Sin Datos")</f>
        <v>Sin Datos</v>
      </c>
      <c r="P106" s="29" t="str">
        <f>IFERROR((((TP[[#This Row],[Costo Total Pza. UDS]]*TP[[#This Row],[DÓLAR]])*$B$3)+(TP[[#This Row],[Costo Total Pza. UDS]]*TP[[#This Row],[DÓLAR]])),"Sin Datos")</f>
        <v>Sin Datos</v>
      </c>
      <c r="Q106" s="57"/>
      <c r="R10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6" s="29" t="str">
        <f>IFERROR(TP[[#This Row],[Costo Total Pza. MXN]]+TP[[#This Row],[Impuesto Unitario MXN]],"Sin Datos")</f>
        <v>Sin Datos</v>
      </c>
      <c r="T106" s="29" t="str">
        <f>IFERROR(TP[[#This Row],[Costo Costo]]*50%+TP[[#This Row],[Costo Costo]],"Sin Datos")</f>
        <v>Sin Datos</v>
      </c>
      <c r="U106" s="14" t="str">
        <f>IFERROR(TP[[#This Row],[Precio de Oficina]]-TP[[#This Row],[Costo Costo]],"Sin Datos")</f>
        <v>Sin Datos</v>
      </c>
      <c r="V106" s="29" t="str">
        <f>IFERROR(TP[[#This Row],[Precio de Oficina]]*14%+TP[[#This Row],[Precio de Oficina]],"Sin Datos")</f>
        <v>Sin Datos</v>
      </c>
      <c r="W106" s="29" t="str">
        <f>IFERROR(TP[[#This Row],[Precio de Oficina]]*20%+TP[[#This Row],[Precio de Oficina]],"Sin Datos")</f>
        <v>Sin Datos</v>
      </c>
      <c r="X106" s="30" t="str">
        <f>IFERROR(TP[[#This Row],[Precio de Wix]]*33.6%+TP[[#This Row],[Precio de Wix]]+100,"Sin Datos")</f>
        <v>Sin Datos</v>
      </c>
      <c r="Z106" s="8" t="s">
        <v>309</v>
      </c>
    </row>
    <row r="107" spans="1:26" x14ac:dyDescent="0.2">
      <c r="A107" s="36" t="s">
        <v>310</v>
      </c>
      <c r="B107" s="49"/>
      <c r="C107" s="49"/>
      <c r="D107" s="53"/>
      <c r="E107" s="52"/>
      <c r="F107" s="53"/>
      <c r="G107" s="28" t="str">
        <f>IFERROR(TP[[#This Row],[Costo Real Unitario USD]]*TP[[#This Row],[Costo de Envio Total UDS]]/TP[[#This Row],[Costo Total Pedido USD]], "Sin Datos")</f>
        <v>Sin Datos</v>
      </c>
      <c r="H107" s="9">
        <f>IFERROR(TP[[#This Row],[Costo Total Pedido USD]]+TP[[#This Row],[Costo de Envio Total UDS]],"Sin Datos")</f>
        <v>0</v>
      </c>
      <c r="I107" s="52"/>
      <c r="J107" s="9" t="str">
        <f>IFERROR((TP[[#This Row],[Costo Real Unitario USD]]*TP[[#This Row],[Impuesto UDS]])/TP[[#This Row],[Costo Total Pedido USD]],"Sin Datos")</f>
        <v>Sin Datos</v>
      </c>
      <c r="K107" s="9" t="str">
        <f>IFERROR(TP[[#This Row],[Costo Real Unitario USD]]+TP[[#This Row],[Costo de Envio Unitario UDS]]+TP[[#This Row],[Impuesto Unitario UDS]],"Sin Datos")</f>
        <v>Sin Datos</v>
      </c>
      <c r="L107" s="9">
        <f>IFERROR(TP[[#This Row],[Costo Total Pedido USD]]+TP[[#This Row],[Costo de Envio Total UDS]]+TP[[#This Row],[Impuesto UDS]],"Sin Datos")</f>
        <v>0</v>
      </c>
      <c r="M107" s="14">
        <f>IFERROR(((TP[[#This Row],[Costo Total Pedido USD]]*TP[[#This Row],[DÓLAR]])*$B$3)+(TP[[#This Row],[Costo Total Pedido USD]]*TP[[#This Row],[DÓLAR]]),"Sin Datos")</f>
        <v>0</v>
      </c>
      <c r="N10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7" s="14" t="str">
        <f>IFERROR(TP[[#This Row],[Costo Total Pza. MXN]]*TP[[#This Row],[CANTIDAD]],"Sin Datos")</f>
        <v>Sin Datos</v>
      </c>
      <c r="P107" s="29" t="str">
        <f>IFERROR((((TP[[#This Row],[Costo Total Pza. UDS]]*TP[[#This Row],[DÓLAR]])*$B$3)+(TP[[#This Row],[Costo Total Pza. UDS]]*TP[[#This Row],[DÓLAR]])),"Sin Datos")</f>
        <v>Sin Datos</v>
      </c>
      <c r="Q107" s="57"/>
      <c r="R10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7" s="29" t="str">
        <f>IFERROR(TP[[#This Row],[Costo Total Pza. MXN]]+TP[[#This Row],[Impuesto Unitario MXN]],"Sin Datos")</f>
        <v>Sin Datos</v>
      </c>
      <c r="T107" s="29" t="str">
        <f>IFERROR(TP[[#This Row],[Costo Costo]]*50%+TP[[#This Row],[Costo Costo]],"Sin Datos")</f>
        <v>Sin Datos</v>
      </c>
      <c r="U107" s="14" t="str">
        <f>IFERROR(TP[[#This Row],[Precio de Oficina]]-TP[[#This Row],[Costo Costo]],"Sin Datos")</f>
        <v>Sin Datos</v>
      </c>
      <c r="V107" s="29" t="str">
        <f>IFERROR(TP[[#This Row],[Precio de Oficina]]*14%+TP[[#This Row],[Precio de Oficina]],"Sin Datos")</f>
        <v>Sin Datos</v>
      </c>
      <c r="W107" s="29" t="str">
        <f>IFERROR(TP[[#This Row],[Precio de Oficina]]*20%+TP[[#This Row],[Precio de Oficina]],"Sin Datos")</f>
        <v>Sin Datos</v>
      </c>
      <c r="X107" s="30" t="str">
        <f>IFERROR(TP[[#This Row],[Precio de Wix]]*33.6%+TP[[#This Row],[Precio de Wix]]+100,"Sin Datos")</f>
        <v>Sin Datos</v>
      </c>
      <c r="Z107" s="8" t="s">
        <v>310</v>
      </c>
    </row>
    <row r="108" spans="1:26" x14ac:dyDescent="0.2">
      <c r="A108" s="36" t="s">
        <v>311</v>
      </c>
      <c r="B108" s="49"/>
      <c r="C108" s="49"/>
      <c r="D108" s="53"/>
      <c r="E108" s="52"/>
      <c r="F108" s="53"/>
      <c r="G108" s="28" t="str">
        <f>IFERROR(TP[[#This Row],[Costo Real Unitario USD]]*TP[[#This Row],[Costo de Envio Total UDS]]/TP[[#This Row],[Costo Total Pedido USD]], "Sin Datos")</f>
        <v>Sin Datos</v>
      </c>
      <c r="H108" s="9">
        <f>IFERROR(TP[[#This Row],[Costo Total Pedido USD]]+TP[[#This Row],[Costo de Envio Total UDS]],"Sin Datos")</f>
        <v>0</v>
      </c>
      <c r="I108" s="52"/>
      <c r="J108" s="9" t="str">
        <f>IFERROR((TP[[#This Row],[Costo Real Unitario USD]]*TP[[#This Row],[Impuesto UDS]])/TP[[#This Row],[Costo Total Pedido USD]],"Sin Datos")</f>
        <v>Sin Datos</v>
      </c>
      <c r="K108" s="9" t="str">
        <f>IFERROR(TP[[#This Row],[Costo Real Unitario USD]]+TP[[#This Row],[Costo de Envio Unitario UDS]]+TP[[#This Row],[Impuesto Unitario UDS]],"Sin Datos")</f>
        <v>Sin Datos</v>
      </c>
      <c r="L108" s="9">
        <f>IFERROR(TP[[#This Row],[Costo Total Pedido USD]]+TP[[#This Row],[Costo de Envio Total UDS]]+TP[[#This Row],[Impuesto UDS]],"Sin Datos")</f>
        <v>0</v>
      </c>
      <c r="M108" s="14">
        <f>IFERROR(((TP[[#This Row],[Costo Total Pedido USD]]*TP[[#This Row],[DÓLAR]])*$B$3)+(TP[[#This Row],[Costo Total Pedido USD]]*TP[[#This Row],[DÓLAR]]),"Sin Datos")</f>
        <v>0</v>
      </c>
      <c r="N10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8" s="14" t="str">
        <f>IFERROR(TP[[#This Row],[Costo Total Pza. MXN]]*TP[[#This Row],[CANTIDAD]],"Sin Datos")</f>
        <v>Sin Datos</v>
      </c>
      <c r="P108" s="29" t="str">
        <f>IFERROR((((TP[[#This Row],[Costo Total Pza. UDS]]*TP[[#This Row],[DÓLAR]])*$B$3)+(TP[[#This Row],[Costo Total Pza. UDS]]*TP[[#This Row],[DÓLAR]])),"Sin Datos")</f>
        <v>Sin Datos</v>
      </c>
      <c r="Q108" s="57"/>
      <c r="R10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8" s="29" t="str">
        <f>IFERROR(TP[[#This Row],[Costo Total Pza. MXN]]+TP[[#This Row],[Impuesto Unitario MXN]],"Sin Datos")</f>
        <v>Sin Datos</v>
      </c>
      <c r="T108" s="29" t="str">
        <f>IFERROR(TP[[#This Row],[Costo Costo]]*50%+TP[[#This Row],[Costo Costo]],"Sin Datos")</f>
        <v>Sin Datos</v>
      </c>
      <c r="U108" s="14" t="str">
        <f>IFERROR(TP[[#This Row],[Precio de Oficina]]-TP[[#This Row],[Costo Costo]],"Sin Datos")</f>
        <v>Sin Datos</v>
      </c>
      <c r="V108" s="29" t="str">
        <f>IFERROR(TP[[#This Row],[Precio de Oficina]]*14%+TP[[#This Row],[Precio de Oficina]],"Sin Datos")</f>
        <v>Sin Datos</v>
      </c>
      <c r="W108" s="29" t="str">
        <f>IFERROR(TP[[#This Row],[Precio de Oficina]]*20%+TP[[#This Row],[Precio de Oficina]],"Sin Datos")</f>
        <v>Sin Datos</v>
      </c>
      <c r="X108" s="30" t="str">
        <f>IFERROR(TP[[#This Row],[Precio de Wix]]*33.6%+TP[[#This Row],[Precio de Wix]]+100,"Sin Datos")</f>
        <v>Sin Datos</v>
      </c>
      <c r="Z108" s="8" t="s">
        <v>311</v>
      </c>
    </row>
    <row r="109" spans="1:26" x14ac:dyDescent="0.2">
      <c r="A109" s="36" t="s">
        <v>312</v>
      </c>
      <c r="B109" s="49"/>
      <c r="C109" s="49"/>
      <c r="D109" s="53"/>
      <c r="E109" s="52"/>
      <c r="F109" s="53"/>
      <c r="G109" s="28" t="str">
        <f>IFERROR(TP[[#This Row],[Costo Real Unitario USD]]*TP[[#This Row],[Costo de Envio Total UDS]]/TP[[#This Row],[Costo Total Pedido USD]], "Sin Datos")</f>
        <v>Sin Datos</v>
      </c>
      <c r="H109" s="9">
        <f>IFERROR(TP[[#This Row],[Costo Total Pedido USD]]+TP[[#This Row],[Costo de Envio Total UDS]],"Sin Datos")</f>
        <v>0</v>
      </c>
      <c r="I109" s="52"/>
      <c r="J109" s="9" t="str">
        <f>IFERROR((TP[[#This Row],[Costo Real Unitario USD]]*TP[[#This Row],[Impuesto UDS]])/TP[[#This Row],[Costo Total Pedido USD]],"Sin Datos")</f>
        <v>Sin Datos</v>
      </c>
      <c r="K109" s="9" t="str">
        <f>IFERROR(TP[[#This Row],[Costo Real Unitario USD]]+TP[[#This Row],[Costo de Envio Unitario UDS]]+TP[[#This Row],[Impuesto Unitario UDS]],"Sin Datos")</f>
        <v>Sin Datos</v>
      </c>
      <c r="L109" s="9">
        <f>IFERROR(TP[[#This Row],[Costo Total Pedido USD]]+TP[[#This Row],[Costo de Envio Total UDS]]+TP[[#This Row],[Impuesto UDS]],"Sin Datos")</f>
        <v>0</v>
      </c>
      <c r="M109" s="14">
        <f>IFERROR(((TP[[#This Row],[Costo Total Pedido USD]]*TP[[#This Row],[DÓLAR]])*$B$3)+(TP[[#This Row],[Costo Total Pedido USD]]*TP[[#This Row],[DÓLAR]]),"Sin Datos")</f>
        <v>0</v>
      </c>
      <c r="N10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09" s="14" t="str">
        <f>IFERROR(TP[[#This Row],[Costo Total Pza. MXN]]*TP[[#This Row],[CANTIDAD]],"Sin Datos")</f>
        <v>Sin Datos</v>
      </c>
      <c r="P109" s="29" t="str">
        <f>IFERROR((((TP[[#This Row],[Costo Total Pza. UDS]]*TP[[#This Row],[DÓLAR]])*$B$3)+(TP[[#This Row],[Costo Total Pza. UDS]]*TP[[#This Row],[DÓLAR]])),"Sin Datos")</f>
        <v>Sin Datos</v>
      </c>
      <c r="Q109" s="57"/>
      <c r="R10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09" s="29" t="str">
        <f>IFERROR(TP[[#This Row],[Costo Total Pza. MXN]]+TP[[#This Row],[Impuesto Unitario MXN]],"Sin Datos")</f>
        <v>Sin Datos</v>
      </c>
      <c r="T109" s="29" t="str">
        <f>IFERROR(TP[[#This Row],[Costo Costo]]*50%+TP[[#This Row],[Costo Costo]],"Sin Datos")</f>
        <v>Sin Datos</v>
      </c>
      <c r="U109" s="14" t="str">
        <f>IFERROR(TP[[#This Row],[Precio de Oficina]]-TP[[#This Row],[Costo Costo]],"Sin Datos")</f>
        <v>Sin Datos</v>
      </c>
      <c r="V109" s="29" t="str">
        <f>IFERROR(TP[[#This Row],[Precio de Oficina]]*14%+TP[[#This Row],[Precio de Oficina]],"Sin Datos")</f>
        <v>Sin Datos</v>
      </c>
      <c r="W109" s="29" t="str">
        <f>IFERROR(TP[[#This Row],[Precio de Oficina]]*20%+TP[[#This Row],[Precio de Oficina]],"Sin Datos")</f>
        <v>Sin Datos</v>
      </c>
      <c r="X109" s="30" t="str">
        <f>IFERROR(TP[[#This Row],[Precio de Wix]]*33.6%+TP[[#This Row],[Precio de Wix]]+100,"Sin Datos")</f>
        <v>Sin Datos</v>
      </c>
      <c r="Z109" s="8" t="s">
        <v>312</v>
      </c>
    </row>
    <row r="110" spans="1:26" x14ac:dyDescent="0.2">
      <c r="A110" s="36" t="s">
        <v>313</v>
      </c>
      <c r="B110" s="49"/>
      <c r="C110" s="49"/>
      <c r="D110" s="53"/>
      <c r="E110" s="52"/>
      <c r="F110" s="53"/>
      <c r="G110" s="28" t="str">
        <f>IFERROR(TP[[#This Row],[Costo Real Unitario USD]]*TP[[#This Row],[Costo de Envio Total UDS]]/TP[[#This Row],[Costo Total Pedido USD]], "Sin Datos")</f>
        <v>Sin Datos</v>
      </c>
      <c r="H110" s="9">
        <f>IFERROR(TP[[#This Row],[Costo Total Pedido USD]]+TP[[#This Row],[Costo de Envio Total UDS]],"Sin Datos")</f>
        <v>0</v>
      </c>
      <c r="I110" s="52"/>
      <c r="J110" s="9" t="str">
        <f>IFERROR((TP[[#This Row],[Costo Real Unitario USD]]*TP[[#This Row],[Impuesto UDS]])/TP[[#This Row],[Costo Total Pedido USD]],"Sin Datos")</f>
        <v>Sin Datos</v>
      </c>
      <c r="K110" s="9" t="str">
        <f>IFERROR(TP[[#This Row],[Costo Real Unitario USD]]+TP[[#This Row],[Costo de Envio Unitario UDS]]+TP[[#This Row],[Impuesto Unitario UDS]],"Sin Datos")</f>
        <v>Sin Datos</v>
      </c>
      <c r="L110" s="9">
        <f>IFERROR(TP[[#This Row],[Costo Total Pedido USD]]+TP[[#This Row],[Costo de Envio Total UDS]]+TP[[#This Row],[Impuesto UDS]],"Sin Datos")</f>
        <v>0</v>
      </c>
      <c r="M110" s="14">
        <f>IFERROR(((TP[[#This Row],[Costo Total Pedido USD]]*TP[[#This Row],[DÓLAR]])*$B$3)+(TP[[#This Row],[Costo Total Pedido USD]]*TP[[#This Row],[DÓLAR]]),"Sin Datos")</f>
        <v>0</v>
      </c>
      <c r="N11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0" s="14" t="str">
        <f>IFERROR(TP[[#This Row],[Costo Total Pza. MXN]]*TP[[#This Row],[CANTIDAD]],"Sin Datos")</f>
        <v>Sin Datos</v>
      </c>
      <c r="P110" s="29" t="str">
        <f>IFERROR((((TP[[#This Row],[Costo Total Pza. UDS]]*TP[[#This Row],[DÓLAR]])*$B$3)+(TP[[#This Row],[Costo Total Pza. UDS]]*TP[[#This Row],[DÓLAR]])),"Sin Datos")</f>
        <v>Sin Datos</v>
      </c>
      <c r="Q110" s="57"/>
      <c r="R11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0" s="29" t="str">
        <f>IFERROR(TP[[#This Row],[Costo Total Pza. MXN]]+TP[[#This Row],[Impuesto Unitario MXN]],"Sin Datos")</f>
        <v>Sin Datos</v>
      </c>
      <c r="T110" s="29" t="str">
        <f>IFERROR(TP[[#This Row],[Costo Costo]]*50%+TP[[#This Row],[Costo Costo]],"Sin Datos")</f>
        <v>Sin Datos</v>
      </c>
      <c r="U110" s="14" t="str">
        <f>IFERROR(TP[[#This Row],[Precio de Oficina]]-TP[[#This Row],[Costo Costo]],"Sin Datos")</f>
        <v>Sin Datos</v>
      </c>
      <c r="V110" s="29" t="str">
        <f>IFERROR(TP[[#This Row],[Precio de Oficina]]*14%+TP[[#This Row],[Precio de Oficina]],"Sin Datos")</f>
        <v>Sin Datos</v>
      </c>
      <c r="W110" s="29" t="str">
        <f>IFERROR(TP[[#This Row],[Precio de Oficina]]*20%+TP[[#This Row],[Precio de Oficina]],"Sin Datos")</f>
        <v>Sin Datos</v>
      </c>
      <c r="X110" s="30" t="str">
        <f>IFERROR(TP[[#This Row],[Precio de Wix]]*33.6%+TP[[#This Row],[Precio de Wix]]+100,"Sin Datos")</f>
        <v>Sin Datos</v>
      </c>
      <c r="Z110" s="8" t="s">
        <v>313</v>
      </c>
    </row>
    <row r="111" spans="1:26" x14ac:dyDescent="0.2">
      <c r="A111" s="36" t="s">
        <v>314</v>
      </c>
      <c r="B111" s="49"/>
      <c r="C111" s="49"/>
      <c r="D111" s="53"/>
      <c r="E111" s="52"/>
      <c r="F111" s="53"/>
      <c r="G111" s="28" t="str">
        <f>IFERROR(TP[[#This Row],[Costo Real Unitario USD]]*TP[[#This Row],[Costo de Envio Total UDS]]/TP[[#This Row],[Costo Total Pedido USD]], "Sin Datos")</f>
        <v>Sin Datos</v>
      </c>
      <c r="H111" s="9">
        <f>IFERROR(TP[[#This Row],[Costo Total Pedido USD]]+TP[[#This Row],[Costo de Envio Total UDS]],"Sin Datos")</f>
        <v>0</v>
      </c>
      <c r="I111" s="52"/>
      <c r="J111" s="9" t="str">
        <f>IFERROR((TP[[#This Row],[Costo Real Unitario USD]]*TP[[#This Row],[Impuesto UDS]])/TP[[#This Row],[Costo Total Pedido USD]],"Sin Datos")</f>
        <v>Sin Datos</v>
      </c>
      <c r="K111" s="9" t="str">
        <f>IFERROR(TP[[#This Row],[Costo Real Unitario USD]]+TP[[#This Row],[Costo de Envio Unitario UDS]]+TP[[#This Row],[Impuesto Unitario UDS]],"Sin Datos")</f>
        <v>Sin Datos</v>
      </c>
      <c r="L111" s="9">
        <f>IFERROR(TP[[#This Row],[Costo Total Pedido USD]]+TP[[#This Row],[Costo de Envio Total UDS]]+TP[[#This Row],[Impuesto UDS]],"Sin Datos")</f>
        <v>0</v>
      </c>
      <c r="M111" s="14">
        <f>IFERROR(((TP[[#This Row],[Costo Total Pedido USD]]*TP[[#This Row],[DÓLAR]])*$B$3)+(TP[[#This Row],[Costo Total Pedido USD]]*TP[[#This Row],[DÓLAR]]),"Sin Datos")</f>
        <v>0</v>
      </c>
      <c r="N11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1" s="14" t="str">
        <f>IFERROR(TP[[#This Row],[Costo Total Pza. MXN]]*TP[[#This Row],[CANTIDAD]],"Sin Datos")</f>
        <v>Sin Datos</v>
      </c>
      <c r="P111" s="29" t="str">
        <f>IFERROR((((TP[[#This Row],[Costo Total Pza. UDS]]*TP[[#This Row],[DÓLAR]])*$B$3)+(TP[[#This Row],[Costo Total Pza. UDS]]*TP[[#This Row],[DÓLAR]])),"Sin Datos")</f>
        <v>Sin Datos</v>
      </c>
      <c r="Q111" s="57"/>
      <c r="R11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1" s="29" t="str">
        <f>IFERROR(TP[[#This Row],[Costo Total Pza. MXN]]+TP[[#This Row],[Impuesto Unitario MXN]],"Sin Datos")</f>
        <v>Sin Datos</v>
      </c>
      <c r="T111" s="29" t="str">
        <f>IFERROR(TP[[#This Row],[Costo Costo]]*50%+TP[[#This Row],[Costo Costo]],"Sin Datos")</f>
        <v>Sin Datos</v>
      </c>
      <c r="U111" s="14" t="str">
        <f>IFERROR(TP[[#This Row],[Precio de Oficina]]-TP[[#This Row],[Costo Costo]],"Sin Datos")</f>
        <v>Sin Datos</v>
      </c>
      <c r="V111" s="29" t="str">
        <f>IFERROR(TP[[#This Row],[Precio de Oficina]]*14%+TP[[#This Row],[Precio de Oficina]],"Sin Datos")</f>
        <v>Sin Datos</v>
      </c>
      <c r="W111" s="29" t="str">
        <f>IFERROR(TP[[#This Row],[Precio de Oficina]]*20%+TP[[#This Row],[Precio de Oficina]],"Sin Datos")</f>
        <v>Sin Datos</v>
      </c>
      <c r="X111" s="30" t="str">
        <f>IFERROR(TP[[#This Row],[Precio de Wix]]*33.6%+TP[[#This Row],[Precio de Wix]]+100,"Sin Datos")</f>
        <v>Sin Datos</v>
      </c>
      <c r="Z111" s="8" t="s">
        <v>314</v>
      </c>
    </row>
    <row r="112" spans="1:26" x14ac:dyDescent="0.2">
      <c r="A112" s="36" t="s">
        <v>315</v>
      </c>
      <c r="B112" s="49"/>
      <c r="C112" s="49"/>
      <c r="D112" s="53"/>
      <c r="E112" s="52"/>
      <c r="F112" s="53"/>
      <c r="G112" s="28" t="str">
        <f>IFERROR(TP[[#This Row],[Costo Real Unitario USD]]*TP[[#This Row],[Costo de Envio Total UDS]]/TP[[#This Row],[Costo Total Pedido USD]], "Sin Datos")</f>
        <v>Sin Datos</v>
      </c>
      <c r="H112" s="9">
        <f>IFERROR(TP[[#This Row],[Costo Total Pedido USD]]+TP[[#This Row],[Costo de Envio Total UDS]],"Sin Datos")</f>
        <v>0</v>
      </c>
      <c r="I112" s="52"/>
      <c r="J112" s="9" t="str">
        <f>IFERROR((TP[[#This Row],[Costo Real Unitario USD]]*TP[[#This Row],[Impuesto UDS]])/TP[[#This Row],[Costo Total Pedido USD]],"Sin Datos")</f>
        <v>Sin Datos</v>
      </c>
      <c r="K112" s="9" t="str">
        <f>IFERROR(TP[[#This Row],[Costo Real Unitario USD]]+TP[[#This Row],[Costo de Envio Unitario UDS]]+TP[[#This Row],[Impuesto Unitario UDS]],"Sin Datos")</f>
        <v>Sin Datos</v>
      </c>
      <c r="L112" s="9">
        <f>IFERROR(TP[[#This Row],[Costo Total Pedido USD]]+TP[[#This Row],[Costo de Envio Total UDS]]+TP[[#This Row],[Impuesto UDS]],"Sin Datos")</f>
        <v>0</v>
      </c>
      <c r="M112" s="14">
        <f>IFERROR(((TP[[#This Row],[Costo Total Pedido USD]]*TP[[#This Row],[DÓLAR]])*$B$3)+(TP[[#This Row],[Costo Total Pedido USD]]*TP[[#This Row],[DÓLAR]]),"Sin Datos")</f>
        <v>0</v>
      </c>
      <c r="N11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2" s="14" t="str">
        <f>IFERROR(TP[[#This Row],[Costo Total Pza. MXN]]*TP[[#This Row],[CANTIDAD]],"Sin Datos")</f>
        <v>Sin Datos</v>
      </c>
      <c r="P112" s="29" t="str">
        <f>IFERROR((((TP[[#This Row],[Costo Total Pza. UDS]]*TP[[#This Row],[DÓLAR]])*$B$3)+(TP[[#This Row],[Costo Total Pza. UDS]]*TP[[#This Row],[DÓLAR]])),"Sin Datos")</f>
        <v>Sin Datos</v>
      </c>
      <c r="Q112" s="57"/>
      <c r="R11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2" s="29" t="str">
        <f>IFERROR(TP[[#This Row],[Costo Total Pza. MXN]]+TP[[#This Row],[Impuesto Unitario MXN]],"Sin Datos")</f>
        <v>Sin Datos</v>
      </c>
      <c r="T112" s="29" t="str">
        <f>IFERROR(TP[[#This Row],[Costo Costo]]*50%+TP[[#This Row],[Costo Costo]],"Sin Datos")</f>
        <v>Sin Datos</v>
      </c>
      <c r="U112" s="14" t="str">
        <f>IFERROR(TP[[#This Row],[Precio de Oficina]]-TP[[#This Row],[Costo Costo]],"Sin Datos")</f>
        <v>Sin Datos</v>
      </c>
      <c r="V112" s="29" t="str">
        <f>IFERROR(TP[[#This Row],[Precio de Oficina]]*14%+TP[[#This Row],[Precio de Oficina]],"Sin Datos")</f>
        <v>Sin Datos</v>
      </c>
      <c r="W112" s="29" t="str">
        <f>IFERROR(TP[[#This Row],[Precio de Oficina]]*20%+TP[[#This Row],[Precio de Oficina]],"Sin Datos")</f>
        <v>Sin Datos</v>
      </c>
      <c r="X112" s="30" t="str">
        <f>IFERROR(TP[[#This Row],[Precio de Wix]]*33.6%+TP[[#This Row],[Precio de Wix]]+100,"Sin Datos")</f>
        <v>Sin Datos</v>
      </c>
      <c r="Z112" s="8" t="s">
        <v>315</v>
      </c>
    </row>
    <row r="113" spans="1:26" x14ac:dyDescent="0.2">
      <c r="A113" s="36" t="s">
        <v>316</v>
      </c>
      <c r="B113" s="49"/>
      <c r="C113" s="49"/>
      <c r="D113" s="53"/>
      <c r="E113" s="52"/>
      <c r="F113" s="53"/>
      <c r="G113" s="28" t="str">
        <f>IFERROR(TP[[#This Row],[Costo Real Unitario USD]]*TP[[#This Row],[Costo de Envio Total UDS]]/TP[[#This Row],[Costo Total Pedido USD]], "Sin Datos")</f>
        <v>Sin Datos</v>
      </c>
      <c r="H113" s="9">
        <f>IFERROR(TP[[#This Row],[Costo Total Pedido USD]]+TP[[#This Row],[Costo de Envio Total UDS]],"Sin Datos")</f>
        <v>0</v>
      </c>
      <c r="I113" s="52"/>
      <c r="J113" s="9" t="str">
        <f>IFERROR((TP[[#This Row],[Costo Real Unitario USD]]*TP[[#This Row],[Impuesto UDS]])/TP[[#This Row],[Costo Total Pedido USD]],"Sin Datos")</f>
        <v>Sin Datos</v>
      </c>
      <c r="K113" s="9" t="str">
        <f>IFERROR(TP[[#This Row],[Costo Real Unitario USD]]+TP[[#This Row],[Costo de Envio Unitario UDS]]+TP[[#This Row],[Impuesto Unitario UDS]],"Sin Datos")</f>
        <v>Sin Datos</v>
      </c>
      <c r="L113" s="9">
        <f>IFERROR(TP[[#This Row],[Costo Total Pedido USD]]+TP[[#This Row],[Costo de Envio Total UDS]]+TP[[#This Row],[Impuesto UDS]],"Sin Datos")</f>
        <v>0</v>
      </c>
      <c r="M113" s="14">
        <f>IFERROR(((TP[[#This Row],[Costo Total Pedido USD]]*TP[[#This Row],[DÓLAR]])*$B$3)+(TP[[#This Row],[Costo Total Pedido USD]]*TP[[#This Row],[DÓLAR]]),"Sin Datos")</f>
        <v>0</v>
      </c>
      <c r="N11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3" s="14" t="str">
        <f>IFERROR(TP[[#This Row],[Costo Total Pza. MXN]]*TP[[#This Row],[CANTIDAD]],"Sin Datos")</f>
        <v>Sin Datos</v>
      </c>
      <c r="P113" s="29" t="str">
        <f>IFERROR((((TP[[#This Row],[Costo Total Pza. UDS]]*TP[[#This Row],[DÓLAR]])*$B$3)+(TP[[#This Row],[Costo Total Pza. UDS]]*TP[[#This Row],[DÓLAR]])),"Sin Datos")</f>
        <v>Sin Datos</v>
      </c>
      <c r="Q113" s="57"/>
      <c r="R11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3" s="29" t="str">
        <f>IFERROR(TP[[#This Row],[Costo Total Pza. MXN]]+TP[[#This Row],[Impuesto Unitario MXN]],"Sin Datos")</f>
        <v>Sin Datos</v>
      </c>
      <c r="T113" s="29" t="str">
        <f>IFERROR(TP[[#This Row],[Costo Costo]]*50%+TP[[#This Row],[Costo Costo]],"Sin Datos")</f>
        <v>Sin Datos</v>
      </c>
      <c r="U113" s="14" t="str">
        <f>IFERROR(TP[[#This Row],[Precio de Oficina]]-TP[[#This Row],[Costo Costo]],"Sin Datos")</f>
        <v>Sin Datos</v>
      </c>
      <c r="V113" s="29" t="str">
        <f>IFERROR(TP[[#This Row],[Precio de Oficina]]*14%+TP[[#This Row],[Precio de Oficina]],"Sin Datos")</f>
        <v>Sin Datos</v>
      </c>
      <c r="W113" s="29" t="str">
        <f>IFERROR(TP[[#This Row],[Precio de Oficina]]*20%+TP[[#This Row],[Precio de Oficina]],"Sin Datos")</f>
        <v>Sin Datos</v>
      </c>
      <c r="X113" s="30" t="str">
        <f>IFERROR(TP[[#This Row],[Precio de Wix]]*33.6%+TP[[#This Row],[Precio de Wix]]+100,"Sin Datos")</f>
        <v>Sin Datos</v>
      </c>
      <c r="Z113" s="8" t="s">
        <v>316</v>
      </c>
    </row>
    <row r="114" spans="1:26" x14ac:dyDescent="0.2">
      <c r="A114" s="36" t="s">
        <v>317</v>
      </c>
      <c r="B114" s="49"/>
      <c r="C114" s="49"/>
      <c r="D114" s="53"/>
      <c r="E114" s="52"/>
      <c r="F114" s="53"/>
      <c r="G114" s="28" t="str">
        <f>IFERROR(TP[[#This Row],[Costo Real Unitario USD]]*TP[[#This Row],[Costo de Envio Total UDS]]/TP[[#This Row],[Costo Total Pedido USD]], "Sin Datos")</f>
        <v>Sin Datos</v>
      </c>
      <c r="H114" s="9">
        <f>IFERROR(TP[[#This Row],[Costo Total Pedido USD]]+TP[[#This Row],[Costo de Envio Total UDS]],"Sin Datos")</f>
        <v>0</v>
      </c>
      <c r="I114" s="52"/>
      <c r="J114" s="9" t="str">
        <f>IFERROR((TP[[#This Row],[Costo Real Unitario USD]]*TP[[#This Row],[Impuesto UDS]])/TP[[#This Row],[Costo Total Pedido USD]],"Sin Datos")</f>
        <v>Sin Datos</v>
      </c>
      <c r="K114" s="9" t="str">
        <f>IFERROR(TP[[#This Row],[Costo Real Unitario USD]]+TP[[#This Row],[Costo de Envio Unitario UDS]]+TP[[#This Row],[Impuesto Unitario UDS]],"Sin Datos")</f>
        <v>Sin Datos</v>
      </c>
      <c r="L114" s="9">
        <f>IFERROR(TP[[#This Row],[Costo Total Pedido USD]]+TP[[#This Row],[Costo de Envio Total UDS]]+TP[[#This Row],[Impuesto UDS]],"Sin Datos")</f>
        <v>0</v>
      </c>
      <c r="M114" s="14">
        <f>IFERROR(((TP[[#This Row],[Costo Total Pedido USD]]*TP[[#This Row],[DÓLAR]])*$B$3)+(TP[[#This Row],[Costo Total Pedido USD]]*TP[[#This Row],[DÓLAR]]),"Sin Datos")</f>
        <v>0</v>
      </c>
      <c r="N11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4" s="14" t="str">
        <f>IFERROR(TP[[#This Row],[Costo Total Pza. MXN]]*TP[[#This Row],[CANTIDAD]],"Sin Datos")</f>
        <v>Sin Datos</v>
      </c>
      <c r="P114" s="29" t="str">
        <f>IFERROR((((TP[[#This Row],[Costo Total Pza. UDS]]*TP[[#This Row],[DÓLAR]])*$B$3)+(TP[[#This Row],[Costo Total Pza. UDS]]*TP[[#This Row],[DÓLAR]])),"Sin Datos")</f>
        <v>Sin Datos</v>
      </c>
      <c r="Q114" s="57"/>
      <c r="R11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4" s="29" t="str">
        <f>IFERROR(TP[[#This Row],[Costo Total Pza. MXN]]+TP[[#This Row],[Impuesto Unitario MXN]],"Sin Datos")</f>
        <v>Sin Datos</v>
      </c>
      <c r="T114" s="29" t="str">
        <f>IFERROR(TP[[#This Row],[Costo Costo]]*50%+TP[[#This Row],[Costo Costo]],"Sin Datos")</f>
        <v>Sin Datos</v>
      </c>
      <c r="U114" s="14" t="str">
        <f>IFERROR(TP[[#This Row],[Precio de Oficina]]-TP[[#This Row],[Costo Costo]],"Sin Datos")</f>
        <v>Sin Datos</v>
      </c>
      <c r="V114" s="29" t="str">
        <f>IFERROR(TP[[#This Row],[Precio de Oficina]]*14%+TP[[#This Row],[Precio de Oficina]],"Sin Datos")</f>
        <v>Sin Datos</v>
      </c>
      <c r="W114" s="29" t="str">
        <f>IFERROR(TP[[#This Row],[Precio de Oficina]]*20%+TP[[#This Row],[Precio de Oficina]],"Sin Datos")</f>
        <v>Sin Datos</v>
      </c>
      <c r="X114" s="30" t="str">
        <f>IFERROR(TP[[#This Row],[Precio de Wix]]*33.6%+TP[[#This Row],[Precio de Wix]]+100,"Sin Datos")</f>
        <v>Sin Datos</v>
      </c>
      <c r="Z114" s="8" t="s">
        <v>317</v>
      </c>
    </row>
    <row r="115" spans="1:26" x14ac:dyDescent="0.2">
      <c r="A115" s="36" t="s">
        <v>318</v>
      </c>
      <c r="B115" s="49"/>
      <c r="C115" s="49"/>
      <c r="D115" s="53"/>
      <c r="E115" s="52"/>
      <c r="F115" s="53"/>
      <c r="G115" s="28" t="str">
        <f>IFERROR(TP[[#This Row],[Costo Real Unitario USD]]*TP[[#This Row],[Costo de Envio Total UDS]]/TP[[#This Row],[Costo Total Pedido USD]], "Sin Datos")</f>
        <v>Sin Datos</v>
      </c>
      <c r="H115" s="9">
        <f>IFERROR(TP[[#This Row],[Costo Total Pedido USD]]+TP[[#This Row],[Costo de Envio Total UDS]],"Sin Datos")</f>
        <v>0</v>
      </c>
      <c r="I115" s="52"/>
      <c r="J115" s="9" t="str">
        <f>IFERROR((TP[[#This Row],[Costo Real Unitario USD]]*TP[[#This Row],[Impuesto UDS]])/TP[[#This Row],[Costo Total Pedido USD]],"Sin Datos")</f>
        <v>Sin Datos</v>
      </c>
      <c r="K115" s="9" t="str">
        <f>IFERROR(TP[[#This Row],[Costo Real Unitario USD]]+TP[[#This Row],[Costo de Envio Unitario UDS]]+TP[[#This Row],[Impuesto Unitario UDS]],"Sin Datos")</f>
        <v>Sin Datos</v>
      </c>
      <c r="L115" s="9">
        <f>IFERROR(TP[[#This Row],[Costo Total Pedido USD]]+TP[[#This Row],[Costo de Envio Total UDS]]+TP[[#This Row],[Impuesto UDS]],"Sin Datos")</f>
        <v>0</v>
      </c>
      <c r="M115" s="14">
        <f>IFERROR(((TP[[#This Row],[Costo Total Pedido USD]]*TP[[#This Row],[DÓLAR]])*$B$3)+(TP[[#This Row],[Costo Total Pedido USD]]*TP[[#This Row],[DÓLAR]]),"Sin Datos")</f>
        <v>0</v>
      </c>
      <c r="N11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5" s="14" t="str">
        <f>IFERROR(TP[[#This Row],[Costo Total Pza. MXN]]*TP[[#This Row],[CANTIDAD]],"Sin Datos")</f>
        <v>Sin Datos</v>
      </c>
      <c r="P115" s="29" t="str">
        <f>IFERROR((((TP[[#This Row],[Costo Total Pza. UDS]]*TP[[#This Row],[DÓLAR]])*$B$3)+(TP[[#This Row],[Costo Total Pza. UDS]]*TP[[#This Row],[DÓLAR]])),"Sin Datos")</f>
        <v>Sin Datos</v>
      </c>
      <c r="Q115" s="57"/>
      <c r="R11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5" s="29" t="str">
        <f>IFERROR(TP[[#This Row],[Costo Total Pza. MXN]]+TP[[#This Row],[Impuesto Unitario MXN]],"Sin Datos")</f>
        <v>Sin Datos</v>
      </c>
      <c r="T115" s="29" t="str">
        <f>IFERROR(TP[[#This Row],[Costo Costo]]*50%+TP[[#This Row],[Costo Costo]],"Sin Datos")</f>
        <v>Sin Datos</v>
      </c>
      <c r="U115" s="14" t="str">
        <f>IFERROR(TP[[#This Row],[Precio de Oficina]]-TP[[#This Row],[Costo Costo]],"Sin Datos")</f>
        <v>Sin Datos</v>
      </c>
      <c r="V115" s="29" t="str">
        <f>IFERROR(TP[[#This Row],[Precio de Oficina]]*14%+TP[[#This Row],[Precio de Oficina]],"Sin Datos")</f>
        <v>Sin Datos</v>
      </c>
      <c r="W115" s="29" t="str">
        <f>IFERROR(TP[[#This Row],[Precio de Oficina]]*20%+TP[[#This Row],[Precio de Oficina]],"Sin Datos")</f>
        <v>Sin Datos</v>
      </c>
      <c r="X115" s="30" t="str">
        <f>IFERROR(TP[[#This Row],[Precio de Wix]]*33.6%+TP[[#This Row],[Precio de Wix]]+100,"Sin Datos")</f>
        <v>Sin Datos</v>
      </c>
      <c r="Z115" s="8" t="s">
        <v>318</v>
      </c>
    </row>
    <row r="116" spans="1:26" x14ac:dyDescent="0.2">
      <c r="A116" s="36" t="s">
        <v>319</v>
      </c>
      <c r="B116" s="49"/>
      <c r="C116" s="49"/>
      <c r="D116" s="53"/>
      <c r="E116" s="52"/>
      <c r="F116" s="53"/>
      <c r="G116" s="28" t="str">
        <f>IFERROR(TP[[#This Row],[Costo Real Unitario USD]]*TP[[#This Row],[Costo de Envio Total UDS]]/TP[[#This Row],[Costo Total Pedido USD]], "Sin Datos")</f>
        <v>Sin Datos</v>
      </c>
      <c r="H116" s="9">
        <f>IFERROR(TP[[#This Row],[Costo Total Pedido USD]]+TP[[#This Row],[Costo de Envio Total UDS]],"Sin Datos")</f>
        <v>0</v>
      </c>
      <c r="I116" s="52"/>
      <c r="J116" s="9" t="str">
        <f>IFERROR((TP[[#This Row],[Costo Real Unitario USD]]*TP[[#This Row],[Impuesto UDS]])/TP[[#This Row],[Costo Total Pedido USD]],"Sin Datos")</f>
        <v>Sin Datos</v>
      </c>
      <c r="K116" s="9" t="str">
        <f>IFERROR(TP[[#This Row],[Costo Real Unitario USD]]+TP[[#This Row],[Costo de Envio Unitario UDS]]+TP[[#This Row],[Impuesto Unitario UDS]],"Sin Datos")</f>
        <v>Sin Datos</v>
      </c>
      <c r="L116" s="9">
        <f>IFERROR(TP[[#This Row],[Costo Total Pedido USD]]+TP[[#This Row],[Costo de Envio Total UDS]]+TP[[#This Row],[Impuesto UDS]],"Sin Datos")</f>
        <v>0</v>
      </c>
      <c r="M116" s="14">
        <f>IFERROR(((TP[[#This Row],[Costo Total Pedido USD]]*TP[[#This Row],[DÓLAR]])*$B$3)+(TP[[#This Row],[Costo Total Pedido USD]]*TP[[#This Row],[DÓLAR]]),"Sin Datos")</f>
        <v>0</v>
      </c>
      <c r="N11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6" s="14" t="str">
        <f>IFERROR(TP[[#This Row],[Costo Total Pza. MXN]]*TP[[#This Row],[CANTIDAD]],"Sin Datos")</f>
        <v>Sin Datos</v>
      </c>
      <c r="P116" s="29" t="str">
        <f>IFERROR((((TP[[#This Row],[Costo Total Pza. UDS]]*TP[[#This Row],[DÓLAR]])*$B$3)+(TP[[#This Row],[Costo Total Pza. UDS]]*TP[[#This Row],[DÓLAR]])),"Sin Datos")</f>
        <v>Sin Datos</v>
      </c>
      <c r="Q116" s="57"/>
      <c r="R11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6" s="29" t="str">
        <f>IFERROR(TP[[#This Row],[Costo Total Pza. MXN]]+TP[[#This Row],[Impuesto Unitario MXN]],"Sin Datos")</f>
        <v>Sin Datos</v>
      </c>
      <c r="T116" s="29" t="str">
        <f>IFERROR(TP[[#This Row],[Costo Costo]]*50%+TP[[#This Row],[Costo Costo]],"Sin Datos")</f>
        <v>Sin Datos</v>
      </c>
      <c r="U116" s="14" t="str">
        <f>IFERROR(TP[[#This Row],[Precio de Oficina]]-TP[[#This Row],[Costo Costo]],"Sin Datos")</f>
        <v>Sin Datos</v>
      </c>
      <c r="V116" s="29" t="str">
        <f>IFERROR(TP[[#This Row],[Precio de Oficina]]*14%+TP[[#This Row],[Precio de Oficina]],"Sin Datos")</f>
        <v>Sin Datos</v>
      </c>
      <c r="W116" s="29" t="str">
        <f>IFERROR(TP[[#This Row],[Precio de Oficina]]*20%+TP[[#This Row],[Precio de Oficina]],"Sin Datos")</f>
        <v>Sin Datos</v>
      </c>
      <c r="X116" s="30" t="str">
        <f>IFERROR(TP[[#This Row],[Precio de Wix]]*33.6%+TP[[#This Row],[Precio de Wix]]+100,"Sin Datos")</f>
        <v>Sin Datos</v>
      </c>
      <c r="Z116" s="8" t="s">
        <v>319</v>
      </c>
    </row>
    <row r="117" spans="1:26" x14ac:dyDescent="0.2">
      <c r="A117" s="36" t="s">
        <v>320</v>
      </c>
      <c r="B117" s="49"/>
      <c r="C117" s="49"/>
      <c r="D117" s="53"/>
      <c r="E117" s="52"/>
      <c r="F117" s="53"/>
      <c r="G117" s="28" t="str">
        <f>IFERROR(TP[[#This Row],[Costo Real Unitario USD]]*TP[[#This Row],[Costo de Envio Total UDS]]/TP[[#This Row],[Costo Total Pedido USD]], "Sin Datos")</f>
        <v>Sin Datos</v>
      </c>
      <c r="H117" s="9">
        <f>IFERROR(TP[[#This Row],[Costo Total Pedido USD]]+TP[[#This Row],[Costo de Envio Total UDS]],"Sin Datos")</f>
        <v>0</v>
      </c>
      <c r="I117" s="52"/>
      <c r="J117" s="9" t="str">
        <f>IFERROR((TP[[#This Row],[Costo Real Unitario USD]]*TP[[#This Row],[Impuesto UDS]])/TP[[#This Row],[Costo Total Pedido USD]],"Sin Datos")</f>
        <v>Sin Datos</v>
      </c>
      <c r="K117" s="9" t="str">
        <f>IFERROR(TP[[#This Row],[Costo Real Unitario USD]]+TP[[#This Row],[Costo de Envio Unitario UDS]]+TP[[#This Row],[Impuesto Unitario UDS]],"Sin Datos")</f>
        <v>Sin Datos</v>
      </c>
      <c r="L117" s="9">
        <f>IFERROR(TP[[#This Row],[Costo Total Pedido USD]]+TP[[#This Row],[Costo de Envio Total UDS]]+TP[[#This Row],[Impuesto UDS]],"Sin Datos")</f>
        <v>0</v>
      </c>
      <c r="M117" s="14">
        <f>IFERROR(((TP[[#This Row],[Costo Total Pedido USD]]*TP[[#This Row],[DÓLAR]])*$B$3)+(TP[[#This Row],[Costo Total Pedido USD]]*TP[[#This Row],[DÓLAR]]),"Sin Datos")</f>
        <v>0</v>
      </c>
      <c r="N11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7" s="14" t="str">
        <f>IFERROR(TP[[#This Row],[Costo Total Pza. MXN]]*TP[[#This Row],[CANTIDAD]],"Sin Datos")</f>
        <v>Sin Datos</v>
      </c>
      <c r="P117" s="29" t="str">
        <f>IFERROR((((TP[[#This Row],[Costo Total Pza. UDS]]*TP[[#This Row],[DÓLAR]])*$B$3)+(TP[[#This Row],[Costo Total Pza. UDS]]*TP[[#This Row],[DÓLAR]])),"Sin Datos")</f>
        <v>Sin Datos</v>
      </c>
      <c r="Q117" s="57"/>
      <c r="R11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7" s="29" t="str">
        <f>IFERROR(TP[[#This Row],[Costo Total Pza. MXN]]+TP[[#This Row],[Impuesto Unitario MXN]],"Sin Datos")</f>
        <v>Sin Datos</v>
      </c>
      <c r="T117" s="29" t="str">
        <f>IFERROR(TP[[#This Row],[Costo Costo]]*50%+TP[[#This Row],[Costo Costo]],"Sin Datos")</f>
        <v>Sin Datos</v>
      </c>
      <c r="U117" s="14" t="str">
        <f>IFERROR(TP[[#This Row],[Precio de Oficina]]-TP[[#This Row],[Costo Costo]],"Sin Datos")</f>
        <v>Sin Datos</v>
      </c>
      <c r="V117" s="29" t="str">
        <f>IFERROR(TP[[#This Row],[Precio de Oficina]]*14%+TP[[#This Row],[Precio de Oficina]],"Sin Datos")</f>
        <v>Sin Datos</v>
      </c>
      <c r="W117" s="29" t="str">
        <f>IFERROR(TP[[#This Row],[Precio de Oficina]]*20%+TP[[#This Row],[Precio de Oficina]],"Sin Datos")</f>
        <v>Sin Datos</v>
      </c>
      <c r="X117" s="30" t="str">
        <f>IFERROR(TP[[#This Row],[Precio de Wix]]*33.6%+TP[[#This Row],[Precio de Wix]]+100,"Sin Datos")</f>
        <v>Sin Datos</v>
      </c>
      <c r="Z117" s="8" t="s">
        <v>320</v>
      </c>
    </row>
    <row r="118" spans="1:26" x14ac:dyDescent="0.2">
      <c r="A118" s="36" t="s">
        <v>321</v>
      </c>
      <c r="B118" s="49"/>
      <c r="C118" s="49"/>
      <c r="D118" s="53"/>
      <c r="E118" s="52"/>
      <c r="F118" s="53"/>
      <c r="G118" s="28" t="str">
        <f>IFERROR(TP[[#This Row],[Costo Real Unitario USD]]*TP[[#This Row],[Costo de Envio Total UDS]]/TP[[#This Row],[Costo Total Pedido USD]], "Sin Datos")</f>
        <v>Sin Datos</v>
      </c>
      <c r="H118" s="9">
        <f>IFERROR(TP[[#This Row],[Costo Total Pedido USD]]+TP[[#This Row],[Costo de Envio Total UDS]],"Sin Datos")</f>
        <v>0</v>
      </c>
      <c r="I118" s="52"/>
      <c r="J118" s="9" t="str">
        <f>IFERROR((TP[[#This Row],[Costo Real Unitario USD]]*TP[[#This Row],[Impuesto UDS]])/TP[[#This Row],[Costo Total Pedido USD]],"Sin Datos")</f>
        <v>Sin Datos</v>
      </c>
      <c r="K118" s="9" t="str">
        <f>IFERROR(TP[[#This Row],[Costo Real Unitario USD]]+TP[[#This Row],[Costo de Envio Unitario UDS]]+TP[[#This Row],[Impuesto Unitario UDS]],"Sin Datos")</f>
        <v>Sin Datos</v>
      </c>
      <c r="L118" s="9">
        <f>IFERROR(TP[[#This Row],[Costo Total Pedido USD]]+TP[[#This Row],[Costo de Envio Total UDS]]+TP[[#This Row],[Impuesto UDS]],"Sin Datos")</f>
        <v>0</v>
      </c>
      <c r="M118" s="14">
        <f>IFERROR(((TP[[#This Row],[Costo Total Pedido USD]]*TP[[#This Row],[DÓLAR]])*$B$3)+(TP[[#This Row],[Costo Total Pedido USD]]*TP[[#This Row],[DÓLAR]]),"Sin Datos")</f>
        <v>0</v>
      </c>
      <c r="N11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8" s="14" t="str">
        <f>IFERROR(TP[[#This Row],[Costo Total Pza. MXN]]*TP[[#This Row],[CANTIDAD]],"Sin Datos")</f>
        <v>Sin Datos</v>
      </c>
      <c r="P118" s="29" t="str">
        <f>IFERROR((((TP[[#This Row],[Costo Total Pza. UDS]]*TP[[#This Row],[DÓLAR]])*$B$3)+(TP[[#This Row],[Costo Total Pza. UDS]]*TP[[#This Row],[DÓLAR]])),"Sin Datos")</f>
        <v>Sin Datos</v>
      </c>
      <c r="Q118" s="57"/>
      <c r="R11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8" s="29" t="str">
        <f>IFERROR(TP[[#This Row],[Costo Total Pza. MXN]]+TP[[#This Row],[Impuesto Unitario MXN]],"Sin Datos")</f>
        <v>Sin Datos</v>
      </c>
      <c r="T118" s="29" t="str">
        <f>IFERROR(TP[[#This Row],[Costo Costo]]*50%+TP[[#This Row],[Costo Costo]],"Sin Datos")</f>
        <v>Sin Datos</v>
      </c>
      <c r="U118" s="14" t="str">
        <f>IFERROR(TP[[#This Row],[Precio de Oficina]]-TP[[#This Row],[Costo Costo]],"Sin Datos")</f>
        <v>Sin Datos</v>
      </c>
      <c r="V118" s="29" t="str">
        <f>IFERROR(TP[[#This Row],[Precio de Oficina]]*14%+TP[[#This Row],[Precio de Oficina]],"Sin Datos")</f>
        <v>Sin Datos</v>
      </c>
      <c r="W118" s="29" t="str">
        <f>IFERROR(TP[[#This Row],[Precio de Oficina]]*20%+TP[[#This Row],[Precio de Oficina]],"Sin Datos")</f>
        <v>Sin Datos</v>
      </c>
      <c r="X118" s="30" t="str">
        <f>IFERROR(TP[[#This Row],[Precio de Wix]]*33.6%+TP[[#This Row],[Precio de Wix]]+100,"Sin Datos")</f>
        <v>Sin Datos</v>
      </c>
      <c r="Z118" s="8" t="s">
        <v>321</v>
      </c>
    </row>
    <row r="119" spans="1:26" x14ac:dyDescent="0.2">
      <c r="A119" s="36" t="s">
        <v>322</v>
      </c>
      <c r="B119" s="49"/>
      <c r="C119" s="49"/>
      <c r="D119" s="53"/>
      <c r="E119" s="52"/>
      <c r="F119" s="53"/>
      <c r="G119" s="28" t="str">
        <f>IFERROR(TP[[#This Row],[Costo Real Unitario USD]]*TP[[#This Row],[Costo de Envio Total UDS]]/TP[[#This Row],[Costo Total Pedido USD]], "Sin Datos")</f>
        <v>Sin Datos</v>
      </c>
      <c r="H119" s="9">
        <f>IFERROR(TP[[#This Row],[Costo Total Pedido USD]]+TP[[#This Row],[Costo de Envio Total UDS]],"Sin Datos")</f>
        <v>0</v>
      </c>
      <c r="I119" s="52"/>
      <c r="J119" s="9" t="str">
        <f>IFERROR((TP[[#This Row],[Costo Real Unitario USD]]*TP[[#This Row],[Impuesto UDS]])/TP[[#This Row],[Costo Total Pedido USD]],"Sin Datos")</f>
        <v>Sin Datos</v>
      </c>
      <c r="K119" s="9" t="str">
        <f>IFERROR(TP[[#This Row],[Costo Real Unitario USD]]+TP[[#This Row],[Costo de Envio Unitario UDS]]+TP[[#This Row],[Impuesto Unitario UDS]],"Sin Datos")</f>
        <v>Sin Datos</v>
      </c>
      <c r="L119" s="9">
        <f>IFERROR(TP[[#This Row],[Costo Total Pedido USD]]+TP[[#This Row],[Costo de Envio Total UDS]]+TP[[#This Row],[Impuesto UDS]],"Sin Datos")</f>
        <v>0</v>
      </c>
      <c r="M119" s="14">
        <f>IFERROR(((TP[[#This Row],[Costo Total Pedido USD]]*TP[[#This Row],[DÓLAR]])*$B$3)+(TP[[#This Row],[Costo Total Pedido USD]]*TP[[#This Row],[DÓLAR]]),"Sin Datos")</f>
        <v>0</v>
      </c>
      <c r="N11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19" s="14" t="str">
        <f>IFERROR(TP[[#This Row],[Costo Total Pza. MXN]]*TP[[#This Row],[CANTIDAD]],"Sin Datos")</f>
        <v>Sin Datos</v>
      </c>
      <c r="P119" s="29" t="str">
        <f>IFERROR((((TP[[#This Row],[Costo Total Pza. UDS]]*TP[[#This Row],[DÓLAR]])*$B$3)+(TP[[#This Row],[Costo Total Pza. UDS]]*TP[[#This Row],[DÓLAR]])),"Sin Datos")</f>
        <v>Sin Datos</v>
      </c>
      <c r="Q119" s="57"/>
      <c r="R11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19" s="29" t="str">
        <f>IFERROR(TP[[#This Row],[Costo Total Pza. MXN]]+TP[[#This Row],[Impuesto Unitario MXN]],"Sin Datos")</f>
        <v>Sin Datos</v>
      </c>
      <c r="T119" s="29" t="str">
        <f>IFERROR(TP[[#This Row],[Costo Costo]]*50%+TP[[#This Row],[Costo Costo]],"Sin Datos")</f>
        <v>Sin Datos</v>
      </c>
      <c r="U119" s="14" t="str">
        <f>IFERROR(TP[[#This Row],[Precio de Oficina]]-TP[[#This Row],[Costo Costo]],"Sin Datos")</f>
        <v>Sin Datos</v>
      </c>
      <c r="V119" s="29" t="str">
        <f>IFERROR(TP[[#This Row],[Precio de Oficina]]*14%+TP[[#This Row],[Precio de Oficina]],"Sin Datos")</f>
        <v>Sin Datos</v>
      </c>
      <c r="W119" s="29" t="str">
        <f>IFERROR(TP[[#This Row],[Precio de Oficina]]*20%+TP[[#This Row],[Precio de Oficina]],"Sin Datos")</f>
        <v>Sin Datos</v>
      </c>
      <c r="X119" s="30" t="str">
        <f>IFERROR(TP[[#This Row],[Precio de Wix]]*33.6%+TP[[#This Row],[Precio de Wix]]+100,"Sin Datos")</f>
        <v>Sin Datos</v>
      </c>
      <c r="Z119" s="8" t="s">
        <v>322</v>
      </c>
    </row>
    <row r="120" spans="1:26" x14ac:dyDescent="0.2">
      <c r="A120" s="36" t="s">
        <v>323</v>
      </c>
      <c r="B120" s="49"/>
      <c r="C120" s="49"/>
      <c r="D120" s="53"/>
      <c r="E120" s="52"/>
      <c r="F120" s="53"/>
      <c r="G120" s="28" t="str">
        <f>IFERROR(TP[[#This Row],[Costo Real Unitario USD]]*TP[[#This Row],[Costo de Envio Total UDS]]/TP[[#This Row],[Costo Total Pedido USD]], "Sin Datos")</f>
        <v>Sin Datos</v>
      </c>
      <c r="H120" s="9">
        <f>IFERROR(TP[[#This Row],[Costo Total Pedido USD]]+TP[[#This Row],[Costo de Envio Total UDS]],"Sin Datos")</f>
        <v>0</v>
      </c>
      <c r="I120" s="52"/>
      <c r="J120" s="9" t="str">
        <f>IFERROR((TP[[#This Row],[Costo Real Unitario USD]]*TP[[#This Row],[Impuesto UDS]])/TP[[#This Row],[Costo Total Pedido USD]],"Sin Datos")</f>
        <v>Sin Datos</v>
      </c>
      <c r="K120" s="9" t="str">
        <f>IFERROR(TP[[#This Row],[Costo Real Unitario USD]]+TP[[#This Row],[Costo de Envio Unitario UDS]]+TP[[#This Row],[Impuesto Unitario UDS]],"Sin Datos")</f>
        <v>Sin Datos</v>
      </c>
      <c r="L120" s="9">
        <f>IFERROR(TP[[#This Row],[Costo Total Pedido USD]]+TP[[#This Row],[Costo de Envio Total UDS]]+TP[[#This Row],[Impuesto UDS]],"Sin Datos")</f>
        <v>0</v>
      </c>
      <c r="M120" s="14">
        <f>IFERROR(((TP[[#This Row],[Costo Total Pedido USD]]*TP[[#This Row],[DÓLAR]])*$B$3)+(TP[[#This Row],[Costo Total Pedido USD]]*TP[[#This Row],[DÓLAR]]),"Sin Datos")</f>
        <v>0</v>
      </c>
      <c r="N12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0" s="14" t="str">
        <f>IFERROR(TP[[#This Row],[Costo Total Pza. MXN]]*TP[[#This Row],[CANTIDAD]],"Sin Datos")</f>
        <v>Sin Datos</v>
      </c>
      <c r="P120" s="29" t="str">
        <f>IFERROR((((TP[[#This Row],[Costo Total Pza. UDS]]*TP[[#This Row],[DÓLAR]])*$B$3)+(TP[[#This Row],[Costo Total Pza. UDS]]*TP[[#This Row],[DÓLAR]])),"Sin Datos")</f>
        <v>Sin Datos</v>
      </c>
      <c r="Q120" s="57"/>
      <c r="R12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0" s="29" t="str">
        <f>IFERROR(TP[[#This Row],[Costo Total Pza. MXN]]+TP[[#This Row],[Impuesto Unitario MXN]],"Sin Datos")</f>
        <v>Sin Datos</v>
      </c>
      <c r="T120" s="29" t="str">
        <f>IFERROR(TP[[#This Row],[Costo Costo]]*50%+TP[[#This Row],[Costo Costo]],"Sin Datos")</f>
        <v>Sin Datos</v>
      </c>
      <c r="U120" s="14" t="str">
        <f>IFERROR(TP[[#This Row],[Precio de Oficina]]-TP[[#This Row],[Costo Costo]],"Sin Datos")</f>
        <v>Sin Datos</v>
      </c>
      <c r="V120" s="29" t="str">
        <f>IFERROR(TP[[#This Row],[Precio de Oficina]]*14%+TP[[#This Row],[Precio de Oficina]],"Sin Datos")</f>
        <v>Sin Datos</v>
      </c>
      <c r="W120" s="29" t="str">
        <f>IFERROR(TP[[#This Row],[Precio de Oficina]]*20%+TP[[#This Row],[Precio de Oficina]],"Sin Datos")</f>
        <v>Sin Datos</v>
      </c>
      <c r="X120" s="30" t="str">
        <f>IFERROR(TP[[#This Row],[Precio de Wix]]*33.6%+TP[[#This Row],[Precio de Wix]]+100,"Sin Datos")</f>
        <v>Sin Datos</v>
      </c>
      <c r="Z120" s="8" t="s">
        <v>323</v>
      </c>
    </row>
    <row r="121" spans="1:26" x14ac:dyDescent="0.2">
      <c r="A121" s="36" t="s">
        <v>324</v>
      </c>
      <c r="B121" s="49"/>
      <c r="C121" s="49"/>
      <c r="D121" s="53"/>
      <c r="E121" s="52"/>
      <c r="F121" s="53"/>
      <c r="G121" s="28" t="str">
        <f>IFERROR(TP[[#This Row],[Costo Real Unitario USD]]*TP[[#This Row],[Costo de Envio Total UDS]]/TP[[#This Row],[Costo Total Pedido USD]], "Sin Datos")</f>
        <v>Sin Datos</v>
      </c>
      <c r="H121" s="9">
        <f>IFERROR(TP[[#This Row],[Costo Total Pedido USD]]+TP[[#This Row],[Costo de Envio Total UDS]],"Sin Datos")</f>
        <v>0</v>
      </c>
      <c r="I121" s="52"/>
      <c r="J121" s="9" t="str">
        <f>IFERROR((TP[[#This Row],[Costo Real Unitario USD]]*TP[[#This Row],[Impuesto UDS]])/TP[[#This Row],[Costo Total Pedido USD]],"Sin Datos")</f>
        <v>Sin Datos</v>
      </c>
      <c r="K121" s="9" t="str">
        <f>IFERROR(TP[[#This Row],[Costo Real Unitario USD]]+TP[[#This Row],[Costo de Envio Unitario UDS]]+TP[[#This Row],[Impuesto Unitario UDS]],"Sin Datos")</f>
        <v>Sin Datos</v>
      </c>
      <c r="L121" s="9">
        <f>IFERROR(TP[[#This Row],[Costo Total Pedido USD]]+TP[[#This Row],[Costo de Envio Total UDS]]+TP[[#This Row],[Impuesto UDS]],"Sin Datos")</f>
        <v>0</v>
      </c>
      <c r="M121" s="14">
        <f>IFERROR(((TP[[#This Row],[Costo Total Pedido USD]]*TP[[#This Row],[DÓLAR]])*$B$3)+(TP[[#This Row],[Costo Total Pedido USD]]*TP[[#This Row],[DÓLAR]]),"Sin Datos")</f>
        <v>0</v>
      </c>
      <c r="N12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1" s="14" t="str">
        <f>IFERROR(TP[[#This Row],[Costo Total Pza. MXN]]*TP[[#This Row],[CANTIDAD]],"Sin Datos")</f>
        <v>Sin Datos</v>
      </c>
      <c r="P121" s="29" t="str">
        <f>IFERROR((((TP[[#This Row],[Costo Total Pza. UDS]]*TP[[#This Row],[DÓLAR]])*$B$3)+(TP[[#This Row],[Costo Total Pza. UDS]]*TP[[#This Row],[DÓLAR]])),"Sin Datos")</f>
        <v>Sin Datos</v>
      </c>
      <c r="Q121" s="57"/>
      <c r="R12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1" s="29" t="str">
        <f>IFERROR(TP[[#This Row],[Costo Total Pza. MXN]]+TP[[#This Row],[Impuesto Unitario MXN]],"Sin Datos")</f>
        <v>Sin Datos</v>
      </c>
      <c r="T121" s="29" t="str">
        <f>IFERROR(TP[[#This Row],[Costo Costo]]*50%+TP[[#This Row],[Costo Costo]],"Sin Datos")</f>
        <v>Sin Datos</v>
      </c>
      <c r="U121" s="14" t="str">
        <f>IFERROR(TP[[#This Row],[Precio de Oficina]]-TP[[#This Row],[Costo Costo]],"Sin Datos")</f>
        <v>Sin Datos</v>
      </c>
      <c r="V121" s="29" t="str">
        <f>IFERROR(TP[[#This Row],[Precio de Oficina]]*14%+TP[[#This Row],[Precio de Oficina]],"Sin Datos")</f>
        <v>Sin Datos</v>
      </c>
      <c r="W121" s="29" t="str">
        <f>IFERROR(TP[[#This Row],[Precio de Oficina]]*20%+TP[[#This Row],[Precio de Oficina]],"Sin Datos")</f>
        <v>Sin Datos</v>
      </c>
      <c r="X121" s="30" t="str">
        <f>IFERROR(TP[[#This Row],[Precio de Wix]]*33.6%+TP[[#This Row],[Precio de Wix]]+100,"Sin Datos")</f>
        <v>Sin Datos</v>
      </c>
      <c r="Z121" s="8" t="s">
        <v>324</v>
      </c>
    </row>
    <row r="122" spans="1:26" x14ac:dyDescent="0.2">
      <c r="A122" s="36" t="s">
        <v>325</v>
      </c>
      <c r="B122" s="49"/>
      <c r="C122" s="49"/>
      <c r="D122" s="53"/>
      <c r="E122" s="52"/>
      <c r="F122" s="53"/>
      <c r="G122" s="28" t="str">
        <f>IFERROR(TP[[#This Row],[Costo Real Unitario USD]]*TP[[#This Row],[Costo de Envio Total UDS]]/TP[[#This Row],[Costo Total Pedido USD]], "Sin Datos")</f>
        <v>Sin Datos</v>
      </c>
      <c r="H122" s="9">
        <f>IFERROR(TP[[#This Row],[Costo Total Pedido USD]]+TP[[#This Row],[Costo de Envio Total UDS]],"Sin Datos")</f>
        <v>0</v>
      </c>
      <c r="I122" s="52"/>
      <c r="J122" s="9" t="str">
        <f>IFERROR((TP[[#This Row],[Costo Real Unitario USD]]*TP[[#This Row],[Impuesto UDS]])/TP[[#This Row],[Costo Total Pedido USD]],"Sin Datos")</f>
        <v>Sin Datos</v>
      </c>
      <c r="K122" s="9" t="str">
        <f>IFERROR(TP[[#This Row],[Costo Real Unitario USD]]+TP[[#This Row],[Costo de Envio Unitario UDS]]+TP[[#This Row],[Impuesto Unitario UDS]],"Sin Datos")</f>
        <v>Sin Datos</v>
      </c>
      <c r="L122" s="9">
        <f>IFERROR(TP[[#This Row],[Costo Total Pedido USD]]+TP[[#This Row],[Costo de Envio Total UDS]]+TP[[#This Row],[Impuesto UDS]],"Sin Datos")</f>
        <v>0</v>
      </c>
      <c r="M122" s="14">
        <f>IFERROR(((TP[[#This Row],[Costo Total Pedido USD]]*TP[[#This Row],[DÓLAR]])*$B$3)+(TP[[#This Row],[Costo Total Pedido USD]]*TP[[#This Row],[DÓLAR]]),"Sin Datos")</f>
        <v>0</v>
      </c>
      <c r="N12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2" s="14" t="str">
        <f>IFERROR(TP[[#This Row],[Costo Total Pza. MXN]]*TP[[#This Row],[CANTIDAD]],"Sin Datos")</f>
        <v>Sin Datos</v>
      </c>
      <c r="P122" s="29" t="str">
        <f>IFERROR((((TP[[#This Row],[Costo Total Pza. UDS]]*TP[[#This Row],[DÓLAR]])*$B$3)+(TP[[#This Row],[Costo Total Pza. UDS]]*TP[[#This Row],[DÓLAR]])),"Sin Datos")</f>
        <v>Sin Datos</v>
      </c>
      <c r="Q122" s="57"/>
      <c r="R12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2" s="29" t="str">
        <f>IFERROR(TP[[#This Row],[Costo Total Pza. MXN]]+TP[[#This Row],[Impuesto Unitario MXN]],"Sin Datos")</f>
        <v>Sin Datos</v>
      </c>
      <c r="T122" s="29" t="str">
        <f>IFERROR(TP[[#This Row],[Costo Costo]]*50%+TP[[#This Row],[Costo Costo]],"Sin Datos")</f>
        <v>Sin Datos</v>
      </c>
      <c r="U122" s="14" t="str">
        <f>IFERROR(TP[[#This Row],[Precio de Oficina]]-TP[[#This Row],[Costo Costo]],"Sin Datos")</f>
        <v>Sin Datos</v>
      </c>
      <c r="V122" s="29" t="str">
        <f>IFERROR(TP[[#This Row],[Precio de Oficina]]*14%+TP[[#This Row],[Precio de Oficina]],"Sin Datos")</f>
        <v>Sin Datos</v>
      </c>
      <c r="W122" s="29" t="str">
        <f>IFERROR(TP[[#This Row],[Precio de Oficina]]*20%+TP[[#This Row],[Precio de Oficina]],"Sin Datos")</f>
        <v>Sin Datos</v>
      </c>
      <c r="X122" s="30" t="str">
        <f>IFERROR(TP[[#This Row],[Precio de Wix]]*33.6%+TP[[#This Row],[Precio de Wix]]+100,"Sin Datos")</f>
        <v>Sin Datos</v>
      </c>
      <c r="Z122" s="8" t="s">
        <v>325</v>
      </c>
    </row>
    <row r="123" spans="1:26" x14ac:dyDescent="0.2">
      <c r="A123" s="36" t="s">
        <v>326</v>
      </c>
      <c r="B123" s="49"/>
      <c r="C123" s="49"/>
      <c r="D123" s="53"/>
      <c r="E123" s="52"/>
      <c r="F123" s="53"/>
      <c r="G123" s="28" t="str">
        <f>IFERROR(TP[[#This Row],[Costo Real Unitario USD]]*TP[[#This Row],[Costo de Envio Total UDS]]/TP[[#This Row],[Costo Total Pedido USD]], "Sin Datos")</f>
        <v>Sin Datos</v>
      </c>
      <c r="H123" s="9">
        <f>IFERROR(TP[[#This Row],[Costo Total Pedido USD]]+TP[[#This Row],[Costo de Envio Total UDS]],"Sin Datos")</f>
        <v>0</v>
      </c>
      <c r="I123" s="52"/>
      <c r="J123" s="9" t="str">
        <f>IFERROR((TP[[#This Row],[Costo Real Unitario USD]]*TP[[#This Row],[Impuesto UDS]])/TP[[#This Row],[Costo Total Pedido USD]],"Sin Datos")</f>
        <v>Sin Datos</v>
      </c>
      <c r="K123" s="9" t="str">
        <f>IFERROR(TP[[#This Row],[Costo Real Unitario USD]]+TP[[#This Row],[Costo de Envio Unitario UDS]]+TP[[#This Row],[Impuesto Unitario UDS]],"Sin Datos")</f>
        <v>Sin Datos</v>
      </c>
      <c r="L123" s="9">
        <f>IFERROR(TP[[#This Row],[Costo Total Pedido USD]]+TP[[#This Row],[Costo de Envio Total UDS]]+TP[[#This Row],[Impuesto UDS]],"Sin Datos")</f>
        <v>0</v>
      </c>
      <c r="M123" s="14">
        <f>IFERROR(((TP[[#This Row],[Costo Total Pedido USD]]*TP[[#This Row],[DÓLAR]])*$B$3)+(TP[[#This Row],[Costo Total Pedido USD]]*TP[[#This Row],[DÓLAR]]),"Sin Datos")</f>
        <v>0</v>
      </c>
      <c r="N12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3" s="14" t="str">
        <f>IFERROR(TP[[#This Row],[Costo Total Pza. MXN]]*TP[[#This Row],[CANTIDAD]],"Sin Datos")</f>
        <v>Sin Datos</v>
      </c>
      <c r="P123" s="29" t="str">
        <f>IFERROR((((TP[[#This Row],[Costo Total Pza. UDS]]*TP[[#This Row],[DÓLAR]])*$B$3)+(TP[[#This Row],[Costo Total Pza. UDS]]*TP[[#This Row],[DÓLAR]])),"Sin Datos")</f>
        <v>Sin Datos</v>
      </c>
      <c r="Q123" s="57"/>
      <c r="R12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3" s="29" t="str">
        <f>IFERROR(TP[[#This Row],[Costo Total Pza. MXN]]+TP[[#This Row],[Impuesto Unitario MXN]],"Sin Datos")</f>
        <v>Sin Datos</v>
      </c>
      <c r="T123" s="29" t="str">
        <f>IFERROR(TP[[#This Row],[Costo Costo]]*50%+TP[[#This Row],[Costo Costo]],"Sin Datos")</f>
        <v>Sin Datos</v>
      </c>
      <c r="U123" s="14" t="str">
        <f>IFERROR(TP[[#This Row],[Precio de Oficina]]-TP[[#This Row],[Costo Costo]],"Sin Datos")</f>
        <v>Sin Datos</v>
      </c>
      <c r="V123" s="29" t="str">
        <f>IFERROR(TP[[#This Row],[Precio de Oficina]]*14%+TP[[#This Row],[Precio de Oficina]],"Sin Datos")</f>
        <v>Sin Datos</v>
      </c>
      <c r="W123" s="29" t="str">
        <f>IFERROR(TP[[#This Row],[Precio de Oficina]]*20%+TP[[#This Row],[Precio de Oficina]],"Sin Datos")</f>
        <v>Sin Datos</v>
      </c>
      <c r="X123" s="30" t="str">
        <f>IFERROR(TP[[#This Row],[Precio de Wix]]*33.6%+TP[[#This Row],[Precio de Wix]]+100,"Sin Datos")</f>
        <v>Sin Datos</v>
      </c>
      <c r="Z123" s="8" t="s">
        <v>326</v>
      </c>
    </row>
    <row r="124" spans="1:26" x14ac:dyDescent="0.2">
      <c r="A124" s="36" t="s">
        <v>327</v>
      </c>
      <c r="B124" s="49"/>
      <c r="C124" s="49"/>
      <c r="D124" s="53"/>
      <c r="E124" s="52"/>
      <c r="F124" s="53"/>
      <c r="G124" s="28" t="str">
        <f>IFERROR(TP[[#This Row],[Costo Real Unitario USD]]*TP[[#This Row],[Costo de Envio Total UDS]]/TP[[#This Row],[Costo Total Pedido USD]], "Sin Datos")</f>
        <v>Sin Datos</v>
      </c>
      <c r="H124" s="9">
        <f>IFERROR(TP[[#This Row],[Costo Total Pedido USD]]+TP[[#This Row],[Costo de Envio Total UDS]],"Sin Datos")</f>
        <v>0</v>
      </c>
      <c r="I124" s="52"/>
      <c r="J124" s="9" t="str">
        <f>IFERROR((TP[[#This Row],[Costo Real Unitario USD]]*TP[[#This Row],[Impuesto UDS]])/TP[[#This Row],[Costo Total Pedido USD]],"Sin Datos")</f>
        <v>Sin Datos</v>
      </c>
      <c r="K124" s="9" t="str">
        <f>IFERROR(TP[[#This Row],[Costo Real Unitario USD]]+TP[[#This Row],[Costo de Envio Unitario UDS]]+TP[[#This Row],[Impuesto Unitario UDS]],"Sin Datos")</f>
        <v>Sin Datos</v>
      </c>
      <c r="L124" s="9">
        <f>IFERROR(TP[[#This Row],[Costo Total Pedido USD]]+TP[[#This Row],[Costo de Envio Total UDS]]+TP[[#This Row],[Impuesto UDS]],"Sin Datos")</f>
        <v>0</v>
      </c>
      <c r="M124" s="14">
        <f>IFERROR(((TP[[#This Row],[Costo Total Pedido USD]]*TP[[#This Row],[DÓLAR]])*$B$3)+(TP[[#This Row],[Costo Total Pedido USD]]*TP[[#This Row],[DÓLAR]]),"Sin Datos")</f>
        <v>0</v>
      </c>
      <c r="N12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4" s="14" t="str">
        <f>IFERROR(TP[[#This Row],[Costo Total Pza. MXN]]*TP[[#This Row],[CANTIDAD]],"Sin Datos")</f>
        <v>Sin Datos</v>
      </c>
      <c r="P124" s="29" t="str">
        <f>IFERROR((((TP[[#This Row],[Costo Total Pza. UDS]]*TP[[#This Row],[DÓLAR]])*$B$3)+(TP[[#This Row],[Costo Total Pza. UDS]]*TP[[#This Row],[DÓLAR]])),"Sin Datos")</f>
        <v>Sin Datos</v>
      </c>
      <c r="Q124" s="57"/>
      <c r="R12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4" s="29" t="str">
        <f>IFERROR(TP[[#This Row],[Costo Total Pza. MXN]]+TP[[#This Row],[Impuesto Unitario MXN]],"Sin Datos")</f>
        <v>Sin Datos</v>
      </c>
      <c r="T124" s="29" t="str">
        <f>IFERROR(TP[[#This Row],[Costo Costo]]*50%+TP[[#This Row],[Costo Costo]],"Sin Datos")</f>
        <v>Sin Datos</v>
      </c>
      <c r="U124" s="14" t="str">
        <f>IFERROR(TP[[#This Row],[Precio de Oficina]]-TP[[#This Row],[Costo Costo]],"Sin Datos")</f>
        <v>Sin Datos</v>
      </c>
      <c r="V124" s="29" t="str">
        <f>IFERROR(TP[[#This Row],[Precio de Oficina]]*14%+TP[[#This Row],[Precio de Oficina]],"Sin Datos")</f>
        <v>Sin Datos</v>
      </c>
      <c r="W124" s="29" t="str">
        <f>IFERROR(TP[[#This Row],[Precio de Oficina]]*20%+TP[[#This Row],[Precio de Oficina]],"Sin Datos")</f>
        <v>Sin Datos</v>
      </c>
      <c r="X124" s="30" t="str">
        <f>IFERROR(TP[[#This Row],[Precio de Wix]]*33.6%+TP[[#This Row],[Precio de Wix]]+100,"Sin Datos")</f>
        <v>Sin Datos</v>
      </c>
      <c r="Z124" s="8" t="s">
        <v>327</v>
      </c>
    </row>
    <row r="125" spans="1:26" x14ac:dyDescent="0.2">
      <c r="A125" s="36" t="s">
        <v>328</v>
      </c>
      <c r="B125" s="49"/>
      <c r="C125" s="49"/>
      <c r="D125" s="53"/>
      <c r="E125" s="52"/>
      <c r="F125" s="53"/>
      <c r="G125" s="28" t="str">
        <f>IFERROR(TP[[#This Row],[Costo Real Unitario USD]]*TP[[#This Row],[Costo de Envio Total UDS]]/TP[[#This Row],[Costo Total Pedido USD]], "Sin Datos")</f>
        <v>Sin Datos</v>
      </c>
      <c r="H125" s="9">
        <f>IFERROR(TP[[#This Row],[Costo Total Pedido USD]]+TP[[#This Row],[Costo de Envio Total UDS]],"Sin Datos")</f>
        <v>0</v>
      </c>
      <c r="I125" s="52"/>
      <c r="J125" s="9" t="str">
        <f>IFERROR((TP[[#This Row],[Costo Real Unitario USD]]*TP[[#This Row],[Impuesto UDS]])/TP[[#This Row],[Costo Total Pedido USD]],"Sin Datos")</f>
        <v>Sin Datos</v>
      </c>
      <c r="K125" s="9" t="str">
        <f>IFERROR(TP[[#This Row],[Costo Real Unitario USD]]+TP[[#This Row],[Costo de Envio Unitario UDS]]+TP[[#This Row],[Impuesto Unitario UDS]],"Sin Datos")</f>
        <v>Sin Datos</v>
      </c>
      <c r="L125" s="9">
        <f>IFERROR(TP[[#This Row],[Costo Total Pedido USD]]+TP[[#This Row],[Costo de Envio Total UDS]]+TP[[#This Row],[Impuesto UDS]],"Sin Datos")</f>
        <v>0</v>
      </c>
      <c r="M125" s="14">
        <f>IFERROR(((TP[[#This Row],[Costo Total Pedido USD]]*TP[[#This Row],[DÓLAR]])*$B$3)+(TP[[#This Row],[Costo Total Pedido USD]]*TP[[#This Row],[DÓLAR]]),"Sin Datos")</f>
        <v>0</v>
      </c>
      <c r="N12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5" s="14" t="str">
        <f>IFERROR(TP[[#This Row],[Costo Total Pza. MXN]]*TP[[#This Row],[CANTIDAD]],"Sin Datos")</f>
        <v>Sin Datos</v>
      </c>
      <c r="P125" s="29" t="str">
        <f>IFERROR((((TP[[#This Row],[Costo Total Pza. UDS]]*TP[[#This Row],[DÓLAR]])*$B$3)+(TP[[#This Row],[Costo Total Pza. UDS]]*TP[[#This Row],[DÓLAR]])),"Sin Datos")</f>
        <v>Sin Datos</v>
      </c>
      <c r="Q125" s="57"/>
      <c r="R12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5" s="29" t="str">
        <f>IFERROR(TP[[#This Row],[Costo Total Pza. MXN]]+TP[[#This Row],[Impuesto Unitario MXN]],"Sin Datos")</f>
        <v>Sin Datos</v>
      </c>
      <c r="T125" s="29" t="str">
        <f>IFERROR(TP[[#This Row],[Costo Costo]]*50%+TP[[#This Row],[Costo Costo]],"Sin Datos")</f>
        <v>Sin Datos</v>
      </c>
      <c r="U125" s="14" t="str">
        <f>IFERROR(TP[[#This Row],[Precio de Oficina]]-TP[[#This Row],[Costo Costo]],"Sin Datos")</f>
        <v>Sin Datos</v>
      </c>
      <c r="V125" s="29" t="str">
        <f>IFERROR(TP[[#This Row],[Precio de Oficina]]*14%+TP[[#This Row],[Precio de Oficina]],"Sin Datos")</f>
        <v>Sin Datos</v>
      </c>
      <c r="W125" s="29" t="str">
        <f>IFERROR(TP[[#This Row],[Precio de Oficina]]*20%+TP[[#This Row],[Precio de Oficina]],"Sin Datos")</f>
        <v>Sin Datos</v>
      </c>
      <c r="X125" s="30" t="str">
        <f>IFERROR(TP[[#This Row],[Precio de Wix]]*33.6%+TP[[#This Row],[Precio de Wix]]+100,"Sin Datos")</f>
        <v>Sin Datos</v>
      </c>
      <c r="Z125" s="8" t="s">
        <v>328</v>
      </c>
    </row>
    <row r="126" spans="1:26" x14ac:dyDescent="0.2">
      <c r="A126" s="36" t="s">
        <v>329</v>
      </c>
      <c r="B126" s="49"/>
      <c r="C126" s="49"/>
      <c r="D126" s="53"/>
      <c r="E126" s="52"/>
      <c r="F126" s="53"/>
      <c r="G126" s="28" t="str">
        <f>IFERROR(TP[[#This Row],[Costo Real Unitario USD]]*TP[[#This Row],[Costo de Envio Total UDS]]/TP[[#This Row],[Costo Total Pedido USD]], "Sin Datos")</f>
        <v>Sin Datos</v>
      </c>
      <c r="H126" s="9">
        <f>IFERROR(TP[[#This Row],[Costo Total Pedido USD]]+TP[[#This Row],[Costo de Envio Total UDS]],"Sin Datos")</f>
        <v>0</v>
      </c>
      <c r="I126" s="52"/>
      <c r="J126" s="9" t="str">
        <f>IFERROR((TP[[#This Row],[Costo Real Unitario USD]]*TP[[#This Row],[Impuesto UDS]])/TP[[#This Row],[Costo Total Pedido USD]],"Sin Datos")</f>
        <v>Sin Datos</v>
      </c>
      <c r="K126" s="9" t="str">
        <f>IFERROR(TP[[#This Row],[Costo Real Unitario USD]]+TP[[#This Row],[Costo de Envio Unitario UDS]]+TP[[#This Row],[Impuesto Unitario UDS]],"Sin Datos")</f>
        <v>Sin Datos</v>
      </c>
      <c r="L126" s="9">
        <f>IFERROR(TP[[#This Row],[Costo Total Pedido USD]]+TP[[#This Row],[Costo de Envio Total UDS]]+TP[[#This Row],[Impuesto UDS]],"Sin Datos")</f>
        <v>0</v>
      </c>
      <c r="M126" s="14">
        <f>IFERROR(((TP[[#This Row],[Costo Total Pedido USD]]*TP[[#This Row],[DÓLAR]])*$B$3)+(TP[[#This Row],[Costo Total Pedido USD]]*TP[[#This Row],[DÓLAR]]),"Sin Datos")</f>
        <v>0</v>
      </c>
      <c r="N12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6" s="14" t="str">
        <f>IFERROR(TP[[#This Row],[Costo Total Pza. MXN]]*TP[[#This Row],[CANTIDAD]],"Sin Datos")</f>
        <v>Sin Datos</v>
      </c>
      <c r="P126" s="29" t="str">
        <f>IFERROR((((TP[[#This Row],[Costo Total Pza. UDS]]*TP[[#This Row],[DÓLAR]])*$B$3)+(TP[[#This Row],[Costo Total Pza. UDS]]*TP[[#This Row],[DÓLAR]])),"Sin Datos")</f>
        <v>Sin Datos</v>
      </c>
      <c r="Q126" s="57"/>
      <c r="R12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6" s="29" t="str">
        <f>IFERROR(TP[[#This Row],[Costo Total Pza. MXN]]+TP[[#This Row],[Impuesto Unitario MXN]],"Sin Datos")</f>
        <v>Sin Datos</v>
      </c>
      <c r="T126" s="29" t="str">
        <f>IFERROR(TP[[#This Row],[Costo Costo]]*50%+TP[[#This Row],[Costo Costo]],"Sin Datos")</f>
        <v>Sin Datos</v>
      </c>
      <c r="U126" s="14" t="str">
        <f>IFERROR(TP[[#This Row],[Precio de Oficina]]-TP[[#This Row],[Costo Costo]],"Sin Datos")</f>
        <v>Sin Datos</v>
      </c>
      <c r="V126" s="29" t="str">
        <f>IFERROR(TP[[#This Row],[Precio de Oficina]]*14%+TP[[#This Row],[Precio de Oficina]],"Sin Datos")</f>
        <v>Sin Datos</v>
      </c>
      <c r="W126" s="29" t="str">
        <f>IFERROR(TP[[#This Row],[Precio de Oficina]]*20%+TP[[#This Row],[Precio de Oficina]],"Sin Datos")</f>
        <v>Sin Datos</v>
      </c>
      <c r="X126" s="30" t="str">
        <f>IFERROR(TP[[#This Row],[Precio de Wix]]*33.6%+TP[[#This Row],[Precio de Wix]]+100,"Sin Datos")</f>
        <v>Sin Datos</v>
      </c>
      <c r="Z126" s="8" t="s">
        <v>329</v>
      </c>
    </row>
    <row r="127" spans="1:26" x14ac:dyDescent="0.2">
      <c r="A127" s="36" t="s">
        <v>330</v>
      </c>
      <c r="B127" s="49"/>
      <c r="C127" s="49"/>
      <c r="D127" s="53"/>
      <c r="E127" s="52"/>
      <c r="F127" s="53"/>
      <c r="G127" s="28" t="str">
        <f>IFERROR(TP[[#This Row],[Costo Real Unitario USD]]*TP[[#This Row],[Costo de Envio Total UDS]]/TP[[#This Row],[Costo Total Pedido USD]], "Sin Datos")</f>
        <v>Sin Datos</v>
      </c>
      <c r="H127" s="9">
        <f>IFERROR(TP[[#This Row],[Costo Total Pedido USD]]+TP[[#This Row],[Costo de Envio Total UDS]],"Sin Datos")</f>
        <v>0</v>
      </c>
      <c r="I127" s="52"/>
      <c r="J127" s="9" t="str">
        <f>IFERROR((TP[[#This Row],[Costo Real Unitario USD]]*TP[[#This Row],[Impuesto UDS]])/TP[[#This Row],[Costo Total Pedido USD]],"Sin Datos")</f>
        <v>Sin Datos</v>
      </c>
      <c r="K127" s="9" t="str">
        <f>IFERROR(TP[[#This Row],[Costo Real Unitario USD]]+TP[[#This Row],[Costo de Envio Unitario UDS]]+TP[[#This Row],[Impuesto Unitario UDS]],"Sin Datos")</f>
        <v>Sin Datos</v>
      </c>
      <c r="L127" s="9">
        <f>IFERROR(TP[[#This Row],[Costo Total Pedido USD]]+TP[[#This Row],[Costo de Envio Total UDS]]+TP[[#This Row],[Impuesto UDS]],"Sin Datos")</f>
        <v>0</v>
      </c>
      <c r="M127" s="14">
        <f>IFERROR(((TP[[#This Row],[Costo Total Pedido USD]]*TP[[#This Row],[DÓLAR]])*$B$3)+(TP[[#This Row],[Costo Total Pedido USD]]*TP[[#This Row],[DÓLAR]]),"Sin Datos")</f>
        <v>0</v>
      </c>
      <c r="N12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7" s="14" t="str">
        <f>IFERROR(TP[[#This Row],[Costo Total Pza. MXN]]*TP[[#This Row],[CANTIDAD]],"Sin Datos")</f>
        <v>Sin Datos</v>
      </c>
      <c r="P127" s="29" t="str">
        <f>IFERROR((((TP[[#This Row],[Costo Total Pza. UDS]]*TP[[#This Row],[DÓLAR]])*$B$3)+(TP[[#This Row],[Costo Total Pza. UDS]]*TP[[#This Row],[DÓLAR]])),"Sin Datos")</f>
        <v>Sin Datos</v>
      </c>
      <c r="Q127" s="57"/>
      <c r="R12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7" s="29" t="str">
        <f>IFERROR(TP[[#This Row],[Costo Total Pza. MXN]]+TP[[#This Row],[Impuesto Unitario MXN]],"Sin Datos")</f>
        <v>Sin Datos</v>
      </c>
      <c r="T127" s="29" t="str">
        <f>IFERROR(TP[[#This Row],[Costo Costo]]*50%+TP[[#This Row],[Costo Costo]],"Sin Datos")</f>
        <v>Sin Datos</v>
      </c>
      <c r="U127" s="14" t="str">
        <f>IFERROR(TP[[#This Row],[Precio de Oficina]]-TP[[#This Row],[Costo Costo]],"Sin Datos")</f>
        <v>Sin Datos</v>
      </c>
      <c r="V127" s="29" t="str">
        <f>IFERROR(TP[[#This Row],[Precio de Oficina]]*14%+TP[[#This Row],[Precio de Oficina]],"Sin Datos")</f>
        <v>Sin Datos</v>
      </c>
      <c r="W127" s="29" t="str">
        <f>IFERROR(TP[[#This Row],[Precio de Oficina]]*20%+TP[[#This Row],[Precio de Oficina]],"Sin Datos")</f>
        <v>Sin Datos</v>
      </c>
      <c r="X127" s="30" t="str">
        <f>IFERROR(TP[[#This Row],[Precio de Wix]]*33.6%+TP[[#This Row],[Precio de Wix]]+100,"Sin Datos")</f>
        <v>Sin Datos</v>
      </c>
      <c r="Z127" s="8" t="s">
        <v>330</v>
      </c>
    </row>
    <row r="128" spans="1:26" x14ac:dyDescent="0.2">
      <c r="A128" s="36" t="s">
        <v>331</v>
      </c>
      <c r="B128" s="49"/>
      <c r="C128" s="49"/>
      <c r="D128" s="53"/>
      <c r="E128" s="52"/>
      <c r="F128" s="53"/>
      <c r="G128" s="28" t="str">
        <f>IFERROR(TP[[#This Row],[Costo Real Unitario USD]]*TP[[#This Row],[Costo de Envio Total UDS]]/TP[[#This Row],[Costo Total Pedido USD]], "Sin Datos")</f>
        <v>Sin Datos</v>
      </c>
      <c r="H128" s="9">
        <f>IFERROR(TP[[#This Row],[Costo Total Pedido USD]]+TP[[#This Row],[Costo de Envio Total UDS]],"Sin Datos")</f>
        <v>0</v>
      </c>
      <c r="I128" s="52"/>
      <c r="J128" s="9" t="str">
        <f>IFERROR((TP[[#This Row],[Costo Real Unitario USD]]*TP[[#This Row],[Impuesto UDS]])/TP[[#This Row],[Costo Total Pedido USD]],"Sin Datos")</f>
        <v>Sin Datos</v>
      </c>
      <c r="K128" s="9" t="str">
        <f>IFERROR(TP[[#This Row],[Costo Real Unitario USD]]+TP[[#This Row],[Costo de Envio Unitario UDS]]+TP[[#This Row],[Impuesto Unitario UDS]],"Sin Datos")</f>
        <v>Sin Datos</v>
      </c>
      <c r="L128" s="9">
        <f>IFERROR(TP[[#This Row],[Costo Total Pedido USD]]+TP[[#This Row],[Costo de Envio Total UDS]]+TP[[#This Row],[Impuesto UDS]],"Sin Datos")</f>
        <v>0</v>
      </c>
      <c r="M128" s="14">
        <f>IFERROR(((TP[[#This Row],[Costo Total Pedido USD]]*TP[[#This Row],[DÓLAR]])*$B$3)+(TP[[#This Row],[Costo Total Pedido USD]]*TP[[#This Row],[DÓLAR]]),"Sin Datos")</f>
        <v>0</v>
      </c>
      <c r="N12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8" s="14" t="str">
        <f>IFERROR(TP[[#This Row],[Costo Total Pza. MXN]]*TP[[#This Row],[CANTIDAD]],"Sin Datos")</f>
        <v>Sin Datos</v>
      </c>
      <c r="P128" s="29" t="str">
        <f>IFERROR((((TP[[#This Row],[Costo Total Pza. UDS]]*TP[[#This Row],[DÓLAR]])*$B$3)+(TP[[#This Row],[Costo Total Pza. UDS]]*TP[[#This Row],[DÓLAR]])),"Sin Datos")</f>
        <v>Sin Datos</v>
      </c>
      <c r="Q128" s="57"/>
      <c r="R12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8" s="29" t="str">
        <f>IFERROR(TP[[#This Row],[Costo Total Pza. MXN]]+TP[[#This Row],[Impuesto Unitario MXN]],"Sin Datos")</f>
        <v>Sin Datos</v>
      </c>
      <c r="T128" s="29" t="str">
        <f>IFERROR(TP[[#This Row],[Costo Costo]]*50%+TP[[#This Row],[Costo Costo]],"Sin Datos")</f>
        <v>Sin Datos</v>
      </c>
      <c r="U128" s="14" t="str">
        <f>IFERROR(TP[[#This Row],[Precio de Oficina]]-TP[[#This Row],[Costo Costo]],"Sin Datos")</f>
        <v>Sin Datos</v>
      </c>
      <c r="V128" s="29" t="str">
        <f>IFERROR(TP[[#This Row],[Precio de Oficina]]*14%+TP[[#This Row],[Precio de Oficina]],"Sin Datos")</f>
        <v>Sin Datos</v>
      </c>
      <c r="W128" s="29" t="str">
        <f>IFERROR(TP[[#This Row],[Precio de Oficina]]*20%+TP[[#This Row],[Precio de Oficina]],"Sin Datos")</f>
        <v>Sin Datos</v>
      </c>
      <c r="X128" s="30" t="str">
        <f>IFERROR(TP[[#This Row],[Precio de Wix]]*33.6%+TP[[#This Row],[Precio de Wix]]+100,"Sin Datos")</f>
        <v>Sin Datos</v>
      </c>
      <c r="Z128" s="8" t="s">
        <v>331</v>
      </c>
    </row>
    <row r="129" spans="1:26" x14ac:dyDescent="0.2">
      <c r="A129" s="36" t="s">
        <v>332</v>
      </c>
      <c r="B129" s="49"/>
      <c r="C129" s="49"/>
      <c r="D129" s="53"/>
      <c r="E129" s="52"/>
      <c r="F129" s="53"/>
      <c r="G129" s="28" t="str">
        <f>IFERROR(TP[[#This Row],[Costo Real Unitario USD]]*TP[[#This Row],[Costo de Envio Total UDS]]/TP[[#This Row],[Costo Total Pedido USD]], "Sin Datos")</f>
        <v>Sin Datos</v>
      </c>
      <c r="H129" s="9">
        <f>IFERROR(TP[[#This Row],[Costo Total Pedido USD]]+TP[[#This Row],[Costo de Envio Total UDS]],"Sin Datos")</f>
        <v>0</v>
      </c>
      <c r="I129" s="52"/>
      <c r="J129" s="9" t="str">
        <f>IFERROR((TP[[#This Row],[Costo Real Unitario USD]]*TP[[#This Row],[Impuesto UDS]])/TP[[#This Row],[Costo Total Pedido USD]],"Sin Datos")</f>
        <v>Sin Datos</v>
      </c>
      <c r="K129" s="9" t="str">
        <f>IFERROR(TP[[#This Row],[Costo Real Unitario USD]]+TP[[#This Row],[Costo de Envio Unitario UDS]]+TP[[#This Row],[Impuesto Unitario UDS]],"Sin Datos")</f>
        <v>Sin Datos</v>
      </c>
      <c r="L129" s="9">
        <f>IFERROR(TP[[#This Row],[Costo Total Pedido USD]]+TP[[#This Row],[Costo de Envio Total UDS]]+TP[[#This Row],[Impuesto UDS]],"Sin Datos")</f>
        <v>0</v>
      </c>
      <c r="M129" s="14">
        <f>IFERROR(((TP[[#This Row],[Costo Total Pedido USD]]*TP[[#This Row],[DÓLAR]])*$B$3)+(TP[[#This Row],[Costo Total Pedido USD]]*TP[[#This Row],[DÓLAR]]),"Sin Datos")</f>
        <v>0</v>
      </c>
      <c r="N12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29" s="14" t="str">
        <f>IFERROR(TP[[#This Row],[Costo Total Pza. MXN]]*TP[[#This Row],[CANTIDAD]],"Sin Datos")</f>
        <v>Sin Datos</v>
      </c>
      <c r="P129" s="29" t="str">
        <f>IFERROR((((TP[[#This Row],[Costo Total Pza. UDS]]*TP[[#This Row],[DÓLAR]])*$B$3)+(TP[[#This Row],[Costo Total Pza. UDS]]*TP[[#This Row],[DÓLAR]])),"Sin Datos")</f>
        <v>Sin Datos</v>
      </c>
      <c r="Q129" s="57"/>
      <c r="R12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29" s="29" t="str">
        <f>IFERROR(TP[[#This Row],[Costo Total Pza. MXN]]+TP[[#This Row],[Impuesto Unitario MXN]],"Sin Datos")</f>
        <v>Sin Datos</v>
      </c>
      <c r="T129" s="29" t="str">
        <f>IFERROR(TP[[#This Row],[Costo Costo]]*50%+TP[[#This Row],[Costo Costo]],"Sin Datos")</f>
        <v>Sin Datos</v>
      </c>
      <c r="U129" s="14" t="str">
        <f>IFERROR(TP[[#This Row],[Precio de Oficina]]-TP[[#This Row],[Costo Costo]],"Sin Datos")</f>
        <v>Sin Datos</v>
      </c>
      <c r="V129" s="29" t="str">
        <f>IFERROR(TP[[#This Row],[Precio de Oficina]]*14%+TP[[#This Row],[Precio de Oficina]],"Sin Datos")</f>
        <v>Sin Datos</v>
      </c>
      <c r="W129" s="29" t="str">
        <f>IFERROR(TP[[#This Row],[Precio de Oficina]]*20%+TP[[#This Row],[Precio de Oficina]],"Sin Datos")</f>
        <v>Sin Datos</v>
      </c>
      <c r="X129" s="30" t="str">
        <f>IFERROR(TP[[#This Row],[Precio de Wix]]*33.6%+TP[[#This Row],[Precio de Wix]]+100,"Sin Datos")</f>
        <v>Sin Datos</v>
      </c>
      <c r="Z129" s="8" t="s">
        <v>332</v>
      </c>
    </row>
    <row r="130" spans="1:26" x14ac:dyDescent="0.2">
      <c r="A130" s="36" t="s">
        <v>333</v>
      </c>
      <c r="B130" s="49"/>
      <c r="C130" s="49"/>
      <c r="D130" s="53"/>
      <c r="E130" s="52"/>
      <c r="F130" s="53"/>
      <c r="G130" s="28" t="str">
        <f>IFERROR(TP[[#This Row],[Costo Real Unitario USD]]*TP[[#This Row],[Costo de Envio Total UDS]]/TP[[#This Row],[Costo Total Pedido USD]], "Sin Datos")</f>
        <v>Sin Datos</v>
      </c>
      <c r="H130" s="9">
        <f>IFERROR(TP[[#This Row],[Costo Total Pedido USD]]+TP[[#This Row],[Costo de Envio Total UDS]],"Sin Datos")</f>
        <v>0</v>
      </c>
      <c r="I130" s="52"/>
      <c r="J130" s="9" t="str">
        <f>IFERROR((TP[[#This Row],[Costo Real Unitario USD]]*TP[[#This Row],[Impuesto UDS]])/TP[[#This Row],[Costo Total Pedido USD]],"Sin Datos")</f>
        <v>Sin Datos</v>
      </c>
      <c r="K130" s="9" t="str">
        <f>IFERROR(TP[[#This Row],[Costo Real Unitario USD]]+TP[[#This Row],[Costo de Envio Unitario UDS]]+TP[[#This Row],[Impuesto Unitario UDS]],"Sin Datos")</f>
        <v>Sin Datos</v>
      </c>
      <c r="L130" s="9">
        <f>IFERROR(TP[[#This Row],[Costo Total Pedido USD]]+TP[[#This Row],[Costo de Envio Total UDS]]+TP[[#This Row],[Impuesto UDS]],"Sin Datos")</f>
        <v>0</v>
      </c>
      <c r="M130" s="14">
        <f>IFERROR(((TP[[#This Row],[Costo Total Pedido USD]]*TP[[#This Row],[DÓLAR]])*$B$3)+(TP[[#This Row],[Costo Total Pedido USD]]*TP[[#This Row],[DÓLAR]]),"Sin Datos")</f>
        <v>0</v>
      </c>
      <c r="N13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0" s="14" t="str">
        <f>IFERROR(TP[[#This Row],[Costo Total Pza. MXN]]*TP[[#This Row],[CANTIDAD]],"Sin Datos")</f>
        <v>Sin Datos</v>
      </c>
      <c r="P130" s="29" t="str">
        <f>IFERROR((((TP[[#This Row],[Costo Total Pza. UDS]]*TP[[#This Row],[DÓLAR]])*$B$3)+(TP[[#This Row],[Costo Total Pza. UDS]]*TP[[#This Row],[DÓLAR]])),"Sin Datos")</f>
        <v>Sin Datos</v>
      </c>
      <c r="Q130" s="57"/>
      <c r="R13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0" s="29" t="str">
        <f>IFERROR(TP[[#This Row],[Costo Total Pza. MXN]]+TP[[#This Row],[Impuesto Unitario MXN]],"Sin Datos")</f>
        <v>Sin Datos</v>
      </c>
      <c r="T130" s="29" t="str">
        <f>IFERROR(TP[[#This Row],[Costo Costo]]*50%+TP[[#This Row],[Costo Costo]],"Sin Datos")</f>
        <v>Sin Datos</v>
      </c>
      <c r="U130" s="14" t="str">
        <f>IFERROR(TP[[#This Row],[Precio de Oficina]]-TP[[#This Row],[Costo Costo]],"Sin Datos")</f>
        <v>Sin Datos</v>
      </c>
      <c r="V130" s="29" t="str">
        <f>IFERROR(TP[[#This Row],[Precio de Oficina]]*14%+TP[[#This Row],[Precio de Oficina]],"Sin Datos")</f>
        <v>Sin Datos</v>
      </c>
      <c r="W130" s="29" t="str">
        <f>IFERROR(TP[[#This Row],[Precio de Oficina]]*20%+TP[[#This Row],[Precio de Oficina]],"Sin Datos")</f>
        <v>Sin Datos</v>
      </c>
      <c r="X130" s="30" t="str">
        <f>IFERROR(TP[[#This Row],[Precio de Wix]]*33.6%+TP[[#This Row],[Precio de Wix]]+100,"Sin Datos")</f>
        <v>Sin Datos</v>
      </c>
      <c r="Z130" s="8" t="s">
        <v>333</v>
      </c>
    </row>
    <row r="131" spans="1:26" x14ac:dyDescent="0.2">
      <c r="A131" s="36" t="s">
        <v>334</v>
      </c>
      <c r="B131" s="49"/>
      <c r="C131" s="49"/>
      <c r="D131" s="53"/>
      <c r="E131" s="52"/>
      <c r="F131" s="53"/>
      <c r="G131" s="28" t="str">
        <f>IFERROR(TP[[#This Row],[Costo Real Unitario USD]]*TP[[#This Row],[Costo de Envio Total UDS]]/TP[[#This Row],[Costo Total Pedido USD]], "Sin Datos")</f>
        <v>Sin Datos</v>
      </c>
      <c r="H131" s="9">
        <f>IFERROR(TP[[#This Row],[Costo Total Pedido USD]]+TP[[#This Row],[Costo de Envio Total UDS]],"Sin Datos")</f>
        <v>0</v>
      </c>
      <c r="I131" s="52"/>
      <c r="J131" s="9" t="str">
        <f>IFERROR((TP[[#This Row],[Costo Real Unitario USD]]*TP[[#This Row],[Impuesto UDS]])/TP[[#This Row],[Costo Total Pedido USD]],"Sin Datos")</f>
        <v>Sin Datos</v>
      </c>
      <c r="K131" s="9" t="str">
        <f>IFERROR(TP[[#This Row],[Costo Real Unitario USD]]+TP[[#This Row],[Costo de Envio Unitario UDS]]+TP[[#This Row],[Impuesto Unitario UDS]],"Sin Datos")</f>
        <v>Sin Datos</v>
      </c>
      <c r="L131" s="9">
        <f>IFERROR(TP[[#This Row],[Costo Total Pedido USD]]+TP[[#This Row],[Costo de Envio Total UDS]]+TP[[#This Row],[Impuesto UDS]],"Sin Datos")</f>
        <v>0</v>
      </c>
      <c r="M131" s="14">
        <f>IFERROR(((TP[[#This Row],[Costo Total Pedido USD]]*TP[[#This Row],[DÓLAR]])*$B$3)+(TP[[#This Row],[Costo Total Pedido USD]]*TP[[#This Row],[DÓLAR]]),"Sin Datos")</f>
        <v>0</v>
      </c>
      <c r="N13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1" s="14" t="str">
        <f>IFERROR(TP[[#This Row],[Costo Total Pza. MXN]]*TP[[#This Row],[CANTIDAD]],"Sin Datos")</f>
        <v>Sin Datos</v>
      </c>
      <c r="P131" s="29" t="str">
        <f>IFERROR((((TP[[#This Row],[Costo Total Pza. UDS]]*TP[[#This Row],[DÓLAR]])*$B$3)+(TP[[#This Row],[Costo Total Pza. UDS]]*TP[[#This Row],[DÓLAR]])),"Sin Datos")</f>
        <v>Sin Datos</v>
      </c>
      <c r="Q131" s="57"/>
      <c r="R13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1" s="29" t="str">
        <f>IFERROR(TP[[#This Row],[Costo Total Pza. MXN]]+TP[[#This Row],[Impuesto Unitario MXN]],"Sin Datos")</f>
        <v>Sin Datos</v>
      </c>
      <c r="T131" s="29" t="str">
        <f>IFERROR(TP[[#This Row],[Costo Costo]]*50%+TP[[#This Row],[Costo Costo]],"Sin Datos")</f>
        <v>Sin Datos</v>
      </c>
      <c r="U131" s="14" t="str">
        <f>IFERROR(TP[[#This Row],[Precio de Oficina]]-TP[[#This Row],[Costo Costo]],"Sin Datos")</f>
        <v>Sin Datos</v>
      </c>
      <c r="V131" s="29" t="str">
        <f>IFERROR(TP[[#This Row],[Precio de Oficina]]*14%+TP[[#This Row],[Precio de Oficina]],"Sin Datos")</f>
        <v>Sin Datos</v>
      </c>
      <c r="W131" s="29" t="str">
        <f>IFERROR(TP[[#This Row],[Precio de Oficina]]*20%+TP[[#This Row],[Precio de Oficina]],"Sin Datos")</f>
        <v>Sin Datos</v>
      </c>
      <c r="X131" s="30" t="str">
        <f>IFERROR(TP[[#This Row],[Precio de Wix]]*33.6%+TP[[#This Row],[Precio de Wix]]+100,"Sin Datos")</f>
        <v>Sin Datos</v>
      </c>
      <c r="Z131" s="8" t="s">
        <v>334</v>
      </c>
    </row>
    <row r="132" spans="1:26" x14ac:dyDescent="0.2">
      <c r="A132" s="36" t="s">
        <v>335</v>
      </c>
      <c r="B132" s="49"/>
      <c r="C132" s="49"/>
      <c r="D132" s="53"/>
      <c r="E132" s="52"/>
      <c r="F132" s="53"/>
      <c r="G132" s="28" t="str">
        <f>IFERROR(TP[[#This Row],[Costo Real Unitario USD]]*TP[[#This Row],[Costo de Envio Total UDS]]/TP[[#This Row],[Costo Total Pedido USD]], "Sin Datos")</f>
        <v>Sin Datos</v>
      </c>
      <c r="H132" s="9">
        <f>IFERROR(TP[[#This Row],[Costo Total Pedido USD]]+TP[[#This Row],[Costo de Envio Total UDS]],"Sin Datos")</f>
        <v>0</v>
      </c>
      <c r="I132" s="52"/>
      <c r="J132" s="9" t="str">
        <f>IFERROR((TP[[#This Row],[Costo Real Unitario USD]]*TP[[#This Row],[Impuesto UDS]])/TP[[#This Row],[Costo Total Pedido USD]],"Sin Datos")</f>
        <v>Sin Datos</v>
      </c>
      <c r="K132" s="9" t="str">
        <f>IFERROR(TP[[#This Row],[Costo Real Unitario USD]]+TP[[#This Row],[Costo de Envio Unitario UDS]]+TP[[#This Row],[Impuesto Unitario UDS]],"Sin Datos")</f>
        <v>Sin Datos</v>
      </c>
      <c r="L132" s="9">
        <f>IFERROR(TP[[#This Row],[Costo Total Pedido USD]]+TP[[#This Row],[Costo de Envio Total UDS]]+TP[[#This Row],[Impuesto UDS]],"Sin Datos")</f>
        <v>0</v>
      </c>
      <c r="M132" s="14">
        <f>IFERROR(((TP[[#This Row],[Costo Total Pedido USD]]*TP[[#This Row],[DÓLAR]])*$B$3)+(TP[[#This Row],[Costo Total Pedido USD]]*TP[[#This Row],[DÓLAR]]),"Sin Datos")</f>
        <v>0</v>
      </c>
      <c r="N13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2" s="14" t="str">
        <f>IFERROR(TP[[#This Row],[Costo Total Pza. MXN]]*TP[[#This Row],[CANTIDAD]],"Sin Datos")</f>
        <v>Sin Datos</v>
      </c>
      <c r="P132" s="29" t="str">
        <f>IFERROR((((TP[[#This Row],[Costo Total Pza. UDS]]*TP[[#This Row],[DÓLAR]])*$B$3)+(TP[[#This Row],[Costo Total Pza. UDS]]*TP[[#This Row],[DÓLAR]])),"Sin Datos")</f>
        <v>Sin Datos</v>
      </c>
      <c r="Q132" s="57"/>
      <c r="R13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2" s="29" t="str">
        <f>IFERROR(TP[[#This Row],[Costo Total Pza. MXN]]+TP[[#This Row],[Impuesto Unitario MXN]],"Sin Datos")</f>
        <v>Sin Datos</v>
      </c>
      <c r="T132" s="29" t="str">
        <f>IFERROR(TP[[#This Row],[Costo Costo]]*50%+TP[[#This Row],[Costo Costo]],"Sin Datos")</f>
        <v>Sin Datos</v>
      </c>
      <c r="U132" s="14" t="str">
        <f>IFERROR(TP[[#This Row],[Precio de Oficina]]-TP[[#This Row],[Costo Costo]],"Sin Datos")</f>
        <v>Sin Datos</v>
      </c>
      <c r="V132" s="29" t="str">
        <f>IFERROR(TP[[#This Row],[Precio de Oficina]]*14%+TP[[#This Row],[Precio de Oficina]],"Sin Datos")</f>
        <v>Sin Datos</v>
      </c>
      <c r="W132" s="29" t="str">
        <f>IFERROR(TP[[#This Row],[Precio de Oficina]]*20%+TP[[#This Row],[Precio de Oficina]],"Sin Datos")</f>
        <v>Sin Datos</v>
      </c>
      <c r="X132" s="30" t="str">
        <f>IFERROR(TP[[#This Row],[Precio de Wix]]*33.6%+TP[[#This Row],[Precio de Wix]]+100,"Sin Datos")</f>
        <v>Sin Datos</v>
      </c>
      <c r="Z132" s="8" t="s">
        <v>335</v>
      </c>
    </row>
    <row r="133" spans="1:26" x14ac:dyDescent="0.2">
      <c r="A133" s="36" t="s">
        <v>336</v>
      </c>
      <c r="B133" s="49"/>
      <c r="C133" s="49"/>
      <c r="D133" s="53"/>
      <c r="E133" s="52"/>
      <c r="F133" s="53"/>
      <c r="G133" s="28" t="str">
        <f>IFERROR(TP[[#This Row],[Costo Real Unitario USD]]*TP[[#This Row],[Costo de Envio Total UDS]]/TP[[#This Row],[Costo Total Pedido USD]], "Sin Datos")</f>
        <v>Sin Datos</v>
      </c>
      <c r="H133" s="9">
        <f>IFERROR(TP[[#This Row],[Costo Total Pedido USD]]+TP[[#This Row],[Costo de Envio Total UDS]],"Sin Datos")</f>
        <v>0</v>
      </c>
      <c r="I133" s="52"/>
      <c r="J133" s="9" t="str">
        <f>IFERROR((TP[[#This Row],[Costo Real Unitario USD]]*TP[[#This Row],[Impuesto UDS]])/TP[[#This Row],[Costo Total Pedido USD]],"Sin Datos")</f>
        <v>Sin Datos</v>
      </c>
      <c r="K133" s="9" t="str">
        <f>IFERROR(TP[[#This Row],[Costo Real Unitario USD]]+TP[[#This Row],[Costo de Envio Unitario UDS]]+TP[[#This Row],[Impuesto Unitario UDS]],"Sin Datos")</f>
        <v>Sin Datos</v>
      </c>
      <c r="L133" s="9">
        <f>IFERROR(TP[[#This Row],[Costo Total Pedido USD]]+TP[[#This Row],[Costo de Envio Total UDS]]+TP[[#This Row],[Impuesto UDS]],"Sin Datos")</f>
        <v>0</v>
      </c>
      <c r="M133" s="14">
        <f>IFERROR(((TP[[#This Row],[Costo Total Pedido USD]]*TP[[#This Row],[DÓLAR]])*$B$3)+(TP[[#This Row],[Costo Total Pedido USD]]*TP[[#This Row],[DÓLAR]]),"Sin Datos")</f>
        <v>0</v>
      </c>
      <c r="N13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3" s="14" t="str">
        <f>IFERROR(TP[[#This Row],[Costo Total Pza. MXN]]*TP[[#This Row],[CANTIDAD]],"Sin Datos")</f>
        <v>Sin Datos</v>
      </c>
      <c r="P133" s="29" t="str">
        <f>IFERROR((((TP[[#This Row],[Costo Total Pza. UDS]]*TP[[#This Row],[DÓLAR]])*$B$3)+(TP[[#This Row],[Costo Total Pza. UDS]]*TP[[#This Row],[DÓLAR]])),"Sin Datos")</f>
        <v>Sin Datos</v>
      </c>
      <c r="Q133" s="57"/>
      <c r="R13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3" s="29" t="str">
        <f>IFERROR(TP[[#This Row],[Costo Total Pza. MXN]]+TP[[#This Row],[Impuesto Unitario MXN]],"Sin Datos")</f>
        <v>Sin Datos</v>
      </c>
      <c r="T133" s="29" t="str">
        <f>IFERROR(TP[[#This Row],[Costo Costo]]*50%+TP[[#This Row],[Costo Costo]],"Sin Datos")</f>
        <v>Sin Datos</v>
      </c>
      <c r="U133" s="14" t="str">
        <f>IFERROR(TP[[#This Row],[Precio de Oficina]]-TP[[#This Row],[Costo Costo]],"Sin Datos")</f>
        <v>Sin Datos</v>
      </c>
      <c r="V133" s="29" t="str">
        <f>IFERROR(TP[[#This Row],[Precio de Oficina]]*14%+TP[[#This Row],[Precio de Oficina]],"Sin Datos")</f>
        <v>Sin Datos</v>
      </c>
      <c r="W133" s="29" t="str">
        <f>IFERROR(TP[[#This Row],[Precio de Oficina]]*20%+TP[[#This Row],[Precio de Oficina]],"Sin Datos")</f>
        <v>Sin Datos</v>
      </c>
      <c r="X133" s="30" t="str">
        <f>IFERROR(TP[[#This Row],[Precio de Wix]]*33.6%+TP[[#This Row],[Precio de Wix]]+100,"Sin Datos")</f>
        <v>Sin Datos</v>
      </c>
      <c r="Z133" s="8" t="s">
        <v>336</v>
      </c>
    </row>
    <row r="134" spans="1:26" x14ac:dyDescent="0.2">
      <c r="A134" s="36" t="s">
        <v>337</v>
      </c>
      <c r="B134" s="49"/>
      <c r="C134" s="49"/>
      <c r="D134" s="53"/>
      <c r="E134" s="52"/>
      <c r="F134" s="53"/>
      <c r="G134" s="28" t="str">
        <f>IFERROR(TP[[#This Row],[Costo Real Unitario USD]]*TP[[#This Row],[Costo de Envio Total UDS]]/TP[[#This Row],[Costo Total Pedido USD]], "Sin Datos")</f>
        <v>Sin Datos</v>
      </c>
      <c r="H134" s="9">
        <f>IFERROR(TP[[#This Row],[Costo Total Pedido USD]]+TP[[#This Row],[Costo de Envio Total UDS]],"Sin Datos")</f>
        <v>0</v>
      </c>
      <c r="I134" s="52"/>
      <c r="J134" s="9" t="str">
        <f>IFERROR((TP[[#This Row],[Costo Real Unitario USD]]*TP[[#This Row],[Impuesto UDS]])/TP[[#This Row],[Costo Total Pedido USD]],"Sin Datos")</f>
        <v>Sin Datos</v>
      </c>
      <c r="K134" s="9" t="str">
        <f>IFERROR(TP[[#This Row],[Costo Real Unitario USD]]+TP[[#This Row],[Costo de Envio Unitario UDS]]+TP[[#This Row],[Impuesto Unitario UDS]],"Sin Datos")</f>
        <v>Sin Datos</v>
      </c>
      <c r="L134" s="9">
        <f>IFERROR(TP[[#This Row],[Costo Total Pedido USD]]+TP[[#This Row],[Costo de Envio Total UDS]]+TP[[#This Row],[Impuesto UDS]],"Sin Datos")</f>
        <v>0</v>
      </c>
      <c r="M134" s="14">
        <f>IFERROR(((TP[[#This Row],[Costo Total Pedido USD]]*TP[[#This Row],[DÓLAR]])*$B$3)+(TP[[#This Row],[Costo Total Pedido USD]]*TP[[#This Row],[DÓLAR]]),"Sin Datos")</f>
        <v>0</v>
      </c>
      <c r="N13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4" s="14" t="str">
        <f>IFERROR(TP[[#This Row],[Costo Total Pza. MXN]]*TP[[#This Row],[CANTIDAD]],"Sin Datos")</f>
        <v>Sin Datos</v>
      </c>
      <c r="P134" s="29" t="str">
        <f>IFERROR((((TP[[#This Row],[Costo Total Pza. UDS]]*TP[[#This Row],[DÓLAR]])*$B$3)+(TP[[#This Row],[Costo Total Pza. UDS]]*TP[[#This Row],[DÓLAR]])),"Sin Datos")</f>
        <v>Sin Datos</v>
      </c>
      <c r="Q134" s="57"/>
      <c r="R13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4" s="29" t="str">
        <f>IFERROR(TP[[#This Row],[Costo Total Pza. MXN]]+TP[[#This Row],[Impuesto Unitario MXN]],"Sin Datos")</f>
        <v>Sin Datos</v>
      </c>
      <c r="T134" s="29" t="str">
        <f>IFERROR(TP[[#This Row],[Costo Costo]]*50%+TP[[#This Row],[Costo Costo]],"Sin Datos")</f>
        <v>Sin Datos</v>
      </c>
      <c r="U134" s="14" t="str">
        <f>IFERROR(TP[[#This Row],[Precio de Oficina]]-TP[[#This Row],[Costo Costo]],"Sin Datos")</f>
        <v>Sin Datos</v>
      </c>
      <c r="V134" s="29" t="str">
        <f>IFERROR(TP[[#This Row],[Precio de Oficina]]*14%+TP[[#This Row],[Precio de Oficina]],"Sin Datos")</f>
        <v>Sin Datos</v>
      </c>
      <c r="W134" s="29" t="str">
        <f>IFERROR(TP[[#This Row],[Precio de Oficina]]*20%+TP[[#This Row],[Precio de Oficina]],"Sin Datos")</f>
        <v>Sin Datos</v>
      </c>
      <c r="X134" s="30" t="str">
        <f>IFERROR(TP[[#This Row],[Precio de Wix]]*33.6%+TP[[#This Row],[Precio de Wix]]+100,"Sin Datos")</f>
        <v>Sin Datos</v>
      </c>
      <c r="Z134" s="8" t="s">
        <v>337</v>
      </c>
    </row>
    <row r="135" spans="1:26" x14ac:dyDescent="0.2">
      <c r="A135" s="36" t="s">
        <v>338</v>
      </c>
      <c r="B135" s="49"/>
      <c r="C135" s="49"/>
      <c r="D135" s="53"/>
      <c r="E135" s="52"/>
      <c r="F135" s="53"/>
      <c r="G135" s="28" t="str">
        <f>IFERROR(TP[[#This Row],[Costo Real Unitario USD]]*TP[[#This Row],[Costo de Envio Total UDS]]/TP[[#This Row],[Costo Total Pedido USD]], "Sin Datos")</f>
        <v>Sin Datos</v>
      </c>
      <c r="H135" s="9">
        <f>IFERROR(TP[[#This Row],[Costo Total Pedido USD]]+TP[[#This Row],[Costo de Envio Total UDS]],"Sin Datos")</f>
        <v>0</v>
      </c>
      <c r="I135" s="52"/>
      <c r="J135" s="9" t="str">
        <f>IFERROR((TP[[#This Row],[Costo Real Unitario USD]]*TP[[#This Row],[Impuesto UDS]])/TP[[#This Row],[Costo Total Pedido USD]],"Sin Datos")</f>
        <v>Sin Datos</v>
      </c>
      <c r="K135" s="9" t="str">
        <f>IFERROR(TP[[#This Row],[Costo Real Unitario USD]]+TP[[#This Row],[Costo de Envio Unitario UDS]]+TP[[#This Row],[Impuesto Unitario UDS]],"Sin Datos")</f>
        <v>Sin Datos</v>
      </c>
      <c r="L135" s="9">
        <f>IFERROR(TP[[#This Row],[Costo Total Pedido USD]]+TP[[#This Row],[Costo de Envio Total UDS]]+TP[[#This Row],[Impuesto UDS]],"Sin Datos")</f>
        <v>0</v>
      </c>
      <c r="M135" s="14">
        <f>IFERROR(((TP[[#This Row],[Costo Total Pedido USD]]*TP[[#This Row],[DÓLAR]])*$B$3)+(TP[[#This Row],[Costo Total Pedido USD]]*TP[[#This Row],[DÓLAR]]),"Sin Datos")</f>
        <v>0</v>
      </c>
      <c r="N13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5" s="14" t="str">
        <f>IFERROR(TP[[#This Row],[Costo Total Pza. MXN]]*TP[[#This Row],[CANTIDAD]],"Sin Datos")</f>
        <v>Sin Datos</v>
      </c>
      <c r="P135" s="29" t="str">
        <f>IFERROR((((TP[[#This Row],[Costo Total Pza. UDS]]*TP[[#This Row],[DÓLAR]])*$B$3)+(TP[[#This Row],[Costo Total Pza. UDS]]*TP[[#This Row],[DÓLAR]])),"Sin Datos")</f>
        <v>Sin Datos</v>
      </c>
      <c r="Q135" s="57"/>
      <c r="R13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5" s="29" t="str">
        <f>IFERROR(TP[[#This Row],[Costo Total Pza. MXN]]+TP[[#This Row],[Impuesto Unitario MXN]],"Sin Datos")</f>
        <v>Sin Datos</v>
      </c>
      <c r="T135" s="29" t="str">
        <f>IFERROR(TP[[#This Row],[Costo Costo]]*50%+TP[[#This Row],[Costo Costo]],"Sin Datos")</f>
        <v>Sin Datos</v>
      </c>
      <c r="U135" s="14" t="str">
        <f>IFERROR(TP[[#This Row],[Precio de Oficina]]-TP[[#This Row],[Costo Costo]],"Sin Datos")</f>
        <v>Sin Datos</v>
      </c>
      <c r="V135" s="29" t="str">
        <f>IFERROR(TP[[#This Row],[Precio de Oficina]]*14%+TP[[#This Row],[Precio de Oficina]],"Sin Datos")</f>
        <v>Sin Datos</v>
      </c>
      <c r="W135" s="29" t="str">
        <f>IFERROR(TP[[#This Row],[Precio de Oficina]]*20%+TP[[#This Row],[Precio de Oficina]],"Sin Datos")</f>
        <v>Sin Datos</v>
      </c>
      <c r="X135" s="30" t="str">
        <f>IFERROR(TP[[#This Row],[Precio de Wix]]*33.6%+TP[[#This Row],[Precio de Wix]]+100,"Sin Datos")</f>
        <v>Sin Datos</v>
      </c>
      <c r="Z135" s="8" t="s">
        <v>338</v>
      </c>
    </row>
    <row r="136" spans="1:26" x14ac:dyDescent="0.2">
      <c r="A136" s="36" t="s">
        <v>339</v>
      </c>
      <c r="B136" s="49"/>
      <c r="C136" s="49"/>
      <c r="D136" s="53"/>
      <c r="E136" s="52"/>
      <c r="F136" s="53"/>
      <c r="G136" s="28" t="str">
        <f>IFERROR(TP[[#This Row],[Costo Real Unitario USD]]*TP[[#This Row],[Costo de Envio Total UDS]]/TP[[#This Row],[Costo Total Pedido USD]], "Sin Datos")</f>
        <v>Sin Datos</v>
      </c>
      <c r="H136" s="9">
        <f>IFERROR(TP[[#This Row],[Costo Total Pedido USD]]+TP[[#This Row],[Costo de Envio Total UDS]],"Sin Datos")</f>
        <v>0</v>
      </c>
      <c r="I136" s="52"/>
      <c r="J136" s="9" t="str">
        <f>IFERROR((TP[[#This Row],[Costo Real Unitario USD]]*TP[[#This Row],[Impuesto UDS]])/TP[[#This Row],[Costo Total Pedido USD]],"Sin Datos")</f>
        <v>Sin Datos</v>
      </c>
      <c r="K136" s="9" t="str">
        <f>IFERROR(TP[[#This Row],[Costo Real Unitario USD]]+TP[[#This Row],[Costo de Envio Unitario UDS]]+TP[[#This Row],[Impuesto Unitario UDS]],"Sin Datos")</f>
        <v>Sin Datos</v>
      </c>
      <c r="L136" s="9">
        <f>IFERROR(TP[[#This Row],[Costo Total Pedido USD]]+TP[[#This Row],[Costo de Envio Total UDS]]+TP[[#This Row],[Impuesto UDS]],"Sin Datos")</f>
        <v>0</v>
      </c>
      <c r="M136" s="14">
        <f>IFERROR(((TP[[#This Row],[Costo Total Pedido USD]]*TP[[#This Row],[DÓLAR]])*$B$3)+(TP[[#This Row],[Costo Total Pedido USD]]*TP[[#This Row],[DÓLAR]]),"Sin Datos")</f>
        <v>0</v>
      </c>
      <c r="N13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6" s="14" t="str">
        <f>IFERROR(TP[[#This Row],[Costo Total Pza. MXN]]*TP[[#This Row],[CANTIDAD]],"Sin Datos")</f>
        <v>Sin Datos</v>
      </c>
      <c r="P136" s="29" t="str">
        <f>IFERROR((((TP[[#This Row],[Costo Total Pza. UDS]]*TP[[#This Row],[DÓLAR]])*$B$3)+(TP[[#This Row],[Costo Total Pza. UDS]]*TP[[#This Row],[DÓLAR]])),"Sin Datos")</f>
        <v>Sin Datos</v>
      </c>
      <c r="Q136" s="57"/>
      <c r="R13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6" s="29" t="str">
        <f>IFERROR(TP[[#This Row],[Costo Total Pza. MXN]]+TP[[#This Row],[Impuesto Unitario MXN]],"Sin Datos")</f>
        <v>Sin Datos</v>
      </c>
      <c r="T136" s="29" t="str">
        <f>IFERROR(TP[[#This Row],[Costo Costo]]*50%+TP[[#This Row],[Costo Costo]],"Sin Datos")</f>
        <v>Sin Datos</v>
      </c>
      <c r="U136" s="14" t="str">
        <f>IFERROR(TP[[#This Row],[Precio de Oficina]]-TP[[#This Row],[Costo Costo]],"Sin Datos")</f>
        <v>Sin Datos</v>
      </c>
      <c r="V136" s="29" t="str">
        <f>IFERROR(TP[[#This Row],[Precio de Oficina]]*14%+TP[[#This Row],[Precio de Oficina]],"Sin Datos")</f>
        <v>Sin Datos</v>
      </c>
      <c r="W136" s="29" t="str">
        <f>IFERROR(TP[[#This Row],[Precio de Oficina]]*20%+TP[[#This Row],[Precio de Oficina]],"Sin Datos")</f>
        <v>Sin Datos</v>
      </c>
      <c r="X136" s="30" t="str">
        <f>IFERROR(TP[[#This Row],[Precio de Wix]]*33.6%+TP[[#This Row],[Precio de Wix]]+100,"Sin Datos")</f>
        <v>Sin Datos</v>
      </c>
      <c r="Z136" s="8" t="s">
        <v>339</v>
      </c>
    </row>
    <row r="137" spans="1:26" x14ac:dyDescent="0.2">
      <c r="A137" s="36" t="s">
        <v>340</v>
      </c>
      <c r="B137" s="49"/>
      <c r="C137" s="49"/>
      <c r="D137" s="53"/>
      <c r="E137" s="52"/>
      <c r="F137" s="53"/>
      <c r="G137" s="28" t="str">
        <f>IFERROR(TP[[#This Row],[Costo Real Unitario USD]]*TP[[#This Row],[Costo de Envio Total UDS]]/TP[[#This Row],[Costo Total Pedido USD]], "Sin Datos")</f>
        <v>Sin Datos</v>
      </c>
      <c r="H137" s="9">
        <f>IFERROR(TP[[#This Row],[Costo Total Pedido USD]]+TP[[#This Row],[Costo de Envio Total UDS]],"Sin Datos")</f>
        <v>0</v>
      </c>
      <c r="I137" s="52"/>
      <c r="J137" s="9" t="str">
        <f>IFERROR((TP[[#This Row],[Costo Real Unitario USD]]*TP[[#This Row],[Impuesto UDS]])/TP[[#This Row],[Costo Total Pedido USD]],"Sin Datos")</f>
        <v>Sin Datos</v>
      </c>
      <c r="K137" s="9" t="str">
        <f>IFERROR(TP[[#This Row],[Costo Real Unitario USD]]+TP[[#This Row],[Costo de Envio Unitario UDS]]+TP[[#This Row],[Impuesto Unitario UDS]],"Sin Datos")</f>
        <v>Sin Datos</v>
      </c>
      <c r="L137" s="9">
        <f>IFERROR(TP[[#This Row],[Costo Total Pedido USD]]+TP[[#This Row],[Costo de Envio Total UDS]]+TP[[#This Row],[Impuesto UDS]],"Sin Datos")</f>
        <v>0</v>
      </c>
      <c r="M137" s="14">
        <f>IFERROR(((TP[[#This Row],[Costo Total Pedido USD]]*TP[[#This Row],[DÓLAR]])*$B$3)+(TP[[#This Row],[Costo Total Pedido USD]]*TP[[#This Row],[DÓLAR]]),"Sin Datos")</f>
        <v>0</v>
      </c>
      <c r="N13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7" s="14" t="str">
        <f>IFERROR(TP[[#This Row],[Costo Total Pza. MXN]]*TP[[#This Row],[CANTIDAD]],"Sin Datos")</f>
        <v>Sin Datos</v>
      </c>
      <c r="P137" s="29" t="str">
        <f>IFERROR((((TP[[#This Row],[Costo Total Pza. UDS]]*TP[[#This Row],[DÓLAR]])*$B$3)+(TP[[#This Row],[Costo Total Pza. UDS]]*TP[[#This Row],[DÓLAR]])),"Sin Datos")</f>
        <v>Sin Datos</v>
      </c>
      <c r="Q137" s="57"/>
      <c r="R13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7" s="29" t="str">
        <f>IFERROR(TP[[#This Row],[Costo Total Pza. MXN]]+TP[[#This Row],[Impuesto Unitario MXN]],"Sin Datos")</f>
        <v>Sin Datos</v>
      </c>
      <c r="T137" s="29" t="str">
        <f>IFERROR(TP[[#This Row],[Costo Costo]]*50%+TP[[#This Row],[Costo Costo]],"Sin Datos")</f>
        <v>Sin Datos</v>
      </c>
      <c r="U137" s="14" t="str">
        <f>IFERROR(TP[[#This Row],[Precio de Oficina]]-TP[[#This Row],[Costo Costo]],"Sin Datos")</f>
        <v>Sin Datos</v>
      </c>
      <c r="V137" s="29" t="str">
        <f>IFERROR(TP[[#This Row],[Precio de Oficina]]*14%+TP[[#This Row],[Precio de Oficina]],"Sin Datos")</f>
        <v>Sin Datos</v>
      </c>
      <c r="W137" s="29" t="str">
        <f>IFERROR(TP[[#This Row],[Precio de Oficina]]*20%+TP[[#This Row],[Precio de Oficina]],"Sin Datos")</f>
        <v>Sin Datos</v>
      </c>
      <c r="X137" s="30" t="str">
        <f>IFERROR(TP[[#This Row],[Precio de Wix]]*33.6%+TP[[#This Row],[Precio de Wix]]+100,"Sin Datos")</f>
        <v>Sin Datos</v>
      </c>
      <c r="Z137" s="8" t="s">
        <v>340</v>
      </c>
    </row>
    <row r="138" spans="1:26" x14ac:dyDescent="0.2">
      <c r="A138" s="36" t="s">
        <v>341</v>
      </c>
      <c r="B138" s="49"/>
      <c r="C138" s="49"/>
      <c r="D138" s="53"/>
      <c r="E138" s="52"/>
      <c r="F138" s="53"/>
      <c r="G138" s="28" t="str">
        <f>IFERROR(TP[[#This Row],[Costo Real Unitario USD]]*TP[[#This Row],[Costo de Envio Total UDS]]/TP[[#This Row],[Costo Total Pedido USD]], "Sin Datos")</f>
        <v>Sin Datos</v>
      </c>
      <c r="H138" s="9">
        <f>IFERROR(TP[[#This Row],[Costo Total Pedido USD]]+TP[[#This Row],[Costo de Envio Total UDS]],"Sin Datos")</f>
        <v>0</v>
      </c>
      <c r="I138" s="52"/>
      <c r="J138" s="9" t="str">
        <f>IFERROR((TP[[#This Row],[Costo Real Unitario USD]]*TP[[#This Row],[Impuesto UDS]])/TP[[#This Row],[Costo Total Pedido USD]],"Sin Datos")</f>
        <v>Sin Datos</v>
      </c>
      <c r="K138" s="9" t="str">
        <f>IFERROR(TP[[#This Row],[Costo Real Unitario USD]]+TP[[#This Row],[Costo de Envio Unitario UDS]]+TP[[#This Row],[Impuesto Unitario UDS]],"Sin Datos")</f>
        <v>Sin Datos</v>
      </c>
      <c r="L138" s="9">
        <f>IFERROR(TP[[#This Row],[Costo Total Pedido USD]]+TP[[#This Row],[Costo de Envio Total UDS]]+TP[[#This Row],[Impuesto UDS]],"Sin Datos")</f>
        <v>0</v>
      </c>
      <c r="M138" s="14">
        <f>IFERROR(((TP[[#This Row],[Costo Total Pedido USD]]*TP[[#This Row],[DÓLAR]])*$B$3)+(TP[[#This Row],[Costo Total Pedido USD]]*TP[[#This Row],[DÓLAR]]),"Sin Datos")</f>
        <v>0</v>
      </c>
      <c r="N13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8" s="14" t="str">
        <f>IFERROR(TP[[#This Row],[Costo Total Pza. MXN]]*TP[[#This Row],[CANTIDAD]],"Sin Datos")</f>
        <v>Sin Datos</v>
      </c>
      <c r="P138" s="29" t="str">
        <f>IFERROR((((TP[[#This Row],[Costo Total Pza. UDS]]*TP[[#This Row],[DÓLAR]])*$B$3)+(TP[[#This Row],[Costo Total Pza. UDS]]*TP[[#This Row],[DÓLAR]])),"Sin Datos")</f>
        <v>Sin Datos</v>
      </c>
      <c r="Q138" s="57"/>
      <c r="R13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8" s="29" t="str">
        <f>IFERROR(TP[[#This Row],[Costo Total Pza. MXN]]+TP[[#This Row],[Impuesto Unitario MXN]],"Sin Datos")</f>
        <v>Sin Datos</v>
      </c>
      <c r="T138" s="29" t="str">
        <f>IFERROR(TP[[#This Row],[Costo Costo]]*50%+TP[[#This Row],[Costo Costo]],"Sin Datos")</f>
        <v>Sin Datos</v>
      </c>
      <c r="U138" s="14" t="str">
        <f>IFERROR(TP[[#This Row],[Precio de Oficina]]-TP[[#This Row],[Costo Costo]],"Sin Datos")</f>
        <v>Sin Datos</v>
      </c>
      <c r="V138" s="29" t="str">
        <f>IFERROR(TP[[#This Row],[Precio de Oficina]]*14%+TP[[#This Row],[Precio de Oficina]],"Sin Datos")</f>
        <v>Sin Datos</v>
      </c>
      <c r="W138" s="29" t="str">
        <f>IFERROR(TP[[#This Row],[Precio de Oficina]]*20%+TP[[#This Row],[Precio de Oficina]],"Sin Datos")</f>
        <v>Sin Datos</v>
      </c>
      <c r="X138" s="30" t="str">
        <f>IFERROR(TP[[#This Row],[Precio de Wix]]*33.6%+TP[[#This Row],[Precio de Wix]]+100,"Sin Datos")</f>
        <v>Sin Datos</v>
      </c>
      <c r="Z138" s="8" t="s">
        <v>341</v>
      </c>
    </row>
    <row r="139" spans="1:26" x14ac:dyDescent="0.2">
      <c r="A139" s="36" t="s">
        <v>342</v>
      </c>
      <c r="B139" s="49"/>
      <c r="C139" s="49"/>
      <c r="D139" s="53"/>
      <c r="E139" s="52"/>
      <c r="F139" s="53"/>
      <c r="G139" s="28" t="str">
        <f>IFERROR(TP[[#This Row],[Costo Real Unitario USD]]*TP[[#This Row],[Costo de Envio Total UDS]]/TP[[#This Row],[Costo Total Pedido USD]], "Sin Datos")</f>
        <v>Sin Datos</v>
      </c>
      <c r="H139" s="9">
        <f>IFERROR(TP[[#This Row],[Costo Total Pedido USD]]+TP[[#This Row],[Costo de Envio Total UDS]],"Sin Datos")</f>
        <v>0</v>
      </c>
      <c r="I139" s="52"/>
      <c r="J139" s="9" t="str">
        <f>IFERROR((TP[[#This Row],[Costo Real Unitario USD]]*TP[[#This Row],[Impuesto UDS]])/TP[[#This Row],[Costo Total Pedido USD]],"Sin Datos")</f>
        <v>Sin Datos</v>
      </c>
      <c r="K139" s="9" t="str">
        <f>IFERROR(TP[[#This Row],[Costo Real Unitario USD]]+TP[[#This Row],[Costo de Envio Unitario UDS]]+TP[[#This Row],[Impuesto Unitario UDS]],"Sin Datos")</f>
        <v>Sin Datos</v>
      </c>
      <c r="L139" s="9">
        <f>IFERROR(TP[[#This Row],[Costo Total Pedido USD]]+TP[[#This Row],[Costo de Envio Total UDS]]+TP[[#This Row],[Impuesto UDS]],"Sin Datos")</f>
        <v>0</v>
      </c>
      <c r="M139" s="14">
        <f>IFERROR(((TP[[#This Row],[Costo Total Pedido USD]]*TP[[#This Row],[DÓLAR]])*$B$3)+(TP[[#This Row],[Costo Total Pedido USD]]*TP[[#This Row],[DÓLAR]]),"Sin Datos")</f>
        <v>0</v>
      </c>
      <c r="N13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39" s="14" t="str">
        <f>IFERROR(TP[[#This Row],[Costo Total Pza. MXN]]*TP[[#This Row],[CANTIDAD]],"Sin Datos")</f>
        <v>Sin Datos</v>
      </c>
      <c r="P139" s="29" t="str">
        <f>IFERROR((((TP[[#This Row],[Costo Total Pza. UDS]]*TP[[#This Row],[DÓLAR]])*$B$3)+(TP[[#This Row],[Costo Total Pza. UDS]]*TP[[#This Row],[DÓLAR]])),"Sin Datos")</f>
        <v>Sin Datos</v>
      </c>
      <c r="Q139" s="57"/>
      <c r="R13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39" s="29" t="str">
        <f>IFERROR(TP[[#This Row],[Costo Total Pza. MXN]]+TP[[#This Row],[Impuesto Unitario MXN]],"Sin Datos")</f>
        <v>Sin Datos</v>
      </c>
      <c r="T139" s="29" t="str">
        <f>IFERROR(TP[[#This Row],[Costo Costo]]*50%+TP[[#This Row],[Costo Costo]],"Sin Datos")</f>
        <v>Sin Datos</v>
      </c>
      <c r="U139" s="14" t="str">
        <f>IFERROR(TP[[#This Row],[Precio de Oficina]]-TP[[#This Row],[Costo Costo]],"Sin Datos")</f>
        <v>Sin Datos</v>
      </c>
      <c r="V139" s="29" t="str">
        <f>IFERROR(TP[[#This Row],[Precio de Oficina]]*14%+TP[[#This Row],[Precio de Oficina]],"Sin Datos")</f>
        <v>Sin Datos</v>
      </c>
      <c r="W139" s="29" t="str">
        <f>IFERROR(TP[[#This Row],[Precio de Oficina]]*20%+TP[[#This Row],[Precio de Oficina]],"Sin Datos")</f>
        <v>Sin Datos</v>
      </c>
      <c r="X139" s="30" t="str">
        <f>IFERROR(TP[[#This Row],[Precio de Wix]]*33.6%+TP[[#This Row],[Precio de Wix]]+100,"Sin Datos")</f>
        <v>Sin Datos</v>
      </c>
      <c r="Z139" s="8" t="s">
        <v>342</v>
      </c>
    </row>
    <row r="140" spans="1:26" x14ac:dyDescent="0.2">
      <c r="A140" s="36" t="s">
        <v>343</v>
      </c>
      <c r="B140" s="49"/>
      <c r="C140" s="49"/>
      <c r="D140" s="53"/>
      <c r="E140" s="52"/>
      <c r="F140" s="53"/>
      <c r="G140" s="28" t="str">
        <f>IFERROR(TP[[#This Row],[Costo Real Unitario USD]]*TP[[#This Row],[Costo de Envio Total UDS]]/TP[[#This Row],[Costo Total Pedido USD]], "Sin Datos")</f>
        <v>Sin Datos</v>
      </c>
      <c r="H140" s="9">
        <f>IFERROR(TP[[#This Row],[Costo Total Pedido USD]]+TP[[#This Row],[Costo de Envio Total UDS]],"Sin Datos")</f>
        <v>0</v>
      </c>
      <c r="I140" s="52"/>
      <c r="J140" s="9" t="str">
        <f>IFERROR((TP[[#This Row],[Costo Real Unitario USD]]*TP[[#This Row],[Impuesto UDS]])/TP[[#This Row],[Costo Total Pedido USD]],"Sin Datos")</f>
        <v>Sin Datos</v>
      </c>
      <c r="K140" s="9" t="str">
        <f>IFERROR(TP[[#This Row],[Costo Real Unitario USD]]+TP[[#This Row],[Costo de Envio Unitario UDS]]+TP[[#This Row],[Impuesto Unitario UDS]],"Sin Datos")</f>
        <v>Sin Datos</v>
      </c>
      <c r="L140" s="9">
        <f>IFERROR(TP[[#This Row],[Costo Total Pedido USD]]+TP[[#This Row],[Costo de Envio Total UDS]]+TP[[#This Row],[Impuesto UDS]],"Sin Datos")</f>
        <v>0</v>
      </c>
      <c r="M140" s="14">
        <f>IFERROR(((TP[[#This Row],[Costo Total Pedido USD]]*TP[[#This Row],[DÓLAR]])*$B$3)+(TP[[#This Row],[Costo Total Pedido USD]]*TP[[#This Row],[DÓLAR]]),"Sin Datos")</f>
        <v>0</v>
      </c>
      <c r="N14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0" s="14" t="str">
        <f>IFERROR(TP[[#This Row],[Costo Total Pza. MXN]]*TP[[#This Row],[CANTIDAD]],"Sin Datos")</f>
        <v>Sin Datos</v>
      </c>
      <c r="P140" s="29" t="str">
        <f>IFERROR((((TP[[#This Row],[Costo Total Pza. UDS]]*TP[[#This Row],[DÓLAR]])*$B$3)+(TP[[#This Row],[Costo Total Pza. UDS]]*TP[[#This Row],[DÓLAR]])),"Sin Datos")</f>
        <v>Sin Datos</v>
      </c>
      <c r="Q140" s="57"/>
      <c r="R14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0" s="29" t="str">
        <f>IFERROR(TP[[#This Row],[Costo Total Pza. MXN]]+TP[[#This Row],[Impuesto Unitario MXN]],"Sin Datos")</f>
        <v>Sin Datos</v>
      </c>
      <c r="T140" s="29" t="str">
        <f>IFERROR(TP[[#This Row],[Costo Costo]]*50%+TP[[#This Row],[Costo Costo]],"Sin Datos")</f>
        <v>Sin Datos</v>
      </c>
      <c r="U140" s="14" t="str">
        <f>IFERROR(TP[[#This Row],[Precio de Oficina]]-TP[[#This Row],[Costo Costo]],"Sin Datos")</f>
        <v>Sin Datos</v>
      </c>
      <c r="V140" s="29" t="str">
        <f>IFERROR(TP[[#This Row],[Precio de Oficina]]*14%+TP[[#This Row],[Precio de Oficina]],"Sin Datos")</f>
        <v>Sin Datos</v>
      </c>
      <c r="W140" s="29" t="str">
        <f>IFERROR(TP[[#This Row],[Precio de Oficina]]*20%+TP[[#This Row],[Precio de Oficina]],"Sin Datos")</f>
        <v>Sin Datos</v>
      </c>
      <c r="X140" s="30" t="str">
        <f>IFERROR(TP[[#This Row],[Precio de Wix]]*33.6%+TP[[#This Row],[Precio de Wix]]+100,"Sin Datos")</f>
        <v>Sin Datos</v>
      </c>
      <c r="Z140" s="8" t="s">
        <v>343</v>
      </c>
    </row>
    <row r="141" spans="1:26" x14ac:dyDescent="0.2">
      <c r="A141" s="36" t="s">
        <v>344</v>
      </c>
      <c r="B141" s="49"/>
      <c r="C141" s="49"/>
      <c r="D141" s="53"/>
      <c r="E141" s="52"/>
      <c r="F141" s="53"/>
      <c r="G141" s="28" t="str">
        <f>IFERROR(TP[[#This Row],[Costo Real Unitario USD]]*TP[[#This Row],[Costo de Envio Total UDS]]/TP[[#This Row],[Costo Total Pedido USD]], "Sin Datos")</f>
        <v>Sin Datos</v>
      </c>
      <c r="H141" s="9">
        <f>IFERROR(TP[[#This Row],[Costo Total Pedido USD]]+TP[[#This Row],[Costo de Envio Total UDS]],"Sin Datos")</f>
        <v>0</v>
      </c>
      <c r="I141" s="52"/>
      <c r="J141" s="9" t="str">
        <f>IFERROR((TP[[#This Row],[Costo Real Unitario USD]]*TP[[#This Row],[Impuesto UDS]])/TP[[#This Row],[Costo Total Pedido USD]],"Sin Datos")</f>
        <v>Sin Datos</v>
      </c>
      <c r="K141" s="9" t="str">
        <f>IFERROR(TP[[#This Row],[Costo Real Unitario USD]]+TP[[#This Row],[Costo de Envio Unitario UDS]]+TP[[#This Row],[Impuesto Unitario UDS]],"Sin Datos")</f>
        <v>Sin Datos</v>
      </c>
      <c r="L141" s="9">
        <f>IFERROR(TP[[#This Row],[Costo Total Pedido USD]]+TP[[#This Row],[Costo de Envio Total UDS]]+TP[[#This Row],[Impuesto UDS]],"Sin Datos")</f>
        <v>0</v>
      </c>
      <c r="M141" s="14">
        <f>IFERROR(((TP[[#This Row],[Costo Total Pedido USD]]*TP[[#This Row],[DÓLAR]])*$B$3)+(TP[[#This Row],[Costo Total Pedido USD]]*TP[[#This Row],[DÓLAR]]),"Sin Datos")</f>
        <v>0</v>
      </c>
      <c r="N14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1" s="14" t="str">
        <f>IFERROR(TP[[#This Row],[Costo Total Pza. MXN]]*TP[[#This Row],[CANTIDAD]],"Sin Datos")</f>
        <v>Sin Datos</v>
      </c>
      <c r="P141" s="29" t="str">
        <f>IFERROR((((TP[[#This Row],[Costo Total Pza. UDS]]*TP[[#This Row],[DÓLAR]])*$B$3)+(TP[[#This Row],[Costo Total Pza. UDS]]*TP[[#This Row],[DÓLAR]])),"Sin Datos")</f>
        <v>Sin Datos</v>
      </c>
      <c r="Q141" s="57"/>
      <c r="R14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1" s="29" t="str">
        <f>IFERROR(TP[[#This Row],[Costo Total Pza. MXN]]+TP[[#This Row],[Impuesto Unitario MXN]],"Sin Datos")</f>
        <v>Sin Datos</v>
      </c>
      <c r="T141" s="29" t="str">
        <f>IFERROR(TP[[#This Row],[Costo Costo]]*50%+TP[[#This Row],[Costo Costo]],"Sin Datos")</f>
        <v>Sin Datos</v>
      </c>
      <c r="U141" s="14" t="str">
        <f>IFERROR(TP[[#This Row],[Precio de Oficina]]-TP[[#This Row],[Costo Costo]],"Sin Datos")</f>
        <v>Sin Datos</v>
      </c>
      <c r="V141" s="29" t="str">
        <f>IFERROR(TP[[#This Row],[Precio de Oficina]]*14%+TP[[#This Row],[Precio de Oficina]],"Sin Datos")</f>
        <v>Sin Datos</v>
      </c>
      <c r="W141" s="29" t="str">
        <f>IFERROR(TP[[#This Row],[Precio de Oficina]]*20%+TP[[#This Row],[Precio de Oficina]],"Sin Datos")</f>
        <v>Sin Datos</v>
      </c>
      <c r="X141" s="30" t="str">
        <f>IFERROR(TP[[#This Row],[Precio de Wix]]*33.6%+TP[[#This Row],[Precio de Wix]]+100,"Sin Datos")</f>
        <v>Sin Datos</v>
      </c>
      <c r="Z141" s="8" t="s">
        <v>344</v>
      </c>
    </row>
    <row r="142" spans="1:26" x14ac:dyDescent="0.2">
      <c r="A142" s="36" t="s">
        <v>345</v>
      </c>
      <c r="B142" s="49"/>
      <c r="C142" s="49"/>
      <c r="D142" s="53"/>
      <c r="E142" s="52"/>
      <c r="F142" s="53"/>
      <c r="G142" s="28" t="str">
        <f>IFERROR(TP[[#This Row],[Costo Real Unitario USD]]*TP[[#This Row],[Costo de Envio Total UDS]]/TP[[#This Row],[Costo Total Pedido USD]], "Sin Datos")</f>
        <v>Sin Datos</v>
      </c>
      <c r="H142" s="9">
        <f>IFERROR(TP[[#This Row],[Costo Total Pedido USD]]+TP[[#This Row],[Costo de Envio Total UDS]],"Sin Datos")</f>
        <v>0</v>
      </c>
      <c r="I142" s="52"/>
      <c r="J142" s="9" t="str">
        <f>IFERROR((TP[[#This Row],[Costo Real Unitario USD]]*TP[[#This Row],[Impuesto UDS]])/TP[[#This Row],[Costo Total Pedido USD]],"Sin Datos")</f>
        <v>Sin Datos</v>
      </c>
      <c r="K142" s="9" t="str">
        <f>IFERROR(TP[[#This Row],[Costo Real Unitario USD]]+TP[[#This Row],[Costo de Envio Unitario UDS]]+TP[[#This Row],[Impuesto Unitario UDS]],"Sin Datos")</f>
        <v>Sin Datos</v>
      </c>
      <c r="L142" s="9">
        <f>IFERROR(TP[[#This Row],[Costo Total Pedido USD]]+TP[[#This Row],[Costo de Envio Total UDS]]+TP[[#This Row],[Impuesto UDS]],"Sin Datos")</f>
        <v>0</v>
      </c>
      <c r="M142" s="14">
        <f>IFERROR(((TP[[#This Row],[Costo Total Pedido USD]]*TP[[#This Row],[DÓLAR]])*$B$3)+(TP[[#This Row],[Costo Total Pedido USD]]*TP[[#This Row],[DÓLAR]]),"Sin Datos")</f>
        <v>0</v>
      </c>
      <c r="N14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2" s="14" t="str">
        <f>IFERROR(TP[[#This Row],[Costo Total Pza. MXN]]*TP[[#This Row],[CANTIDAD]],"Sin Datos")</f>
        <v>Sin Datos</v>
      </c>
      <c r="P142" s="29" t="str">
        <f>IFERROR((((TP[[#This Row],[Costo Total Pza. UDS]]*TP[[#This Row],[DÓLAR]])*$B$3)+(TP[[#This Row],[Costo Total Pza. UDS]]*TP[[#This Row],[DÓLAR]])),"Sin Datos")</f>
        <v>Sin Datos</v>
      </c>
      <c r="Q142" s="57"/>
      <c r="R14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2" s="29" t="str">
        <f>IFERROR(TP[[#This Row],[Costo Total Pza. MXN]]+TP[[#This Row],[Impuesto Unitario MXN]],"Sin Datos")</f>
        <v>Sin Datos</v>
      </c>
      <c r="T142" s="29" t="str">
        <f>IFERROR(TP[[#This Row],[Costo Costo]]*50%+TP[[#This Row],[Costo Costo]],"Sin Datos")</f>
        <v>Sin Datos</v>
      </c>
      <c r="U142" s="14" t="str">
        <f>IFERROR(TP[[#This Row],[Precio de Oficina]]-TP[[#This Row],[Costo Costo]],"Sin Datos")</f>
        <v>Sin Datos</v>
      </c>
      <c r="V142" s="29" t="str">
        <f>IFERROR(TP[[#This Row],[Precio de Oficina]]*14%+TP[[#This Row],[Precio de Oficina]],"Sin Datos")</f>
        <v>Sin Datos</v>
      </c>
      <c r="W142" s="29" t="str">
        <f>IFERROR(TP[[#This Row],[Precio de Oficina]]*20%+TP[[#This Row],[Precio de Oficina]],"Sin Datos")</f>
        <v>Sin Datos</v>
      </c>
      <c r="X142" s="30" t="str">
        <f>IFERROR(TP[[#This Row],[Precio de Wix]]*33.6%+TP[[#This Row],[Precio de Wix]]+100,"Sin Datos")</f>
        <v>Sin Datos</v>
      </c>
      <c r="Z142" s="8" t="s">
        <v>345</v>
      </c>
    </row>
    <row r="143" spans="1:26" x14ac:dyDescent="0.2">
      <c r="A143" s="36" t="s">
        <v>346</v>
      </c>
      <c r="B143" s="49"/>
      <c r="C143" s="49"/>
      <c r="D143" s="53"/>
      <c r="E143" s="52"/>
      <c r="F143" s="53"/>
      <c r="G143" s="28" t="str">
        <f>IFERROR(TP[[#This Row],[Costo Real Unitario USD]]*TP[[#This Row],[Costo de Envio Total UDS]]/TP[[#This Row],[Costo Total Pedido USD]], "Sin Datos")</f>
        <v>Sin Datos</v>
      </c>
      <c r="H143" s="9">
        <f>IFERROR(TP[[#This Row],[Costo Total Pedido USD]]+TP[[#This Row],[Costo de Envio Total UDS]],"Sin Datos")</f>
        <v>0</v>
      </c>
      <c r="I143" s="52"/>
      <c r="J143" s="9" t="str">
        <f>IFERROR((TP[[#This Row],[Costo Real Unitario USD]]*TP[[#This Row],[Impuesto UDS]])/TP[[#This Row],[Costo Total Pedido USD]],"Sin Datos")</f>
        <v>Sin Datos</v>
      </c>
      <c r="K143" s="9" t="str">
        <f>IFERROR(TP[[#This Row],[Costo Real Unitario USD]]+TP[[#This Row],[Costo de Envio Unitario UDS]]+TP[[#This Row],[Impuesto Unitario UDS]],"Sin Datos")</f>
        <v>Sin Datos</v>
      </c>
      <c r="L143" s="9">
        <f>IFERROR(TP[[#This Row],[Costo Total Pedido USD]]+TP[[#This Row],[Costo de Envio Total UDS]]+TP[[#This Row],[Impuesto UDS]],"Sin Datos")</f>
        <v>0</v>
      </c>
      <c r="M143" s="14">
        <f>IFERROR(((TP[[#This Row],[Costo Total Pedido USD]]*TP[[#This Row],[DÓLAR]])*$B$3)+(TP[[#This Row],[Costo Total Pedido USD]]*TP[[#This Row],[DÓLAR]]),"Sin Datos")</f>
        <v>0</v>
      </c>
      <c r="N14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3" s="14" t="str">
        <f>IFERROR(TP[[#This Row],[Costo Total Pza. MXN]]*TP[[#This Row],[CANTIDAD]],"Sin Datos")</f>
        <v>Sin Datos</v>
      </c>
      <c r="P143" s="29" t="str">
        <f>IFERROR((((TP[[#This Row],[Costo Total Pza. UDS]]*TP[[#This Row],[DÓLAR]])*$B$3)+(TP[[#This Row],[Costo Total Pza. UDS]]*TP[[#This Row],[DÓLAR]])),"Sin Datos")</f>
        <v>Sin Datos</v>
      </c>
      <c r="Q143" s="57"/>
      <c r="R14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3" s="29" t="str">
        <f>IFERROR(TP[[#This Row],[Costo Total Pza. MXN]]+TP[[#This Row],[Impuesto Unitario MXN]],"Sin Datos")</f>
        <v>Sin Datos</v>
      </c>
      <c r="T143" s="29" t="str">
        <f>IFERROR(TP[[#This Row],[Costo Costo]]*50%+TP[[#This Row],[Costo Costo]],"Sin Datos")</f>
        <v>Sin Datos</v>
      </c>
      <c r="U143" s="14" t="str">
        <f>IFERROR(TP[[#This Row],[Precio de Oficina]]-TP[[#This Row],[Costo Costo]],"Sin Datos")</f>
        <v>Sin Datos</v>
      </c>
      <c r="V143" s="29" t="str">
        <f>IFERROR(TP[[#This Row],[Precio de Oficina]]*14%+TP[[#This Row],[Precio de Oficina]],"Sin Datos")</f>
        <v>Sin Datos</v>
      </c>
      <c r="W143" s="29" t="str">
        <f>IFERROR(TP[[#This Row],[Precio de Oficina]]*20%+TP[[#This Row],[Precio de Oficina]],"Sin Datos")</f>
        <v>Sin Datos</v>
      </c>
      <c r="X143" s="30" t="str">
        <f>IFERROR(TP[[#This Row],[Precio de Wix]]*33.6%+TP[[#This Row],[Precio de Wix]]+100,"Sin Datos")</f>
        <v>Sin Datos</v>
      </c>
      <c r="Z143" s="8" t="s">
        <v>346</v>
      </c>
    </row>
    <row r="144" spans="1:26" x14ac:dyDescent="0.2">
      <c r="A144" s="36" t="s">
        <v>347</v>
      </c>
      <c r="B144" s="49"/>
      <c r="C144" s="49"/>
      <c r="D144" s="53"/>
      <c r="E144" s="52"/>
      <c r="F144" s="53"/>
      <c r="G144" s="28" t="str">
        <f>IFERROR(TP[[#This Row],[Costo Real Unitario USD]]*TP[[#This Row],[Costo de Envio Total UDS]]/TP[[#This Row],[Costo Total Pedido USD]], "Sin Datos")</f>
        <v>Sin Datos</v>
      </c>
      <c r="H144" s="9">
        <f>IFERROR(TP[[#This Row],[Costo Total Pedido USD]]+TP[[#This Row],[Costo de Envio Total UDS]],"Sin Datos")</f>
        <v>0</v>
      </c>
      <c r="I144" s="52"/>
      <c r="J144" s="9" t="str">
        <f>IFERROR((TP[[#This Row],[Costo Real Unitario USD]]*TP[[#This Row],[Impuesto UDS]])/TP[[#This Row],[Costo Total Pedido USD]],"Sin Datos")</f>
        <v>Sin Datos</v>
      </c>
      <c r="K144" s="9" t="str">
        <f>IFERROR(TP[[#This Row],[Costo Real Unitario USD]]+TP[[#This Row],[Costo de Envio Unitario UDS]]+TP[[#This Row],[Impuesto Unitario UDS]],"Sin Datos")</f>
        <v>Sin Datos</v>
      </c>
      <c r="L144" s="9">
        <f>IFERROR(TP[[#This Row],[Costo Total Pedido USD]]+TP[[#This Row],[Costo de Envio Total UDS]]+TP[[#This Row],[Impuesto UDS]],"Sin Datos")</f>
        <v>0</v>
      </c>
      <c r="M144" s="14">
        <f>IFERROR(((TP[[#This Row],[Costo Total Pedido USD]]*TP[[#This Row],[DÓLAR]])*$B$3)+(TP[[#This Row],[Costo Total Pedido USD]]*TP[[#This Row],[DÓLAR]]),"Sin Datos")</f>
        <v>0</v>
      </c>
      <c r="N14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4" s="14" t="str">
        <f>IFERROR(TP[[#This Row],[Costo Total Pza. MXN]]*TP[[#This Row],[CANTIDAD]],"Sin Datos")</f>
        <v>Sin Datos</v>
      </c>
      <c r="P144" s="29" t="str">
        <f>IFERROR((((TP[[#This Row],[Costo Total Pza. UDS]]*TP[[#This Row],[DÓLAR]])*$B$3)+(TP[[#This Row],[Costo Total Pza. UDS]]*TP[[#This Row],[DÓLAR]])),"Sin Datos")</f>
        <v>Sin Datos</v>
      </c>
      <c r="Q144" s="57"/>
      <c r="R14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4" s="29" t="str">
        <f>IFERROR(TP[[#This Row],[Costo Total Pza. MXN]]+TP[[#This Row],[Impuesto Unitario MXN]],"Sin Datos")</f>
        <v>Sin Datos</v>
      </c>
      <c r="T144" s="29" t="str">
        <f>IFERROR(TP[[#This Row],[Costo Costo]]*50%+TP[[#This Row],[Costo Costo]],"Sin Datos")</f>
        <v>Sin Datos</v>
      </c>
      <c r="U144" s="14" t="str">
        <f>IFERROR(TP[[#This Row],[Precio de Oficina]]-TP[[#This Row],[Costo Costo]],"Sin Datos")</f>
        <v>Sin Datos</v>
      </c>
      <c r="V144" s="29" t="str">
        <f>IFERROR(TP[[#This Row],[Precio de Oficina]]*14%+TP[[#This Row],[Precio de Oficina]],"Sin Datos")</f>
        <v>Sin Datos</v>
      </c>
      <c r="W144" s="29" t="str">
        <f>IFERROR(TP[[#This Row],[Precio de Oficina]]*20%+TP[[#This Row],[Precio de Oficina]],"Sin Datos")</f>
        <v>Sin Datos</v>
      </c>
      <c r="X144" s="30" t="str">
        <f>IFERROR(TP[[#This Row],[Precio de Wix]]*33.6%+TP[[#This Row],[Precio de Wix]]+100,"Sin Datos")</f>
        <v>Sin Datos</v>
      </c>
      <c r="Z144" s="8" t="s">
        <v>347</v>
      </c>
    </row>
    <row r="145" spans="1:26" x14ac:dyDescent="0.2">
      <c r="A145" s="36" t="s">
        <v>348</v>
      </c>
      <c r="B145" s="49"/>
      <c r="C145" s="49"/>
      <c r="D145" s="53"/>
      <c r="E145" s="52"/>
      <c r="F145" s="53"/>
      <c r="G145" s="28" t="str">
        <f>IFERROR(TP[[#This Row],[Costo Real Unitario USD]]*TP[[#This Row],[Costo de Envio Total UDS]]/TP[[#This Row],[Costo Total Pedido USD]], "Sin Datos")</f>
        <v>Sin Datos</v>
      </c>
      <c r="H145" s="9">
        <f>IFERROR(TP[[#This Row],[Costo Total Pedido USD]]+TP[[#This Row],[Costo de Envio Total UDS]],"Sin Datos")</f>
        <v>0</v>
      </c>
      <c r="I145" s="52"/>
      <c r="J145" s="9" t="str">
        <f>IFERROR((TP[[#This Row],[Costo Real Unitario USD]]*TP[[#This Row],[Impuesto UDS]])/TP[[#This Row],[Costo Total Pedido USD]],"Sin Datos")</f>
        <v>Sin Datos</v>
      </c>
      <c r="K145" s="9" t="str">
        <f>IFERROR(TP[[#This Row],[Costo Real Unitario USD]]+TP[[#This Row],[Costo de Envio Unitario UDS]]+TP[[#This Row],[Impuesto Unitario UDS]],"Sin Datos")</f>
        <v>Sin Datos</v>
      </c>
      <c r="L145" s="9">
        <f>IFERROR(TP[[#This Row],[Costo Total Pedido USD]]+TP[[#This Row],[Costo de Envio Total UDS]]+TP[[#This Row],[Impuesto UDS]],"Sin Datos")</f>
        <v>0</v>
      </c>
      <c r="M145" s="14">
        <f>IFERROR(((TP[[#This Row],[Costo Total Pedido USD]]*TP[[#This Row],[DÓLAR]])*$B$3)+(TP[[#This Row],[Costo Total Pedido USD]]*TP[[#This Row],[DÓLAR]]),"Sin Datos")</f>
        <v>0</v>
      </c>
      <c r="N14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5" s="14" t="str">
        <f>IFERROR(TP[[#This Row],[Costo Total Pza. MXN]]*TP[[#This Row],[CANTIDAD]],"Sin Datos")</f>
        <v>Sin Datos</v>
      </c>
      <c r="P145" s="29" t="str">
        <f>IFERROR((((TP[[#This Row],[Costo Total Pza. UDS]]*TP[[#This Row],[DÓLAR]])*$B$3)+(TP[[#This Row],[Costo Total Pza. UDS]]*TP[[#This Row],[DÓLAR]])),"Sin Datos")</f>
        <v>Sin Datos</v>
      </c>
      <c r="Q145" s="57"/>
      <c r="R14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5" s="29" t="str">
        <f>IFERROR(TP[[#This Row],[Costo Total Pza. MXN]]+TP[[#This Row],[Impuesto Unitario MXN]],"Sin Datos")</f>
        <v>Sin Datos</v>
      </c>
      <c r="T145" s="29" t="str">
        <f>IFERROR(TP[[#This Row],[Costo Costo]]*50%+TP[[#This Row],[Costo Costo]],"Sin Datos")</f>
        <v>Sin Datos</v>
      </c>
      <c r="U145" s="14" t="str">
        <f>IFERROR(TP[[#This Row],[Precio de Oficina]]-TP[[#This Row],[Costo Costo]],"Sin Datos")</f>
        <v>Sin Datos</v>
      </c>
      <c r="V145" s="29" t="str">
        <f>IFERROR(TP[[#This Row],[Precio de Oficina]]*14%+TP[[#This Row],[Precio de Oficina]],"Sin Datos")</f>
        <v>Sin Datos</v>
      </c>
      <c r="W145" s="29" t="str">
        <f>IFERROR(TP[[#This Row],[Precio de Oficina]]*20%+TP[[#This Row],[Precio de Oficina]],"Sin Datos")</f>
        <v>Sin Datos</v>
      </c>
      <c r="X145" s="30" t="str">
        <f>IFERROR(TP[[#This Row],[Precio de Wix]]*33.6%+TP[[#This Row],[Precio de Wix]]+100,"Sin Datos")</f>
        <v>Sin Datos</v>
      </c>
      <c r="Z145" s="8" t="s">
        <v>348</v>
      </c>
    </row>
    <row r="146" spans="1:26" x14ac:dyDescent="0.2">
      <c r="A146" s="36" t="s">
        <v>349</v>
      </c>
      <c r="B146" s="49"/>
      <c r="C146" s="49"/>
      <c r="D146" s="53"/>
      <c r="E146" s="52"/>
      <c r="F146" s="53"/>
      <c r="G146" s="28" t="str">
        <f>IFERROR(TP[[#This Row],[Costo Real Unitario USD]]*TP[[#This Row],[Costo de Envio Total UDS]]/TP[[#This Row],[Costo Total Pedido USD]], "Sin Datos")</f>
        <v>Sin Datos</v>
      </c>
      <c r="H146" s="9">
        <f>IFERROR(TP[[#This Row],[Costo Total Pedido USD]]+TP[[#This Row],[Costo de Envio Total UDS]],"Sin Datos")</f>
        <v>0</v>
      </c>
      <c r="I146" s="52"/>
      <c r="J146" s="9" t="str">
        <f>IFERROR((TP[[#This Row],[Costo Real Unitario USD]]*TP[[#This Row],[Impuesto UDS]])/TP[[#This Row],[Costo Total Pedido USD]],"Sin Datos")</f>
        <v>Sin Datos</v>
      </c>
      <c r="K146" s="9" t="str">
        <f>IFERROR(TP[[#This Row],[Costo Real Unitario USD]]+TP[[#This Row],[Costo de Envio Unitario UDS]]+TP[[#This Row],[Impuesto Unitario UDS]],"Sin Datos")</f>
        <v>Sin Datos</v>
      </c>
      <c r="L146" s="9">
        <f>IFERROR(TP[[#This Row],[Costo Total Pedido USD]]+TP[[#This Row],[Costo de Envio Total UDS]]+TP[[#This Row],[Impuesto UDS]],"Sin Datos")</f>
        <v>0</v>
      </c>
      <c r="M146" s="14">
        <f>IFERROR(((TP[[#This Row],[Costo Total Pedido USD]]*TP[[#This Row],[DÓLAR]])*$B$3)+(TP[[#This Row],[Costo Total Pedido USD]]*TP[[#This Row],[DÓLAR]]),"Sin Datos")</f>
        <v>0</v>
      </c>
      <c r="N14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6" s="14" t="str">
        <f>IFERROR(TP[[#This Row],[Costo Total Pza. MXN]]*TP[[#This Row],[CANTIDAD]],"Sin Datos")</f>
        <v>Sin Datos</v>
      </c>
      <c r="P146" s="29" t="str">
        <f>IFERROR((((TP[[#This Row],[Costo Total Pza. UDS]]*TP[[#This Row],[DÓLAR]])*$B$3)+(TP[[#This Row],[Costo Total Pza. UDS]]*TP[[#This Row],[DÓLAR]])),"Sin Datos")</f>
        <v>Sin Datos</v>
      </c>
      <c r="Q146" s="57"/>
      <c r="R14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6" s="29" t="str">
        <f>IFERROR(TP[[#This Row],[Costo Total Pza. MXN]]+TP[[#This Row],[Impuesto Unitario MXN]],"Sin Datos")</f>
        <v>Sin Datos</v>
      </c>
      <c r="T146" s="29" t="str">
        <f>IFERROR(TP[[#This Row],[Costo Costo]]*50%+TP[[#This Row],[Costo Costo]],"Sin Datos")</f>
        <v>Sin Datos</v>
      </c>
      <c r="U146" s="14" t="str">
        <f>IFERROR(TP[[#This Row],[Precio de Oficina]]-TP[[#This Row],[Costo Costo]],"Sin Datos")</f>
        <v>Sin Datos</v>
      </c>
      <c r="V146" s="29" t="str">
        <f>IFERROR(TP[[#This Row],[Precio de Oficina]]*14%+TP[[#This Row],[Precio de Oficina]],"Sin Datos")</f>
        <v>Sin Datos</v>
      </c>
      <c r="W146" s="29" t="str">
        <f>IFERROR(TP[[#This Row],[Precio de Oficina]]*20%+TP[[#This Row],[Precio de Oficina]],"Sin Datos")</f>
        <v>Sin Datos</v>
      </c>
      <c r="X146" s="30" t="str">
        <f>IFERROR(TP[[#This Row],[Precio de Wix]]*33.6%+TP[[#This Row],[Precio de Wix]]+100,"Sin Datos")</f>
        <v>Sin Datos</v>
      </c>
      <c r="Z146" s="8" t="s">
        <v>349</v>
      </c>
    </row>
    <row r="147" spans="1:26" x14ac:dyDescent="0.2">
      <c r="A147" s="36" t="s">
        <v>350</v>
      </c>
      <c r="B147" s="49"/>
      <c r="C147" s="49"/>
      <c r="D147" s="53"/>
      <c r="E147" s="52"/>
      <c r="F147" s="53"/>
      <c r="G147" s="28" t="str">
        <f>IFERROR(TP[[#This Row],[Costo Real Unitario USD]]*TP[[#This Row],[Costo de Envio Total UDS]]/TP[[#This Row],[Costo Total Pedido USD]], "Sin Datos")</f>
        <v>Sin Datos</v>
      </c>
      <c r="H147" s="9">
        <f>IFERROR(TP[[#This Row],[Costo Total Pedido USD]]+TP[[#This Row],[Costo de Envio Total UDS]],"Sin Datos")</f>
        <v>0</v>
      </c>
      <c r="I147" s="52"/>
      <c r="J147" s="9" t="str">
        <f>IFERROR((TP[[#This Row],[Costo Real Unitario USD]]*TP[[#This Row],[Impuesto UDS]])/TP[[#This Row],[Costo Total Pedido USD]],"Sin Datos")</f>
        <v>Sin Datos</v>
      </c>
      <c r="K147" s="9" t="str">
        <f>IFERROR(TP[[#This Row],[Costo Real Unitario USD]]+TP[[#This Row],[Costo de Envio Unitario UDS]]+TP[[#This Row],[Impuesto Unitario UDS]],"Sin Datos")</f>
        <v>Sin Datos</v>
      </c>
      <c r="L147" s="9">
        <f>IFERROR(TP[[#This Row],[Costo Total Pedido USD]]+TP[[#This Row],[Costo de Envio Total UDS]]+TP[[#This Row],[Impuesto UDS]],"Sin Datos")</f>
        <v>0</v>
      </c>
      <c r="M147" s="14">
        <f>IFERROR(((TP[[#This Row],[Costo Total Pedido USD]]*TP[[#This Row],[DÓLAR]])*$B$3)+(TP[[#This Row],[Costo Total Pedido USD]]*TP[[#This Row],[DÓLAR]]),"Sin Datos")</f>
        <v>0</v>
      </c>
      <c r="N14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7" s="14" t="str">
        <f>IFERROR(TP[[#This Row],[Costo Total Pza. MXN]]*TP[[#This Row],[CANTIDAD]],"Sin Datos")</f>
        <v>Sin Datos</v>
      </c>
      <c r="P147" s="29" t="str">
        <f>IFERROR((((TP[[#This Row],[Costo Total Pza. UDS]]*TP[[#This Row],[DÓLAR]])*$B$3)+(TP[[#This Row],[Costo Total Pza. UDS]]*TP[[#This Row],[DÓLAR]])),"Sin Datos")</f>
        <v>Sin Datos</v>
      </c>
      <c r="Q147" s="57"/>
      <c r="R14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7" s="29" t="str">
        <f>IFERROR(TP[[#This Row],[Costo Total Pza. MXN]]+TP[[#This Row],[Impuesto Unitario MXN]],"Sin Datos")</f>
        <v>Sin Datos</v>
      </c>
      <c r="T147" s="29" t="str">
        <f>IFERROR(TP[[#This Row],[Costo Costo]]*50%+TP[[#This Row],[Costo Costo]],"Sin Datos")</f>
        <v>Sin Datos</v>
      </c>
      <c r="U147" s="14" t="str">
        <f>IFERROR(TP[[#This Row],[Precio de Oficina]]-TP[[#This Row],[Costo Costo]],"Sin Datos")</f>
        <v>Sin Datos</v>
      </c>
      <c r="V147" s="29" t="str">
        <f>IFERROR(TP[[#This Row],[Precio de Oficina]]*14%+TP[[#This Row],[Precio de Oficina]],"Sin Datos")</f>
        <v>Sin Datos</v>
      </c>
      <c r="W147" s="29" t="str">
        <f>IFERROR(TP[[#This Row],[Precio de Oficina]]*20%+TP[[#This Row],[Precio de Oficina]],"Sin Datos")</f>
        <v>Sin Datos</v>
      </c>
      <c r="X147" s="30" t="str">
        <f>IFERROR(TP[[#This Row],[Precio de Wix]]*33.6%+TP[[#This Row],[Precio de Wix]]+100,"Sin Datos")</f>
        <v>Sin Datos</v>
      </c>
      <c r="Z147" s="8" t="s">
        <v>350</v>
      </c>
    </row>
    <row r="148" spans="1:26" x14ac:dyDescent="0.2">
      <c r="A148" s="36" t="s">
        <v>351</v>
      </c>
      <c r="B148" s="49"/>
      <c r="C148" s="49"/>
      <c r="D148" s="53"/>
      <c r="E148" s="52"/>
      <c r="F148" s="53"/>
      <c r="G148" s="28" t="str">
        <f>IFERROR(TP[[#This Row],[Costo Real Unitario USD]]*TP[[#This Row],[Costo de Envio Total UDS]]/TP[[#This Row],[Costo Total Pedido USD]], "Sin Datos")</f>
        <v>Sin Datos</v>
      </c>
      <c r="H148" s="9">
        <f>IFERROR(TP[[#This Row],[Costo Total Pedido USD]]+TP[[#This Row],[Costo de Envio Total UDS]],"Sin Datos")</f>
        <v>0</v>
      </c>
      <c r="I148" s="52"/>
      <c r="J148" s="9" t="str">
        <f>IFERROR((TP[[#This Row],[Costo Real Unitario USD]]*TP[[#This Row],[Impuesto UDS]])/TP[[#This Row],[Costo Total Pedido USD]],"Sin Datos")</f>
        <v>Sin Datos</v>
      </c>
      <c r="K148" s="9" t="str">
        <f>IFERROR(TP[[#This Row],[Costo Real Unitario USD]]+TP[[#This Row],[Costo de Envio Unitario UDS]]+TP[[#This Row],[Impuesto Unitario UDS]],"Sin Datos")</f>
        <v>Sin Datos</v>
      </c>
      <c r="L148" s="9">
        <f>IFERROR(TP[[#This Row],[Costo Total Pedido USD]]+TP[[#This Row],[Costo de Envio Total UDS]]+TP[[#This Row],[Impuesto UDS]],"Sin Datos")</f>
        <v>0</v>
      </c>
      <c r="M148" s="14">
        <f>IFERROR(((TP[[#This Row],[Costo Total Pedido USD]]*TP[[#This Row],[DÓLAR]])*$B$3)+(TP[[#This Row],[Costo Total Pedido USD]]*TP[[#This Row],[DÓLAR]]),"Sin Datos")</f>
        <v>0</v>
      </c>
      <c r="N14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48" s="14" t="str">
        <f>IFERROR(TP[[#This Row],[Costo Total Pza. MXN]]*TP[[#This Row],[CANTIDAD]],"Sin Datos")</f>
        <v>Sin Datos</v>
      </c>
      <c r="P148" s="29" t="str">
        <f>IFERROR((((TP[[#This Row],[Costo Total Pza. UDS]]*TP[[#This Row],[DÓLAR]])*$B$3)+(TP[[#This Row],[Costo Total Pza. UDS]]*TP[[#This Row],[DÓLAR]])),"Sin Datos")</f>
        <v>Sin Datos</v>
      </c>
      <c r="Q148" s="57"/>
      <c r="R14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48" s="29" t="str">
        <f>IFERROR(TP[[#This Row],[Costo Total Pza. MXN]]+TP[[#This Row],[Impuesto Unitario MXN]],"Sin Datos")</f>
        <v>Sin Datos</v>
      </c>
      <c r="T148" s="29" t="str">
        <f>IFERROR(TP[[#This Row],[Costo Costo]]*50%+TP[[#This Row],[Costo Costo]],"Sin Datos")</f>
        <v>Sin Datos</v>
      </c>
      <c r="U148" s="14" t="str">
        <f>IFERROR(TP[[#This Row],[Precio de Oficina]]-TP[[#This Row],[Costo Costo]],"Sin Datos")</f>
        <v>Sin Datos</v>
      </c>
      <c r="V148" s="29" t="str">
        <f>IFERROR(TP[[#This Row],[Precio de Oficina]]*14%+TP[[#This Row],[Precio de Oficina]],"Sin Datos")</f>
        <v>Sin Datos</v>
      </c>
      <c r="W148" s="29" t="str">
        <f>IFERROR(TP[[#This Row],[Precio de Oficina]]*20%+TP[[#This Row],[Precio de Oficina]],"Sin Datos")</f>
        <v>Sin Datos</v>
      </c>
      <c r="X148" s="30" t="str">
        <f>IFERROR(TP[[#This Row],[Precio de Wix]]*33.6%+TP[[#This Row],[Precio de Wix]]+100,"Sin Datos")</f>
        <v>Sin Datos</v>
      </c>
      <c r="Z148" s="8" t="s">
        <v>351</v>
      </c>
    </row>
    <row r="149" spans="1:26" x14ac:dyDescent="0.2">
      <c r="A149" s="36" t="s">
        <v>352</v>
      </c>
      <c r="B149" s="72">
        <v>20.03</v>
      </c>
      <c r="C149" s="49">
        <v>10</v>
      </c>
      <c r="D149" s="53">
        <v>10</v>
      </c>
      <c r="E149" s="52">
        <v>610</v>
      </c>
      <c r="F149" s="53">
        <v>430</v>
      </c>
      <c r="G149" s="28">
        <f>IFERROR(TP[[#This Row],[Costo Real Unitario USD]]*TP[[#This Row],[Costo de Envio Total UDS]]/TP[[#This Row],[Costo Total Pedido USD]], "Sin Datos")</f>
        <v>7.0491803278688527</v>
      </c>
      <c r="H149" s="9">
        <f>IFERROR(TP[[#This Row],[Costo Total Pedido USD]]+TP[[#This Row],[Costo de Envio Total UDS]],"Sin Datos")</f>
        <v>1040</v>
      </c>
      <c r="I149" s="52"/>
      <c r="J149" s="9">
        <f>IFERROR((TP[[#This Row],[Costo Real Unitario USD]]*TP[[#This Row],[Impuesto UDS]])/TP[[#This Row],[Costo Total Pedido USD]],"Sin Datos")</f>
        <v>0</v>
      </c>
      <c r="K149" s="9">
        <f>IFERROR(TP[[#This Row],[Costo Real Unitario USD]]+TP[[#This Row],[Costo de Envio Unitario UDS]]+TP[[#This Row],[Impuesto Unitario UDS]],"Sin Datos")</f>
        <v>17.049180327868854</v>
      </c>
      <c r="L149" s="9">
        <f>IFERROR(TP[[#This Row],[Costo Total Pedido USD]]+TP[[#This Row],[Costo de Envio Total UDS]]+TP[[#This Row],[Impuesto UDS]],"Sin Datos")</f>
        <v>1040</v>
      </c>
      <c r="M149" s="14">
        <f>IFERROR(((TP[[#This Row],[Costo Total Pedido USD]]*TP[[#This Row],[DÓLAR]])*$B$3)+(TP[[#This Row],[Costo Total Pedido USD]]*TP[[#This Row],[DÓLAR]]),"Sin Datos")</f>
        <v>12829.215000000002</v>
      </c>
      <c r="N14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21872.760000000002</v>
      </c>
      <c r="O149" s="14">
        <f>IFERROR(TP[[#This Row],[Costo Total Pza. MXN]]*TP[[#This Row],[CANTIDAD]],"Sin Datos")</f>
        <v>3585.6983606557378</v>
      </c>
      <c r="P149" s="29">
        <f>IFERROR((((TP[[#This Row],[Costo Total Pza. UDS]]*TP[[#This Row],[DÓLAR]])*$B$3)+(TP[[#This Row],[Costo Total Pza. UDS]]*TP[[#This Row],[DÓLAR]])),"Sin Datos")</f>
        <v>358.56983606557378</v>
      </c>
      <c r="Q149" s="57">
        <v>1056</v>
      </c>
      <c r="R149" s="29">
        <f>IFERROR((((TP[[#This Row],[Costo Real Unitario USD]]*TP[[#This Row],[DÓLAR]])*$B$3)+(TP[[#This Row],[Costo Real Unitario USD]]*TP[[#This Row],[DÓLAR]]))*TP[[#This Row],[Impuesto MXN]]/TP[[#This Row],[Costo Real Pedido MXN]],"Sin Datos")</f>
        <v>17.311475409836063</v>
      </c>
      <c r="S149" s="29">
        <f>IFERROR(TP[[#This Row],[Costo Total Pza. MXN]]+TP[[#This Row],[Impuesto Unitario MXN]],"Sin Datos")</f>
        <v>375.88131147540986</v>
      </c>
      <c r="T149" s="29">
        <f>IFERROR(TP[[#This Row],[Costo Costo]]*50%+TP[[#This Row],[Costo Costo]],"Sin Datos")</f>
        <v>563.82196721311482</v>
      </c>
      <c r="U149" s="14">
        <f>IFERROR(TP[[#This Row],[Precio de Oficina]]-TP[[#This Row],[Costo Costo]],"Sin Datos")</f>
        <v>187.94065573770496</v>
      </c>
      <c r="V149" s="29">
        <f>IFERROR(TP[[#This Row],[Precio de Oficina]]*14%+TP[[#This Row],[Precio de Oficina]],"Sin Datos")</f>
        <v>642.75704262295085</v>
      </c>
      <c r="W149" s="29">
        <f>IFERROR(TP[[#This Row],[Precio de Oficina]]*20%+TP[[#This Row],[Precio de Oficina]],"Sin Datos")</f>
        <v>676.58636065573774</v>
      </c>
      <c r="X149" s="30">
        <f>IFERROR(TP[[#This Row],[Precio de Wix]]*33.6%+TP[[#This Row],[Precio de Wix]]+100,"Sin Datos")</f>
        <v>1003.9193778360657</v>
      </c>
      <c r="Z149" s="8" t="s">
        <v>352</v>
      </c>
    </row>
    <row r="150" spans="1:26" x14ac:dyDescent="0.2">
      <c r="A150" s="36" t="s">
        <v>353</v>
      </c>
      <c r="B150" s="49"/>
      <c r="C150" s="49"/>
      <c r="D150" s="53"/>
      <c r="E150" s="52"/>
      <c r="F150" s="53"/>
      <c r="G150" s="28" t="str">
        <f>IFERROR(TP[[#This Row],[Costo Real Unitario USD]]*TP[[#This Row],[Costo de Envio Total UDS]]/TP[[#This Row],[Costo Total Pedido USD]], "Sin Datos")</f>
        <v>Sin Datos</v>
      </c>
      <c r="H150" s="9">
        <f>IFERROR(TP[[#This Row],[Costo Total Pedido USD]]+TP[[#This Row],[Costo de Envio Total UDS]],"Sin Datos")</f>
        <v>0</v>
      </c>
      <c r="I150" s="52"/>
      <c r="J150" s="9" t="str">
        <f>IFERROR((TP[[#This Row],[Costo Real Unitario USD]]*TP[[#This Row],[Impuesto UDS]])/TP[[#This Row],[Costo Total Pedido USD]],"Sin Datos")</f>
        <v>Sin Datos</v>
      </c>
      <c r="K150" s="9" t="str">
        <f>IFERROR(TP[[#This Row],[Costo Real Unitario USD]]+TP[[#This Row],[Costo de Envio Unitario UDS]]+TP[[#This Row],[Impuesto Unitario UDS]],"Sin Datos")</f>
        <v>Sin Datos</v>
      </c>
      <c r="L150" s="9">
        <f>IFERROR(TP[[#This Row],[Costo Total Pedido USD]]+TP[[#This Row],[Costo de Envio Total UDS]]+TP[[#This Row],[Impuesto UDS]],"Sin Datos")</f>
        <v>0</v>
      </c>
      <c r="M150" s="14">
        <f>IFERROR(((TP[[#This Row],[Costo Total Pedido USD]]*TP[[#This Row],[DÓLAR]])*$B$3)+(TP[[#This Row],[Costo Total Pedido USD]]*TP[[#This Row],[DÓLAR]]),"Sin Datos")</f>
        <v>0</v>
      </c>
      <c r="N15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0" s="14" t="str">
        <f>IFERROR(TP[[#This Row],[Costo Total Pza. MXN]]*TP[[#This Row],[CANTIDAD]],"Sin Datos")</f>
        <v>Sin Datos</v>
      </c>
      <c r="P150" s="29" t="str">
        <f>IFERROR((((TP[[#This Row],[Costo Total Pza. UDS]]*TP[[#This Row],[DÓLAR]])*$B$3)+(TP[[#This Row],[Costo Total Pza. UDS]]*TP[[#This Row],[DÓLAR]])),"Sin Datos")</f>
        <v>Sin Datos</v>
      </c>
      <c r="Q150" s="57"/>
      <c r="R15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0" s="29" t="str">
        <f>IFERROR(TP[[#This Row],[Costo Total Pza. MXN]]+TP[[#This Row],[Impuesto Unitario MXN]],"Sin Datos")</f>
        <v>Sin Datos</v>
      </c>
      <c r="T150" s="29" t="str">
        <f>IFERROR(TP[[#This Row],[Costo Costo]]*50%+TP[[#This Row],[Costo Costo]],"Sin Datos")</f>
        <v>Sin Datos</v>
      </c>
      <c r="U150" s="14" t="str">
        <f>IFERROR(TP[[#This Row],[Precio de Oficina]]-TP[[#This Row],[Costo Costo]],"Sin Datos")</f>
        <v>Sin Datos</v>
      </c>
      <c r="V150" s="29" t="str">
        <f>IFERROR(TP[[#This Row],[Precio de Oficina]]*14%+TP[[#This Row],[Precio de Oficina]],"Sin Datos")</f>
        <v>Sin Datos</v>
      </c>
      <c r="W150" s="29" t="str">
        <f>IFERROR(TP[[#This Row],[Precio de Oficina]]*20%+TP[[#This Row],[Precio de Oficina]],"Sin Datos")</f>
        <v>Sin Datos</v>
      </c>
      <c r="X150" s="30" t="str">
        <f>IFERROR(TP[[#This Row],[Precio de Wix]]*33.6%+TP[[#This Row],[Precio de Wix]]+100,"Sin Datos")</f>
        <v>Sin Datos</v>
      </c>
      <c r="Z150" s="8" t="s">
        <v>353</v>
      </c>
    </row>
    <row r="151" spans="1:26" x14ac:dyDescent="0.2">
      <c r="A151" s="36" t="s">
        <v>354</v>
      </c>
      <c r="B151" s="49"/>
      <c r="C151" s="49"/>
      <c r="D151" s="53"/>
      <c r="E151" s="52"/>
      <c r="F151" s="53"/>
      <c r="G151" s="28" t="str">
        <f>IFERROR(TP[[#This Row],[Costo Real Unitario USD]]*TP[[#This Row],[Costo de Envio Total UDS]]/TP[[#This Row],[Costo Total Pedido USD]], "Sin Datos")</f>
        <v>Sin Datos</v>
      </c>
      <c r="H151" s="9">
        <f>IFERROR(TP[[#This Row],[Costo Total Pedido USD]]+TP[[#This Row],[Costo de Envio Total UDS]],"Sin Datos")</f>
        <v>0</v>
      </c>
      <c r="I151" s="52"/>
      <c r="J151" s="9" t="str">
        <f>IFERROR((TP[[#This Row],[Costo Real Unitario USD]]*TP[[#This Row],[Impuesto UDS]])/TP[[#This Row],[Costo Total Pedido USD]],"Sin Datos")</f>
        <v>Sin Datos</v>
      </c>
      <c r="K151" s="9" t="str">
        <f>IFERROR(TP[[#This Row],[Costo Real Unitario USD]]+TP[[#This Row],[Costo de Envio Unitario UDS]]+TP[[#This Row],[Impuesto Unitario UDS]],"Sin Datos")</f>
        <v>Sin Datos</v>
      </c>
      <c r="L151" s="9">
        <f>IFERROR(TP[[#This Row],[Costo Total Pedido USD]]+TP[[#This Row],[Costo de Envio Total UDS]]+TP[[#This Row],[Impuesto UDS]],"Sin Datos")</f>
        <v>0</v>
      </c>
      <c r="M151" s="14">
        <f>IFERROR(((TP[[#This Row],[Costo Total Pedido USD]]*TP[[#This Row],[DÓLAR]])*$B$3)+(TP[[#This Row],[Costo Total Pedido USD]]*TP[[#This Row],[DÓLAR]]),"Sin Datos")</f>
        <v>0</v>
      </c>
      <c r="N15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1" s="14" t="str">
        <f>IFERROR(TP[[#This Row],[Costo Total Pza. MXN]]*TP[[#This Row],[CANTIDAD]],"Sin Datos")</f>
        <v>Sin Datos</v>
      </c>
      <c r="P151" s="29" t="str">
        <f>IFERROR((((TP[[#This Row],[Costo Total Pza. UDS]]*TP[[#This Row],[DÓLAR]])*$B$3)+(TP[[#This Row],[Costo Total Pza. UDS]]*TP[[#This Row],[DÓLAR]])),"Sin Datos")</f>
        <v>Sin Datos</v>
      </c>
      <c r="Q151" s="57"/>
      <c r="R15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1" s="29" t="str">
        <f>IFERROR(TP[[#This Row],[Costo Total Pza. MXN]]+TP[[#This Row],[Impuesto Unitario MXN]],"Sin Datos")</f>
        <v>Sin Datos</v>
      </c>
      <c r="T151" s="29" t="str">
        <f>IFERROR(TP[[#This Row],[Costo Costo]]*50%+TP[[#This Row],[Costo Costo]],"Sin Datos")</f>
        <v>Sin Datos</v>
      </c>
      <c r="U151" s="14" t="str">
        <f>IFERROR(TP[[#This Row],[Precio de Oficina]]-TP[[#This Row],[Costo Costo]],"Sin Datos")</f>
        <v>Sin Datos</v>
      </c>
      <c r="V151" s="29" t="str">
        <f>IFERROR(TP[[#This Row],[Precio de Oficina]]*14%+TP[[#This Row],[Precio de Oficina]],"Sin Datos")</f>
        <v>Sin Datos</v>
      </c>
      <c r="W151" s="29" t="str">
        <f>IFERROR(TP[[#This Row],[Precio de Oficina]]*20%+TP[[#This Row],[Precio de Oficina]],"Sin Datos")</f>
        <v>Sin Datos</v>
      </c>
      <c r="X151" s="30" t="str">
        <f>IFERROR(TP[[#This Row],[Precio de Wix]]*33.6%+TP[[#This Row],[Precio de Wix]]+100,"Sin Datos")</f>
        <v>Sin Datos</v>
      </c>
      <c r="Z151" s="8" t="s">
        <v>354</v>
      </c>
    </row>
    <row r="152" spans="1:26" x14ac:dyDescent="0.2">
      <c r="A152" s="36" t="s">
        <v>355</v>
      </c>
      <c r="B152" s="49"/>
      <c r="C152" s="49"/>
      <c r="D152" s="53"/>
      <c r="E152" s="52"/>
      <c r="F152" s="53"/>
      <c r="G152" s="28" t="str">
        <f>IFERROR(TP[[#This Row],[Costo Real Unitario USD]]*TP[[#This Row],[Costo de Envio Total UDS]]/TP[[#This Row],[Costo Total Pedido USD]], "Sin Datos")</f>
        <v>Sin Datos</v>
      </c>
      <c r="H152" s="9">
        <f>IFERROR(TP[[#This Row],[Costo Total Pedido USD]]+TP[[#This Row],[Costo de Envio Total UDS]],"Sin Datos")</f>
        <v>0</v>
      </c>
      <c r="I152" s="52"/>
      <c r="J152" s="9" t="str">
        <f>IFERROR((TP[[#This Row],[Costo Real Unitario USD]]*TP[[#This Row],[Impuesto UDS]])/TP[[#This Row],[Costo Total Pedido USD]],"Sin Datos")</f>
        <v>Sin Datos</v>
      </c>
      <c r="K152" s="9" t="str">
        <f>IFERROR(TP[[#This Row],[Costo Real Unitario USD]]+TP[[#This Row],[Costo de Envio Unitario UDS]]+TP[[#This Row],[Impuesto Unitario UDS]],"Sin Datos")</f>
        <v>Sin Datos</v>
      </c>
      <c r="L152" s="9">
        <f>IFERROR(TP[[#This Row],[Costo Total Pedido USD]]+TP[[#This Row],[Costo de Envio Total UDS]]+TP[[#This Row],[Impuesto UDS]],"Sin Datos")</f>
        <v>0</v>
      </c>
      <c r="M152" s="14">
        <f>IFERROR(((TP[[#This Row],[Costo Total Pedido USD]]*TP[[#This Row],[DÓLAR]])*$B$3)+(TP[[#This Row],[Costo Total Pedido USD]]*TP[[#This Row],[DÓLAR]]),"Sin Datos")</f>
        <v>0</v>
      </c>
      <c r="N15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2" s="14" t="str">
        <f>IFERROR(TP[[#This Row],[Costo Total Pza. MXN]]*TP[[#This Row],[CANTIDAD]],"Sin Datos")</f>
        <v>Sin Datos</v>
      </c>
      <c r="P152" s="29" t="str">
        <f>IFERROR((((TP[[#This Row],[Costo Total Pza. UDS]]*TP[[#This Row],[DÓLAR]])*$B$3)+(TP[[#This Row],[Costo Total Pza. UDS]]*TP[[#This Row],[DÓLAR]])),"Sin Datos")</f>
        <v>Sin Datos</v>
      </c>
      <c r="Q152" s="57"/>
      <c r="R15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2" s="29" t="str">
        <f>IFERROR(TP[[#This Row],[Costo Total Pza. MXN]]+TP[[#This Row],[Impuesto Unitario MXN]],"Sin Datos")</f>
        <v>Sin Datos</v>
      </c>
      <c r="T152" s="29" t="str">
        <f>IFERROR(TP[[#This Row],[Costo Costo]]*50%+TP[[#This Row],[Costo Costo]],"Sin Datos")</f>
        <v>Sin Datos</v>
      </c>
      <c r="U152" s="14" t="str">
        <f>IFERROR(TP[[#This Row],[Precio de Oficina]]-TP[[#This Row],[Costo Costo]],"Sin Datos")</f>
        <v>Sin Datos</v>
      </c>
      <c r="V152" s="29" t="str">
        <f>IFERROR(TP[[#This Row],[Precio de Oficina]]*14%+TP[[#This Row],[Precio de Oficina]],"Sin Datos")</f>
        <v>Sin Datos</v>
      </c>
      <c r="W152" s="29" t="str">
        <f>IFERROR(TP[[#This Row],[Precio de Oficina]]*20%+TP[[#This Row],[Precio de Oficina]],"Sin Datos")</f>
        <v>Sin Datos</v>
      </c>
      <c r="X152" s="30" t="str">
        <f>IFERROR(TP[[#This Row],[Precio de Wix]]*33.6%+TP[[#This Row],[Precio de Wix]]+100,"Sin Datos")</f>
        <v>Sin Datos</v>
      </c>
      <c r="Z152" s="8" t="s">
        <v>355</v>
      </c>
    </row>
    <row r="153" spans="1:26" x14ac:dyDescent="0.2">
      <c r="A153" s="36" t="s">
        <v>356</v>
      </c>
      <c r="B153" s="49"/>
      <c r="C153" s="49"/>
      <c r="D153" s="53"/>
      <c r="E153" s="52"/>
      <c r="F153" s="53"/>
      <c r="G153" s="28" t="str">
        <f>IFERROR(TP[[#This Row],[Costo Real Unitario USD]]*TP[[#This Row],[Costo de Envio Total UDS]]/TP[[#This Row],[Costo Total Pedido USD]], "Sin Datos")</f>
        <v>Sin Datos</v>
      </c>
      <c r="H153" s="9">
        <f>IFERROR(TP[[#This Row],[Costo Total Pedido USD]]+TP[[#This Row],[Costo de Envio Total UDS]],"Sin Datos")</f>
        <v>0</v>
      </c>
      <c r="I153" s="52"/>
      <c r="J153" s="9" t="str">
        <f>IFERROR((TP[[#This Row],[Costo Real Unitario USD]]*TP[[#This Row],[Impuesto UDS]])/TP[[#This Row],[Costo Total Pedido USD]],"Sin Datos")</f>
        <v>Sin Datos</v>
      </c>
      <c r="K153" s="9" t="str">
        <f>IFERROR(TP[[#This Row],[Costo Real Unitario USD]]+TP[[#This Row],[Costo de Envio Unitario UDS]]+TP[[#This Row],[Impuesto Unitario UDS]],"Sin Datos")</f>
        <v>Sin Datos</v>
      </c>
      <c r="L153" s="9">
        <f>IFERROR(TP[[#This Row],[Costo Total Pedido USD]]+TP[[#This Row],[Costo de Envio Total UDS]]+TP[[#This Row],[Impuesto UDS]],"Sin Datos")</f>
        <v>0</v>
      </c>
      <c r="M153" s="14">
        <f>IFERROR(((TP[[#This Row],[Costo Total Pedido USD]]*TP[[#This Row],[DÓLAR]])*$B$3)+(TP[[#This Row],[Costo Total Pedido USD]]*TP[[#This Row],[DÓLAR]]),"Sin Datos")</f>
        <v>0</v>
      </c>
      <c r="N15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3" s="14" t="str">
        <f>IFERROR(TP[[#This Row],[Costo Total Pza. MXN]]*TP[[#This Row],[CANTIDAD]],"Sin Datos")</f>
        <v>Sin Datos</v>
      </c>
      <c r="P153" s="29" t="str">
        <f>IFERROR((((TP[[#This Row],[Costo Total Pza. UDS]]*TP[[#This Row],[DÓLAR]])*$B$3)+(TP[[#This Row],[Costo Total Pza. UDS]]*TP[[#This Row],[DÓLAR]])),"Sin Datos")</f>
        <v>Sin Datos</v>
      </c>
      <c r="Q153" s="57"/>
      <c r="R15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3" s="29" t="str">
        <f>IFERROR(TP[[#This Row],[Costo Total Pza. MXN]]+TP[[#This Row],[Impuesto Unitario MXN]],"Sin Datos")</f>
        <v>Sin Datos</v>
      </c>
      <c r="T153" s="29" t="str">
        <f>IFERROR(TP[[#This Row],[Costo Costo]]*50%+TP[[#This Row],[Costo Costo]],"Sin Datos")</f>
        <v>Sin Datos</v>
      </c>
      <c r="U153" s="14" t="str">
        <f>IFERROR(TP[[#This Row],[Precio de Oficina]]-TP[[#This Row],[Costo Costo]],"Sin Datos")</f>
        <v>Sin Datos</v>
      </c>
      <c r="V153" s="29" t="str">
        <f>IFERROR(TP[[#This Row],[Precio de Oficina]]*14%+TP[[#This Row],[Precio de Oficina]],"Sin Datos")</f>
        <v>Sin Datos</v>
      </c>
      <c r="W153" s="29" t="str">
        <f>IFERROR(TP[[#This Row],[Precio de Oficina]]*20%+TP[[#This Row],[Precio de Oficina]],"Sin Datos")</f>
        <v>Sin Datos</v>
      </c>
      <c r="X153" s="30" t="str">
        <f>IFERROR(TP[[#This Row],[Precio de Wix]]*33.6%+TP[[#This Row],[Precio de Wix]]+100,"Sin Datos")</f>
        <v>Sin Datos</v>
      </c>
      <c r="Z153" s="8" t="s">
        <v>356</v>
      </c>
    </row>
    <row r="154" spans="1:26" x14ac:dyDescent="0.2">
      <c r="A154" s="36" t="s">
        <v>357</v>
      </c>
      <c r="B154" s="49"/>
      <c r="C154" s="49"/>
      <c r="D154" s="53"/>
      <c r="E154" s="52"/>
      <c r="F154" s="53"/>
      <c r="G154" s="28" t="str">
        <f>IFERROR(TP[[#This Row],[Costo Real Unitario USD]]*TP[[#This Row],[Costo de Envio Total UDS]]/TP[[#This Row],[Costo Total Pedido USD]], "Sin Datos")</f>
        <v>Sin Datos</v>
      </c>
      <c r="H154" s="9">
        <f>IFERROR(TP[[#This Row],[Costo Total Pedido USD]]+TP[[#This Row],[Costo de Envio Total UDS]],"Sin Datos")</f>
        <v>0</v>
      </c>
      <c r="I154" s="52"/>
      <c r="J154" s="9" t="str">
        <f>IFERROR((TP[[#This Row],[Costo Real Unitario USD]]*TP[[#This Row],[Impuesto UDS]])/TP[[#This Row],[Costo Total Pedido USD]],"Sin Datos")</f>
        <v>Sin Datos</v>
      </c>
      <c r="K154" s="9" t="str">
        <f>IFERROR(TP[[#This Row],[Costo Real Unitario USD]]+TP[[#This Row],[Costo de Envio Unitario UDS]]+TP[[#This Row],[Impuesto Unitario UDS]],"Sin Datos")</f>
        <v>Sin Datos</v>
      </c>
      <c r="L154" s="9">
        <f>IFERROR(TP[[#This Row],[Costo Total Pedido USD]]+TP[[#This Row],[Costo de Envio Total UDS]]+TP[[#This Row],[Impuesto UDS]],"Sin Datos")</f>
        <v>0</v>
      </c>
      <c r="M154" s="14">
        <f>IFERROR(((TP[[#This Row],[Costo Total Pedido USD]]*TP[[#This Row],[DÓLAR]])*$B$3)+(TP[[#This Row],[Costo Total Pedido USD]]*TP[[#This Row],[DÓLAR]]),"Sin Datos")</f>
        <v>0</v>
      </c>
      <c r="N15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4" s="14" t="str">
        <f>IFERROR(TP[[#This Row],[Costo Total Pza. MXN]]*TP[[#This Row],[CANTIDAD]],"Sin Datos")</f>
        <v>Sin Datos</v>
      </c>
      <c r="P154" s="29" t="str">
        <f>IFERROR((((TP[[#This Row],[Costo Total Pza. UDS]]*TP[[#This Row],[DÓLAR]])*$B$3)+(TP[[#This Row],[Costo Total Pza. UDS]]*TP[[#This Row],[DÓLAR]])),"Sin Datos")</f>
        <v>Sin Datos</v>
      </c>
      <c r="Q154" s="57"/>
      <c r="R15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4" s="29" t="str">
        <f>IFERROR(TP[[#This Row],[Costo Total Pza. MXN]]+TP[[#This Row],[Impuesto Unitario MXN]],"Sin Datos")</f>
        <v>Sin Datos</v>
      </c>
      <c r="T154" s="29" t="str">
        <f>IFERROR(TP[[#This Row],[Costo Costo]]*50%+TP[[#This Row],[Costo Costo]],"Sin Datos")</f>
        <v>Sin Datos</v>
      </c>
      <c r="U154" s="14" t="str">
        <f>IFERROR(TP[[#This Row],[Precio de Oficina]]-TP[[#This Row],[Costo Costo]],"Sin Datos")</f>
        <v>Sin Datos</v>
      </c>
      <c r="V154" s="29" t="str">
        <f>IFERROR(TP[[#This Row],[Precio de Oficina]]*14%+TP[[#This Row],[Precio de Oficina]],"Sin Datos")</f>
        <v>Sin Datos</v>
      </c>
      <c r="W154" s="29" t="str">
        <f>IFERROR(TP[[#This Row],[Precio de Oficina]]*20%+TP[[#This Row],[Precio de Oficina]],"Sin Datos")</f>
        <v>Sin Datos</v>
      </c>
      <c r="X154" s="30" t="str">
        <f>IFERROR(TP[[#This Row],[Precio de Wix]]*33.6%+TP[[#This Row],[Precio de Wix]]+100,"Sin Datos")</f>
        <v>Sin Datos</v>
      </c>
      <c r="Z154" s="8" t="s">
        <v>357</v>
      </c>
    </row>
    <row r="155" spans="1:26" x14ac:dyDescent="0.2">
      <c r="A155" s="36" t="s">
        <v>358</v>
      </c>
      <c r="B155" s="49"/>
      <c r="C155" s="49"/>
      <c r="D155" s="53"/>
      <c r="E155" s="52"/>
      <c r="F155" s="53"/>
      <c r="G155" s="28" t="str">
        <f>IFERROR(TP[[#This Row],[Costo Real Unitario USD]]*TP[[#This Row],[Costo de Envio Total UDS]]/TP[[#This Row],[Costo Total Pedido USD]], "Sin Datos")</f>
        <v>Sin Datos</v>
      </c>
      <c r="H155" s="9">
        <f>IFERROR(TP[[#This Row],[Costo Total Pedido USD]]+TP[[#This Row],[Costo de Envio Total UDS]],"Sin Datos")</f>
        <v>0</v>
      </c>
      <c r="I155" s="52"/>
      <c r="J155" s="9" t="str">
        <f>IFERROR((TP[[#This Row],[Costo Real Unitario USD]]*TP[[#This Row],[Impuesto UDS]])/TP[[#This Row],[Costo Total Pedido USD]],"Sin Datos")</f>
        <v>Sin Datos</v>
      </c>
      <c r="K155" s="9" t="str">
        <f>IFERROR(TP[[#This Row],[Costo Real Unitario USD]]+TP[[#This Row],[Costo de Envio Unitario UDS]]+TP[[#This Row],[Impuesto Unitario UDS]],"Sin Datos")</f>
        <v>Sin Datos</v>
      </c>
      <c r="L155" s="9">
        <f>IFERROR(TP[[#This Row],[Costo Total Pedido USD]]+TP[[#This Row],[Costo de Envio Total UDS]]+TP[[#This Row],[Impuesto UDS]],"Sin Datos")</f>
        <v>0</v>
      </c>
      <c r="M155" s="14">
        <f>IFERROR(((TP[[#This Row],[Costo Total Pedido USD]]*TP[[#This Row],[DÓLAR]])*$B$3)+(TP[[#This Row],[Costo Total Pedido USD]]*TP[[#This Row],[DÓLAR]]),"Sin Datos")</f>
        <v>0</v>
      </c>
      <c r="N15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5" s="14" t="str">
        <f>IFERROR(TP[[#This Row],[Costo Total Pza. MXN]]*TP[[#This Row],[CANTIDAD]],"Sin Datos")</f>
        <v>Sin Datos</v>
      </c>
      <c r="P155" s="29" t="str">
        <f>IFERROR((((TP[[#This Row],[Costo Total Pza. UDS]]*TP[[#This Row],[DÓLAR]])*$B$3)+(TP[[#This Row],[Costo Total Pza. UDS]]*TP[[#This Row],[DÓLAR]])),"Sin Datos")</f>
        <v>Sin Datos</v>
      </c>
      <c r="Q155" s="57"/>
      <c r="R15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5" s="29" t="str">
        <f>IFERROR(TP[[#This Row],[Costo Total Pza. MXN]]+TP[[#This Row],[Impuesto Unitario MXN]],"Sin Datos")</f>
        <v>Sin Datos</v>
      </c>
      <c r="T155" s="29" t="str">
        <f>IFERROR(TP[[#This Row],[Costo Costo]]*50%+TP[[#This Row],[Costo Costo]],"Sin Datos")</f>
        <v>Sin Datos</v>
      </c>
      <c r="U155" s="14" t="str">
        <f>IFERROR(TP[[#This Row],[Precio de Oficina]]-TP[[#This Row],[Costo Costo]],"Sin Datos")</f>
        <v>Sin Datos</v>
      </c>
      <c r="V155" s="29" t="str">
        <f>IFERROR(TP[[#This Row],[Precio de Oficina]]*14%+TP[[#This Row],[Precio de Oficina]],"Sin Datos")</f>
        <v>Sin Datos</v>
      </c>
      <c r="W155" s="29" t="str">
        <f>IFERROR(TP[[#This Row],[Precio de Oficina]]*20%+TP[[#This Row],[Precio de Oficina]],"Sin Datos")</f>
        <v>Sin Datos</v>
      </c>
      <c r="X155" s="30" t="str">
        <f>IFERROR(TP[[#This Row],[Precio de Wix]]*33.6%+TP[[#This Row],[Precio de Wix]]+100,"Sin Datos")</f>
        <v>Sin Datos</v>
      </c>
      <c r="Z155" s="8" t="s">
        <v>358</v>
      </c>
    </row>
    <row r="156" spans="1:26" x14ac:dyDescent="0.2">
      <c r="A156" s="36" t="s">
        <v>359</v>
      </c>
      <c r="B156" s="49"/>
      <c r="C156" s="49"/>
      <c r="D156" s="53"/>
      <c r="E156" s="52"/>
      <c r="F156" s="53"/>
      <c r="G156" s="28" t="str">
        <f>IFERROR(TP[[#This Row],[Costo Real Unitario USD]]*TP[[#This Row],[Costo de Envio Total UDS]]/TP[[#This Row],[Costo Total Pedido USD]], "Sin Datos")</f>
        <v>Sin Datos</v>
      </c>
      <c r="H156" s="9">
        <f>IFERROR(TP[[#This Row],[Costo Total Pedido USD]]+TP[[#This Row],[Costo de Envio Total UDS]],"Sin Datos")</f>
        <v>0</v>
      </c>
      <c r="I156" s="52"/>
      <c r="J156" s="9" t="str">
        <f>IFERROR((TP[[#This Row],[Costo Real Unitario USD]]*TP[[#This Row],[Impuesto UDS]])/TP[[#This Row],[Costo Total Pedido USD]],"Sin Datos")</f>
        <v>Sin Datos</v>
      </c>
      <c r="K156" s="9" t="str">
        <f>IFERROR(TP[[#This Row],[Costo Real Unitario USD]]+TP[[#This Row],[Costo de Envio Unitario UDS]]+TP[[#This Row],[Impuesto Unitario UDS]],"Sin Datos")</f>
        <v>Sin Datos</v>
      </c>
      <c r="L156" s="9">
        <f>IFERROR(TP[[#This Row],[Costo Total Pedido USD]]+TP[[#This Row],[Costo de Envio Total UDS]]+TP[[#This Row],[Impuesto UDS]],"Sin Datos")</f>
        <v>0</v>
      </c>
      <c r="M156" s="14">
        <f>IFERROR(((TP[[#This Row],[Costo Total Pedido USD]]*TP[[#This Row],[DÓLAR]])*$B$3)+(TP[[#This Row],[Costo Total Pedido USD]]*TP[[#This Row],[DÓLAR]]),"Sin Datos")</f>
        <v>0</v>
      </c>
      <c r="N15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6" s="14" t="str">
        <f>IFERROR(TP[[#This Row],[Costo Total Pza. MXN]]*TP[[#This Row],[CANTIDAD]],"Sin Datos")</f>
        <v>Sin Datos</v>
      </c>
      <c r="P156" s="29" t="str">
        <f>IFERROR((((TP[[#This Row],[Costo Total Pza. UDS]]*TP[[#This Row],[DÓLAR]])*$B$3)+(TP[[#This Row],[Costo Total Pza. UDS]]*TP[[#This Row],[DÓLAR]])),"Sin Datos")</f>
        <v>Sin Datos</v>
      </c>
      <c r="Q156" s="57"/>
      <c r="R15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6" s="29" t="str">
        <f>IFERROR(TP[[#This Row],[Costo Total Pza. MXN]]+TP[[#This Row],[Impuesto Unitario MXN]],"Sin Datos")</f>
        <v>Sin Datos</v>
      </c>
      <c r="T156" s="29" t="str">
        <f>IFERROR(TP[[#This Row],[Costo Costo]]*50%+TP[[#This Row],[Costo Costo]],"Sin Datos")</f>
        <v>Sin Datos</v>
      </c>
      <c r="U156" s="14" t="str">
        <f>IFERROR(TP[[#This Row],[Precio de Oficina]]-TP[[#This Row],[Costo Costo]],"Sin Datos")</f>
        <v>Sin Datos</v>
      </c>
      <c r="V156" s="29" t="str">
        <f>IFERROR(TP[[#This Row],[Precio de Oficina]]*14%+TP[[#This Row],[Precio de Oficina]],"Sin Datos")</f>
        <v>Sin Datos</v>
      </c>
      <c r="W156" s="29" t="str">
        <f>IFERROR(TP[[#This Row],[Precio de Oficina]]*20%+TP[[#This Row],[Precio de Oficina]],"Sin Datos")</f>
        <v>Sin Datos</v>
      </c>
      <c r="X156" s="30" t="str">
        <f>IFERROR(TP[[#This Row],[Precio de Wix]]*33.6%+TP[[#This Row],[Precio de Wix]]+100,"Sin Datos")</f>
        <v>Sin Datos</v>
      </c>
      <c r="Z156" s="8" t="s">
        <v>359</v>
      </c>
    </row>
    <row r="157" spans="1:26" x14ac:dyDescent="0.2">
      <c r="A157" s="36" t="s">
        <v>360</v>
      </c>
      <c r="B157" s="49"/>
      <c r="C157" s="49"/>
      <c r="D157" s="53"/>
      <c r="E157" s="52"/>
      <c r="F157" s="53"/>
      <c r="G157" s="28" t="str">
        <f>IFERROR(TP[[#This Row],[Costo Real Unitario USD]]*TP[[#This Row],[Costo de Envio Total UDS]]/TP[[#This Row],[Costo Total Pedido USD]], "Sin Datos")</f>
        <v>Sin Datos</v>
      </c>
      <c r="H157" s="9">
        <f>IFERROR(TP[[#This Row],[Costo Total Pedido USD]]+TP[[#This Row],[Costo de Envio Total UDS]],"Sin Datos")</f>
        <v>0</v>
      </c>
      <c r="I157" s="52"/>
      <c r="J157" s="9" t="str">
        <f>IFERROR((TP[[#This Row],[Costo Real Unitario USD]]*TP[[#This Row],[Impuesto UDS]])/TP[[#This Row],[Costo Total Pedido USD]],"Sin Datos")</f>
        <v>Sin Datos</v>
      </c>
      <c r="K157" s="9" t="str">
        <f>IFERROR(TP[[#This Row],[Costo Real Unitario USD]]+TP[[#This Row],[Costo de Envio Unitario UDS]]+TP[[#This Row],[Impuesto Unitario UDS]],"Sin Datos")</f>
        <v>Sin Datos</v>
      </c>
      <c r="L157" s="9">
        <f>IFERROR(TP[[#This Row],[Costo Total Pedido USD]]+TP[[#This Row],[Costo de Envio Total UDS]]+TP[[#This Row],[Impuesto UDS]],"Sin Datos")</f>
        <v>0</v>
      </c>
      <c r="M157" s="14">
        <f>IFERROR(((TP[[#This Row],[Costo Total Pedido USD]]*TP[[#This Row],[DÓLAR]])*$B$3)+(TP[[#This Row],[Costo Total Pedido USD]]*TP[[#This Row],[DÓLAR]]),"Sin Datos")</f>
        <v>0</v>
      </c>
      <c r="N15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7" s="14" t="str">
        <f>IFERROR(TP[[#This Row],[Costo Total Pza. MXN]]*TP[[#This Row],[CANTIDAD]],"Sin Datos")</f>
        <v>Sin Datos</v>
      </c>
      <c r="P157" s="29" t="str">
        <f>IFERROR((((TP[[#This Row],[Costo Total Pza. UDS]]*TP[[#This Row],[DÓLAR]])*$B$3)+(TP[[#This Row],[Costo Total Pza. UDS]]*TP[[#This Row],[DÓLAR]])),"Sin Datos")</f>
        <v>Sin Datos</v>
      </c>
      <c r="Q157" s="57"/>
      <c r="R15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7" s="29" t="str">
        <f>IFERROR(TP[[#This Row],[Costo Total Pza. MXN]]+TP[[#This Row],[Impuesto Unitario MXN]],"Sin Datos")</f>
        <v>Sin Datos</v>
      </c>
      <c r="T157" s="29" t="str">
        <f>IFERROR(TP[[#This Row],[Costo Costo]]*50%+TP[[#This Row],[Costo Costo]],"Sin Datos")</f>
        <v>Sin Datos</v>
      </c>
      <c r="U157" s="14" t="str">
        <f>IFERROR(TP[[#This Row],[Precio de Oficina]]-TP[[#This Row],[Costo Costo]],"Sin Datos")</f>
        <v>Sin Datos</v>
      </c>
      <c r="V157" s="29" t="str">
        <f>IFERROR(TP[[#This Row],[Precio de Oficina]]*14%+TP[[#This Row],[Precio de Oficina]],"Sin Datos")</f>
        <v>Sin Datos</v>
      </c>
      <c r="W157" s="29" t="str">
        <f>IFERROR(TP[[#This Row],[Precio de Oficina]]*20%+TP[[#This Row],[Precio de Oficina]],"Sin Datos")</f>
        <v>Sin Datos</v>
      </c>
      <c r="X157" s="30" t="str">
        <f>IFERROR(TP[[#This Row],[Precio de Wix]]*33.6%+TP[[#This Row],[Precio de Wix]]+100,"Sin Datos")</f>
        <v>Sin Datos</v>
      </c>
      <c r="Z157" s="8" t="s">
        <v>360</v>
      </c>
    </row>
    <row r="158" spans="1:26" x14ac:dyDescent="0.2">
      <c r="A158" s="36" t="s">
        <v>361</v>
      </c>
      <c r="B158" s="49"/>
      <c r="C158" s="49"/>
      <c r="D158" s="53"/>
      <c r="E158" s="52"/>
      <c r="F158" s="53"/>
      <c r="G158" s="28" t="str">
        <f>IFERROR(TP[[#This Row],[Costo Real Unitario USD]]*TP[[#This Row],[Costo de Envio Total UDS]]/TP[[#This Row],[Costo Total Pedido USD]], "Sin Datos")</f>
        <v>Sin Datos</v>
      </c>
      <c r="H158" s="9">
        <f>IFERROR(TP[[#This Row],[Costo Total Pedido USD]]+TP[[#This Row],[Costo de Envio Total UDS]],"Sin Datos")</f>
        <v>0</v>
      </c>
      <c r="I158" s="52"/>
      <c r="J158" s="9" t="str">
        <f>IFERROR((TP[[#This Row],[Costo Real Unitario USD]]*TP[[#This Row],[Impuesto UDS]])/TP[[#This Row],[Costo Total Pedido USD]],"Sin Datos")</f>
        <v>Sin Datos</v>
      </c>
      <c r="K158" s="9" t="str">
        <f>IFERROR(TP[[#This Row],[Costo Real Unitario USD]]+TP[[#This Row],[Costo de Envio Unitario UDS]]+TP[[#This Row],[Impuesto Unitario UDS]],"Sin Datos")</f>
        <v>Sin Datos</v>
      </c>
      <c r="L158" s="9">
        <f>IFERROR(TP[[#This Row],[Costo Total Pedido USD]]+TP[[#This Row],[Costo de Envio Total UDS]]+TP[[#This Row],[Impuesto UDS]],"Sin Datos")</f>
        <v>0</v>
      </c>
      <c r="M158" s="14">
        <f>IFERROR(((TP[[#This Row],[Costo Total Pedido USD]]*TP[[#This Row],[DÓLAR]])*$B$3)+(TP[[#This Row],[Costo Total Pedido USD]]*TP[[#This Row],[DÓLAR]]),"Sin Datos")</f>
        <v>0</v>
      </c>
      <c r="N15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8" s="14" t="str">
        <f>IFERROR(TP[[#This Row],[Costo Total Pza. MXN]]*TP[[#This Row],[CANTIDAD]],"Sin Datos")</f>
        <v>Sin Datos</v>
      </c>
      <c r="P158" s="29" t="str">
        <f>IFERROR((((TP[[#This Row],[Costo Total Pza. UDS]]*TP[[#This Row],[DÓLAR]])*$B$3)+(TP[[#This Row],[Costo Total Pza. UDS]]*TP[[#This Row],[DÓLAR]])),"Sin Datos")</f>
        <v>Sin Datos</v>
      </c>
      <c r="Q158" s="57"/>
      <c r="R15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8" s="29" t="str">
        <f>IFERROR(TP[[#This Row],[Costo Total Pza. MXN]]+TP[[#This Row],[Impuesto Unitario MXN]],"Sin Datos")</f>
        <v>Sin Datos</v>
      </c>
      <c r="T158" s="29" t="str">
        <f>IFERROR(TP[[#This Row],[Costo Costo]]*50%+TP[[#This Row],[Costo Costo]],"Sin Datos")</f>
        <v>Sin Datos</v>
      </c>
      <c r="U158" s="14" t="str">
        <f>IFERROR(TP[[#This Row],[Precio de Oficina]]-TP[[#This Row],[Costo Costo]],"Sin Datos")</f>
        <v>Sin Datos</v>
      </c>
      <c r="V158" s="29" t="str">
        <f>IFERROR(TP[[#This Row],[Precio de Oficina]]*14%+TP[[#This Row],[Precio de Oficina]],"Sin Datos")</f>
        <v>Sin Datos</v>
      </c>
      <c r="W158" s="29" t="str">
        <f>IFERROR(TP[[#This Row],[Precio de Oficina]]*20%+TP[[#This Row],[Precio de Oficina]],"Sin Datos")</f>
        <v>Sin Datos</v>
      </c>
      <c r="X158" s="30" t="str">
        <f>IFERROR(TP[[#This Row],[Precio de Wix]]*33.6%+TP[[#This Row],[Precio de Wix]]+100,"Sin Datos")</f>
        <v>Sin Datos</v>
      </c>
      <c r="Z158" s="8" t="s">
        <v>361</v>
      </c>
    </row>
    <row r="159" spans="1:26" x14ac:dyDescent="0.2">
      <c r="A159" s="36" t="s">
        <v>362</v>
      </c>
      <c r="B159" s="49"/>
      <c r="C159" s="49"/>
      <c r="D159" s="53"/>
      <c r="E159" s="52"/>
      <c r="F159" s="53"/>
      <c r="G159" s="28" t="str">
        <f>IFERROR(TP[[#This Row],[Costo Real Unitario USD]]*TP[[#This Row],[Costo de Envio Total UDS]]/TP[[#This Row],[Costo Total Pedido USD]], "Sin Datos")</f>
        <v>Sin Datos</v>
      </c>
      <c r="H159" s="9">
        <f>IFERROR(TP[[#This Row],[Costo Total Pedido USD]]+TP[[#This Row],[Costo de Envio Total UDS]],"Sin Datos")</f>
        <v>0</v>
      </c>
      <c r="I159" s="52"/>
      <c r="J159" s="9" t="str">
        <f>IFERROR((TP[[#This Row],[Costo Real Unitario USD]]*TP[[#This Row],[Impuesto UDS]])/TP[[#This Row],[Costo Total Pedido USD]],"Sin Datos")</f>
        <v>Sin Datos</v>
      </c>
      <c r="K159" s="9" t="str">
        <f>IFERROR(TP[[#This Row],[Costo Real Unitario USD]]+TP[[#This Row],[Costo de Envio Unitario UDS]]+TP[[#This Row],[Impuesto Unitario UDS]],"Sin Datos")</f>
        <v>Sin Datos</v>
      </c>
      <c r="L159" s="9">
        <f>IFERROR(TP[[#This Row],[Costo Total Pedido USD]]+TP[[#This Row],[Costo de Envio Total UDS]]+TP[[#This Row],[Impuesto UDS]],"Sin Datos")</f>
        <v>0</v>
      </c>
      <c r="M159" s="14">
        <f>IFERROR(((TP[[#This Row],[Costo Total Pedido USD]]*TP[[#This Row],[DÓLAR]])*$B$3)+(TP[[#This Row],[Costo Total Pedido USD]]*TP[[#This Row],[DÓLAR]]),"Sin Datos")</f>
        <v>0</v>
      </c>
      <c r="N15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59" s="14" t="str">
        <f>IFERROR(TP[[#This Row],[Costo Total Pza. MXN]]*TP[[#This Row],[CANTIDAD]],"Sin Datos")</f>
        <v>Sin Datos</v>
      </c>
      <c r="P159" s="29" t="str">
        <f>IFERROR((((TP[[#This Row],[Costo Total Pza. UDS]]*TP[[#This Row],[DÓLAR]])*$B$3)+(TP[[#This Row],[Costo Total Pza. UDS]]*TP[[#This Row],[DÓLAR]])),"Sin Datos")</f>
        <v>Sin Datos</v>
      </c>
      <c r="Q159" s="57"/>
      <c r="R15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59" s="29" t="str">
        <f>IFERROR(TP[[#This Row],[Costo Total Pza. MXN]]+TP[[#This Row],[Impuesto Unitario MXN]],"Sin Datos")</f>
        <v>Sin Datos</v>
      </c>
      <c r="T159" s="29" t="str">
        <f>IFERROR(TP[[#This Row],[Costo Costo]]*50%+TP[[#This Row],[Costo Costo]],"Sin Datos")</f>
        <v>Sin Datos</v>
      </c>
      <c r="U159" s="14" t="str">
        <f>IFERROR(TP[[#This Row],[Precio de Oficina]]-TP[[#This Row],[Costo Costo]],"Sin Datos")</f>
        <v>Sin Datos</v>
      </c>
      <c r="V159" s="29" t="str">
        <f>IFERROR(TP[[#This Row],[Precio de Oficina]]*14%+TP[[#This Row],[Precio de Oficina]],"Sin Datos")</f>
        <v>Sin Datos</v>
      </c>
      <c r="W159" s="29" t="str">
        <f>IFERROR(TP[[#This Row],[Precio de Oficina]]*20%+TP[[#This Row],[Precio de Oficina]],"Sin Datos")</f>
        <v>Sin Datos</v>
      </c>
      <c r="X159" s="30" t="str">
        <f>IFERROR(TP[[#This Row],[Precio de Wix]]*33.6%+TP[[#This Row],[Precio de Wix]]+100,"Sin Datos")</f>
        <v>Sin Datos</v>
      </c>
      <c r="Z159" s="8" t="s">
        <v>362</v>
      </c>
    </row>
    <row r="160" spans="1:26" x14ac:dyDescent="0.2">
      <c r="A160" s="36" t="s">
        <v>363</v>
      </c>
      <c r="B160" s="49"/>
      <c r="C160" s="49"/>
      <c r="D160" s="53"/>
      <c r="E160" s="52"/>
      <c r="F160" s="53"/>
      <c r="G160" s="28" t="str">
        <f>IFERROR(TP[[#This Row],[Costo Real Unitario USD]]*TP[[#This Row],[Costo de Envio Total UDS]]/TP[[#This Row],[Costo Total Pedido USD]], "Sin Datos")</f>
        <v>Sin Datos</v>
      </c>
      <c r="H160" s="9">
        <f>IFERROR(TP[[#This Row],[Costo Total Pedido USD]]+TP[[#This Row],[Costo de Envio Total UDS]],"Sin Datos")</f>
        <v>0</v>
      </c>
      <c r="I160" s="52"/>
      <c r="J160" s="9" t="str">
        <f>IFERROR((TP[[#This Row],[Costo Real Unitario USD]]*TP[[#This Row],[Impuesto UDS]])/TP[[#This Row],[Costo Total Pedido USD]],"Sin Datos")</f>
        <v>Sin Datos</v>
      </c>
      <c r="K160" s="9" t="str">
        <f>IFERROR(TP[[#This Row],[Costo Real Unitario USD]]+TP[[#This Row],[Costo de Envio Unitario UDS]]+TP[[#This Row],[Impuesto Unitario UDS]],"Sin Datos")</f>
        <v>Sin Datos</v>
      </c>
      <c r="L160" s="9">
        <f>IFERROR(TP[[#This Row],[Costo Total Pedido USD]]+TP[[#This Row],[Costo de Envio Total UDS]]+TP[[#This Row],[Impuesto UDS]],"Sin Datos")</f>
        <v>0</v>
      </c>
      <c r="M160" s="14">
        <f>IFERROR(((TP[[#This Row],[Costo Total Pedido USD]]*TP[[#This Row],[DÓLAR]])*$B$3)+(TP[[#This Row],[Costo Total Pedido USD]]*TP[[#This Row],[DÓLAR]]),"Sin Datos")</f>
        <v>0</v>
      </c>
      <c r="N16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0" s="14" t="str">
        <f>IFERROR(TP[[#This Row],[Costo Total Pza. MXN]]*TP[[#This Row],[CANTIDAD]],"Sin Datos")</f>
        <v>Sin Datos</v>
      </c>
      <c r="P160" s="29" t="str">
        <f>IFERROR((((TP[[#This Row],[Costo Total Pza. UDS]]*TP[[#This Row],[DÓLAR]])*$B$3)+(TP[[#This Row],[Costo Total Pza. UDS]]*TP[[#This Row],[DÓLAR]])),"Sin Datos")</f>
        <v>Sin Datos</v>
      </c>
      <c r="Q160" s="57"/>
      <c r="R16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0" s="29" t="str">
        <f>IFERROR(TP[[#This Row],[Costo Total Pza. MXN]]+TP[[#This Row],[Impuesto Unitario MXN]],"Sin Datos")</f>
        <v>Sin Datos</v>
      </c>
      <c r="T160" s="29" t="str">
        <f>IFERROR(TP[[#This Row],[Costo Costo]]*50%+TP[[#This Row],[Costo Costo]],"Sin Datos")</f>
        <v>Sin Datos</v>
      </c>
      <c r="U160" s="14" t="str">
        <f>IFERROR(TP[[#This Row],[Precio de Oficina]]-TP[[#This Row],[Costo Costo]],"Sin Datos")</f>
        <v>Sin Datos</v>
      </c>
      <c r="V160" s="29" t="str">
        <f>IFERROR(TP[[#This Row],[Precio de Oficina]]*14%+TP[[#This Row],[Precio de Oficina]],"Sin Datos")</f>
        <v>Sin Datos</v>
      </c>
      <c r="W160" s="29" t="str">
        <f>IFERROR(TP[[#This Row],[Precio de Oficina]]*20%+TP[[#This Row],[Precio de Oficina]],"Sin Datos")</f>
        <v>Sin Datos</v>
      </c>
      <c r="X160" s="30" t="str">
        <f>IFERROR(TP[[#This Row],[Precio de Wix]]*33.6%+TP[[#This Row],[Precio de Wix]]+100,"Sin Datos")</f>
        <v>Sin Datos</v>
      </c>
      <c r="Z160" s="8" t="s">
        <v>363</v>
      </c>
    </row>
    <row r="161" spans="1:26" x14ac:dyDescent="0.2">
      <c r="A161" s="36" t="s">
        <v>364</v>
      </c>
      <c r="B161" s="49"/>
      <c r="C161" s="49"/>
      <c r="D161" s="53"/>
      <c r="E161" s="52"/>
      <c r="F161" s="53"/>
      <c r="G161" s="28" t="str">
        <f>IFERROR(TP[[#This Row],[Costo Real Unitario USD]]*TP[[#This Row],[Costo de Envio Total UDS]]/TP[[#This Row],[Costo Total Pedido USD]], "Sin Datos")</f>
        <v>Sin Datos</v>
      </c>
      <c r="H161" s="9">
        <f>IFERROR(TP[[#This Row],[Costo Total Pedido USD]]+TP[[#This Row],[Costo de Envio Total UDS]],"Sin Datos")</f>
        <v>0</v>
      </c>
      <c r="I161" s="52"/>
      <c r="J161" s="9" t="str">
        <f>IFERROR((TP[[#This Row],[Costo Real Unitario USD]]*TP[[#This Row],[Impuesto UDS]])/TP[[#This Row],[Costo Total Pedido USD]],"Sin Datos")</f>
        <v>Sin Datos</v>
      </c>
      <c r="K161" s="9" t="str">
        <f>IFERROR(TP[[#This Row],[Costo Real Unitario USD]]+TP[[#This Row],[Costo de Envio Unitario UDS]]+TP[[#This Row],[Impuesto Unitario UDS]],"Sin Datos")</f>
        <v>Sin Datos</v>
      </c>
      <c r="L161" s="9">
        <f>IFERROR(TP[[#This Row],[Costo Total Pedido USD]]+TP[[#This Row],[Costo de Envio Total UDS]]+TP[[#This Row],[Impuesto UDS]],"Sin Datos")</f>
        <v>0</v>
      </c>
      <c r="M161" s="14">
        <f>IFERROR(((TP[[#This Row],[Costo Total Pedido USD]]*TP[[#This Row],[DÓLAR]])*$B$3)+(TP[[#This Row],[Costo Total Pedido USD]]*TP[[#This Row],[DÓLAR]]),"Sin Datos")</f>
        <v>0</v>
      </c>
      <c r="N16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1" s="14" t="str">
        <f>IFERROR(TP[[#This Row],[Costo Total Pza. MXN]]*TP[[#This Row],[CANTIDAD]],"Sin Datos")</f>
        <v>Sin Datos</v>
      </c>
      <c r="P161" s="29" t="str">
        <f>IFERROR((((TP[[#This Row],[Costo Total Pza. UDS]]*TP[[#This Row],[DÓLAR]])*$B$3)+(TP[[#This Row],[Costo Total Pza. UDS]]*TP[[#This Row],[DÓLAR]])),"Sin Datos")</f>
        <v>Sin Datos</v>
      </c>
      <c r="Q161" s="57"/>
      <c r="R16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1" s="29" t="str">
        <f>IFERROR(TP[[#This Row],[Costo Total Pza. MXN]]+TP[[#This Row],[Impuesto Unitario MXN]],"Sin Datos")</f>
        <v>Sin Datos</v>
      </c>
      <c r="T161" s="29" t="str">
        <f>IFERROR(TP[[#This Row],[Costo Costo]]*50%+TP[[#This Row],[Costo Costo]],"Sin Datos")</f>
        <v>Sin Datos</v>
      </c>
      <c r="U161" s="14" t="str">
        <f>IFERROR(TP[[#This Row],[Precio de Oficina]]-TP[[#This Row],[Costo Costo]],"Sin Datos")</f>
        <v>Sin Datos</v>
      </c>
      <c r="V161" s="29" t="str">
        <f>IFERROR(TP[[#This Row],[Precio de Oficina]]*14%+TP[[#This Row],[Precio de Oficina]],"Sin Datos")</f>
        <v>Sin Datos</v>
      </c>
      <c r="W161" s="29" t="str">
        <f>IFERROR(TP[[#This Row],[Precio de Oficina]]*20%+TP[[#This Row],[Precio de Oficina]],"Sin Datos")</f>
        <v>Sin Datos</v>
      </c>
      <c r="X161" s="30" t="str">
        <f>IFERROR(TP[[#This Row],[Precio de Wix]]*33.6%+TP[[#This Row],[Precio de Wix]]+100,"Sin Datos")</f>
        <v>Sin Datos</v>
      </c>
      <c r="Z161" s="8" t="s">
        <v>364</v>
      </c>
    </row>
    <row r="162" spans="1:26" x14ac:dyDescent="0.2">
      <c r="A162" s="36" t="s">
        <v>365</v>
      </c>
      <c r="B162" s="49"/>
      <c r="C162" s="49"/>
      <c r="D162" s="53"/>
      <c r="E162" s="52"/>
      <c r="F162" s="53"/>
      <c r="G162" s="28" t="str">
        <f>IFERROR(TP[[#This Row],[Costo Real Unitario USD]]*TP[[#This Row],[Costo de Envio Total UDS]]/TP[[#This Row],[Costo Total Pedido USD]], "Sin Datos")</f>
        <v>Sin Datos</v>
      </c>
      <c r="H162" s="9">
        <f>IFERROR(TP[[#This Row],[Costo Total Pedido USD]]+TP[[#This Row],[Costo de Envio Total UDS]],"Sin Datos")</f>
        <v>0</v>
      </c>
      <c r="I162" s="52"/>
      <c r="J162" s="9" t="str">
        <f>IFERROR((TP[[#This Row],[Costo Real Unitario USD]]*TP[[#This Row],[Impuesto UDS]])/TP[[#This Row],[Costo Total Pedido USD]],"Sin Datos")</f>
        <v>Sin Datos</v>
      </c>
      <c r="K162" s="9" t="str">
        <f>IFERROR(TP[[#This Row],[Costo Real Unitario USD]]+TP[[#This Row],[Costo de Envio Unitario UDS]]+TP[[#This Row],[Impuesto Unitario UDS]],"Sin Datos")</f>
        <v>Sin Datos</v>
      </c>
      <c r="L162" s="9">
        <f>IFERROR(TP[[#This Row],[Costo Total Pedido USD]]+TP[[#This Row],[Costo de Envio Total UDS]]+TP[[#This Row],[Impuesto UDS]],"Sin Datos")</f>
        <v>0</v>
      </c>
      <c r="M162" s="14">
        <f>IFERROR(((TP[[#This Row],[Costo Total Pedido USD]]*TP[[#This Row],[DÓLAR]])*$B$3)+(TP[[#This Row],[Costo Total Pedido USD]]*TP[[#This Row],[DÓLAR]]),"Sin Datos")</f>
        <v>0</v>
      </c>
      <c r="N16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2" s="14" t="str">
        <f>IFERROR(TP[[#This Row],[Costo Total Pza. MXN]]*TP[[#This Row],[CANTIDAD]],"Sin Datos")</f>
        <v>Sin Datos</v>
      </c>
      <c r="P162" s="29" t="str">
        <f>IFERROR((((TP[[#This Row],[Costo Total Pza. UDS]]*TP[[#This Row],[DÓLAR]])*$B$3)+(TP[[#This Row],[Costo Total Pza. UDS]]*TP[[#This Row],[DÓLAR]])),"Sin Datos")</f>
        <v>Sin Datos</v>
      </c>
      <c r="Q162" s="57"/>
      <c r="R16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2" s="29" t="str">
        <f>IFERROR(TP[[#This Row],[Costo Total Pza. MXN]]+TP[[#This Row],[Impuesto Unitario MXN]],"Sin Datos")</f>
        <v>Sin Datos</v>
      </c>
      <c r="T162" s="29" t="str">
        <f>IFERROR(TP[[#This Row],[Costo Costo]]*50%+TP[[#This Row],[Costo Costo]],"Sin Datos")</f>
        <v>Sin Datos</v>
      </c>
      <c r="U162" s="14" t="str">
        <f>IFERROR(TP[[#This Row],[Precio de Oficina]]-TP[[#This Row],[Costo Costo]],"Sin Datos")</f>
        <v>Sin Datos</v>
      </c>
      <c r="V162" s="29" t="str">
        <f>IFERROR(TP[[#This Row],[Precio de Oficina]]*14%+TP[[#This Row],[Precio de Oficina]],"Sin Datos")</f>
        <v>Sin Datos</v>
      </c>
      <c r="W162" s="29" t="str">
        <f>IFERROR(TP[[#This Row],[Precio de Oficina]]*20%+TP[[#This Row],[Precio de Oficina]],"Sin Datos")</f>
        <v>Sin Datos</v>
      </c>
      <c r="X162" s="30" t="str">
        <f>IFERROR(TP[[#This Row],[Precio de Wix]]*33.6%+TP[[#This Row],[Precio de Wix]]+100,"Sin Datos")</f>
        <v>Sin Datos</v>
      </c>
      <c r="Z162" s="8" t="s">
        <v>365</v>
      </c>
    </row>
    <row r="163" spans="1:26" x14ac:dyDescent="0.2">
      <c r="A163" s="36" t="s">
        <v>366</v>
      </c>
      <c r="B163" s="72">
        <v>19.940000000000001</v>
      </c>
      <c r="C163" s="49">
        <v>4</v>
      </c>
      <c r="D163" s="53">
        <v>135</v>
      </c>
      <c r="E163" s="52">
        <v>540</v>
      </c>
      <c r="F163" s="53">
        <v>540</v>
      </c>
      <c r="G163" s="28">
        <f>IFERROR(TP[[#This Row],[Costo Real Unitario USD]]*TP[[#This Row],[Costo de Envio Total UDS]]/TP[[#This Row],[Costo Total Pedido USD]], "Sin Datos")</f>
        <v>135</v>
      </c>
      <c r="H163" s="9">
        <f>IFERROR(TP[[#This Row],[Costo Total Pedido USD]]+TP[[#This Row],[Costo de Envio Total UDS]],"Sin Datos")</f>
        <v>1080</v>
      </c>
      <c r="I163" s="52"/>
      <c r="J163" s="9">
        <f>IFERROR((TP[[#This Row],[Costo Real Unitario USD]]*TP[[#This Row],[Impuesto UDS]])/TP[[#This Row],[Costo Total Pedido USD]],"Sin Datos")</f>
        <v>0</v>
      </c>
      <c r="K163" s="9">
        <f>IFERROR(TP[[#This Row],[Costo Real Unitario USD]]+TP[[#This Row],[Costo de Envio Unitario UDS]]+TP[[#This Row],[Impuesto Unitario UDS]],"Sin Datos")</f>
        <v>270</v>
      </c>
      <c r="L163" s="9">
        <f>IFERROR(TP[[#This Row],[Costo Total Pedido USD]]+TP[[#This Row],[Costo de Envio Total UDS]]+TP[[#This Row],[Impuesto UDS]],"Sin Datos")</f>
        <v>1080</v>
      </c>
      <c r="M163" s="14">
        <f>IFERROR(((TP[[#This Row],[Costo Total Pedido USD]]*TP[[#This Row],[DÓLAR]])*$B$3)+(TP[[#This Row],[Costo Total Pedido USD]]*TP[[#This Row],[DÓLAR]]),"Sin Datos")</f>
        <v>11305.98</v>
      </c>
      <c r="N16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22611.96</v>
      </c>
      <c r="O163" s="14">
        <f>IFERROR(TP[[#This Row],[Costo Total Pza. MXN]]*TP[[#This Row],[CANTIDAD]],"Sin Datos")</f>
        <v>22611.96</v>
      </c>
      <c r="P163" s="29">
        <f>IFERROR((((TP[[#This Row],[Costo Total Pza. UDS]]*TP[[#This Row],[DÓLAR]])*$B$3)+(TP[[#This Row],[Costo Total Pza. UDS]]*TP[[#This Row],[DÓLAR]])),"Sin Datos")</f>
        <v>5652.99</v>
      </c>
      <c r="Q163" s="57">
        <v>742.25</v>
      </c>
      <c r="R163" s="29">
        <f>IFERROR((((TP[[#This Row],[Costo Real Unitario USD]]*TP[[#This Row],[DÓLAR]])*$B$3)+(TP[[#This Row],[Costo Real Unitario USD]]*TP[[#This Row],[DÓLAR]]))*TP[[#This Row],[Impuesto MXN]]/TP[[#This Row],[Costo Real Pedido MXN]],"Sin Datos")</f>
        <v>185.5625</v>
      </c>
      <c r="S163" s="29">
        <f>IFERROR(TP[[#This Row],[Costo Total Pza. MXN]]+TP[[#This Row],[Impuesto Unitario MXN]],"Sin Datos")</f>
        <v>5838.5524999999998</v>
      </c>
      <c r="T163" s="29">
        <f>IFERROR(TP[[#This Row],[Costo Costo]]*50%+TP[[#This Row],[Costo Costo]],"Sin Datos")</f>
        <v>8757.8287500000006</v>
      </c>
      <c r="U163" s="14">
        <f>IFERROR(TP[[#This Row],[Precio de Oficina]]-TP[[#This Row],[Costo Costo]],"Sin Datos")</f>
        <v>2919.2762500000008</v>
      </c>
      <c r="V163" s="29">
        <f>IFERROR(TP[[#This Row],[Precio de Oficina]]*14%+TP[[#This Row],[Precio de Oficina]],"Sin Datos")</f>
        <v>9983.9247750000013</v>
      </c>
      <c r="W163" s="29">
        <f>IFERROR(TP[[#This Row],[Precio de Oficina]]*20%+TP[[#This Row],[Precio de Oficina]],"Sin Datos")</f>
        <v>10509.3945</v>
      </c>
      <c r="X163" s="30">
        <f>IFERROR(TP[[#This Row],[Precio de Wix]]*33.6%+TP[[#This Row],[Precio de Wix]]+100,"Sin Datos")</f>
        <v>14140.551052000001</v>
      </c>
      <c r="Z163" s="8" t="s">
        <v>366</v>
      </c>
    </row>
    <row r="164" spans="1:26" x14ac:dyDescent="0.2">
      <c r="A164" s="36" t="s">
        <v>367</v>
      </c>
      <c r="B164" s="72">
        <v>19.940000000000001</v>
      </c>
      <c r="C164" s="49">
        <v>4</v>
      </c>
      <c r="D164" s="53">
        <v>150</v>
      </c>
      <c r="E164" s="52">
        <v>600</v>
      </c>
      <c r="F164" s="53">
        <v>540</v>
      </c>
      <c r="G164" s="28">
        <f>IFERROR(TP[[#This Row],[Costo Real Unitario USD]]*TP[[#This Row],[Costo de Envio Total UDS]]/TP[[#This Row],[Costo Total Pedido USD]], "Sin Datos")</f>
        <v>135</v>
      </c>
      <c r="H164" s="9">
        <f>IFERROR(TP[[#This Row],[Costo Total Pedido USD]]+TP[[#This Row],[Costo de Envio Total UDS]],"Sin Datos")</f>
        <v>1140</v>
      </c>
      <c r="I164" s="52"/>
      <c r="J164" s="9">
        <f>IFERROR((TP[[#This Row],[Costo Real Unitario USD]]*TP[[#This Row],[Impuesto UDS]])/TP[[#This Row],[Costo Total Pedido USD]],"Sin Datos")</f>
        <v>0</v>
      </c>
      <c r="K164" s="9">
        <f>IFERROR(TP[[#This Row],[Costo Real Unitario USD]]+TP[[#This Row],[Costo de Envio Unitario UDS]]+TP[[#This Row],[Impuesto Unitario UDS]],"Sin Datos")</f>
        <v>285</v>
      </c>
      <c r="L164" s="9">
        <f>IFERROR(TP[[#This Row],[Costo Total Pedido USD]]+TP[[#This Row],[Costo de Envio Total UDS]]+TP[[#This Row],[Impuesto UDS]],"Sin Datos")</f>
        <v>1140</v>
      </c>
      <c r="M164" s="14">
        <f>IFERROR(((TP[[#This Row],[Costo Total Pedido USD]]*TP[[#This Row],[DÓLAR]])*$B$3)+(TP[[#This Row],[Costo Total Pedido USD]]*TP[[#This Row],[DÓLAR]]),"Sin Datos")</f>
        <v>12562.2</v>
      </c>
      <c r="N16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23868.180000000004</v>
      </c>
      <c r="O164" s="14">
        <f>IFERROR(TP[[#This Row],[Costo Total Pza. MXN]]*TP[[#This Row],[CANTIDAD]],"Sin Datos")</f>
        <v>23868.180000000004</v>
      </c>
      <c r="P164" s="29">
        <f>IFERROR((((TP[[#This Row],[Costo Total Pza. UDS]]*TP[[#This Row],[DÓLAR]])*$B$3)+(TP[[#This Row],[Costo Total Pza. UDS]]*TP[[#This Row],[DÓLAR]])),"Sin Datos")</f>
        <v>5967.045000000001</v>
      </c>
      <c r="Q164" s="57">
        <v>742.25</v>
      </c>
      <c r="R164" s="29">
        <f>IFERROR((((TP[[#This Row],[Costo Real Unitario USD]]*TP[[#This Row],[DÓLAR]])*$B$3)+(TP[[#This Row],[Costo Real Unitario USD]]*TP[[#This Row],[DÓLAR]]))*TP[[#This Row],[Impuesto MXN]]/TP[[#This Row],[Costo Real Pedido MXN]],"Sin Datos")</f>
        <v>185.5625</v>
      </c>
      <c r="S164" s="29">
        <f>IFERROR(TP[[#This Row],[Costo Total Pza. MXN]]+TP[[#This Row],[Impuesto Unitario MXN]],"Sin Datos")</f>
        <v>6152.607500000001</v>
      </c>
      <c r="T164" s="29">
        <f>IFERROR(TP[[#This Row],[Costo Costo]]*50%+TP[[#This Row],[Costo Costo]],"Sin Datos")</f>
        <v>9228.911250000001</v>
      </c>
      <c r="U164" s="14">
        <f>IFERROR(TP[[#This Row],[Precio de Oficina]]-TP[[#This Row],[Costo Costo]],"Sin Datos")</f>
        <v>3076.30375</v>
      </c>
      <c r="V164" s="29">
        <f>IFERROR(TP[[#This Row],[Precio de Oficina]]*14%+TP[[#This Row],[Precio de Oficina]],"Sin Datos")</f>
        <v>10520.958825000002</v>
      </c>
      <c r="W164" s="29">
        <f>IFERROR(TP[[#This Row],[Precio de Oficina]]*20%+TP[[#This Row],[Precio de Oficina]],"Sin Datos")</f>
        <v>11074.693500000001</v>
      </c>
      <c r="X164" s="30">
        <f>IFERROR(TP[[#This Row],[Precio de Wix]]*33.6%+TP[[#This Row],[Precio de Wix]]+100,"Sin Datos")</f>
        <v>14895.790516000001</v>
      </c>
      <c r="Z164" s="8" t="s">
        <v>367</v>
      </c>
    </row>
    <row r="165" spans="1:26" x14ac:dyDescent="0.2">
      <c r="A165" s="36" t="s">
        <v>368</v>
      </c>
      <c r="B165" s="49"/>
      <c r="C165" s="49"/>
      <c r="D165" s="53"/>
      <c r="E165" s="52"/>
      <c r="F165" s="53"/>
      <c r="G165" s="28" t="str">
        <f>IFERROR(TP[[#This Row],[Costo Real Unitario USD]]*TP[[#This Row],[Costo de Envio Total UDS]]/TP[[#This Row],[Costo Total Pedido USD]], "Sin Datos")</f>
        <v>Sin Datos</v>
      </c>
      <c r="H165" s="9">
        <f>IFERROR(TP[[#This Row],[Costo Total Pedido USD]]+TP[[#This Row],[Costo de Envio Total UDS]],"Sin Datos")</f>
        <v>0</v>
      </c>
      <c r="I165" s="52"/>
      <c r="J165" s="9" t="str">
        <f>IFERROR((TP[[#This Row],[Costo Real Unitario USD]]*TP[[#This Row],[Impuesto UDS]])/TP[[#This Row],[Costo Total Pedido USD]],"Sin Datos")</f>
        <v>Sin Datos</v>
      </c>
      <c r="K165" s="9" t="str">
        <f>IFERROR(TP[[#This Row],[Costo Real Unitario USD]]+TP[[#This Row],[Costo de Envio Unitario UDS]]+TP[[#This Row],[Impuesto Unitario UDS]],"Sin Datos")</f>
        <v>Sin Datos</v>
      </c>
      <c r="L165" s="9">
        <f>IFERROR(TP[[#This Row],[Costo Total Pedido USD]]+TP[[#This Row],[Costo de Envio Total UDS]]+TP[[#This Row],[Impuesto UDS]],"Sin Datos")</f>
        <v>0</v>
      </c>
      <c r="M165" s="14">
        <f>IFERROR(((TP[[#This Row],[Costo Total Pedido USD]]*TP[[#This Row],[DÓLAR]])*$B$3)+(TP[[#This Row],[Costo Total Pedido USD]]*TP[[#This Row],[DÓLAR]]),"Sin Datos")</f>
        <v>0</v>
      </c>
      <c r="N16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5" s="14" t="str">
        <f>IFERROR(TP[[#This Row],[Costo Total Pza. MXN]]*TP[[#This Row],[CANTIDAD]],"Sin Datos")</f>
        <v>Sin Datos</v>
      </c>
      <c r="P165" s="29" t="str">
        <f>IFERROR((((TP[[#This Row],[Costo Total Pza. UDS]]*TP[[#This Row],[DÓLAR]])*$B$3)+(TP[[#This Row],[Costo Total Pza. UDS]]*TP[[#This Row],[DÓLAR]])),"Sin Datos")</f>
        <v>Sin Datos</v>
      </c>
      <c r="Q165" s="57"/>
      <c r="R16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5" s="29" t="str">
        <f>IFERROR(TP[[#This Row],[Costo Total Pza. MXN]]+TP[[#This Row],[Impuesto Unitario MXN]],"Sin Datos")</f>
        <v>Sin Datos</v>
      </c>
      <c r="T165" s="29" t="str">
        <f>IFERROR(TP[[#This Row],[Costo Costo]]*50%+TP[[#This Row],[Costo Costo]],"Sin Datos")</f>
        <v>Sin Datos</v>
      </c>
      <c r="U165" s="14" t="str">
        <f>IFERROR(TP[[#This Row],[Precio de Oficina]]-TP[[#This Row],[Costo Costo]],"Sin Datos")</f>
        <v>Sin Datos</v>
      </c>
      <c r="V165" s="29" t="str">
        <f>IFERROR(TP[[#This Row],[Precio de Oficina]]*14%+TP[[#This Row],[Precio de Oficina]],"Sin Datos")</f>
        <v>Sin Datos</v>
      </c>
      <c r="W165" s="29" t="str">
        <f>IFERROR(TP[[#This Row],[Precio de Oficina]]*20%+TP[[#This Row],[Precio de Oficina]],"Sin Datos")</f>
        <v>Sin Datos</v>
      </c>
      <c r="X165" s="30" t="str">
        <f>IFERROR(TP[[#This Row],[Precio de Wix]]*33.6%+TP[[#This Row],[Precio de Wix]]+100,"Sin Datos")</f>
        <v>Sin Datos</v>
      </c>
      <c r="Z165" s="8" t="s">
        <v>368</v>
      </c>
    </row>
    <row r="166" spans="1:26" x14ac:dyDescent="0.2">
      <c r="A166" s="36" t="s">
        <v>369</v>
      </c>
      <c r="B166" s="49"/>
      <c r="C166" s="49"/>
      <c r="D166" s="53"/>
      <c r="E166" s="52"/>
      <c r="F166" s="53"/>
      <c r="G166" s="28" t="str">
        <f>IFERROR(TP[[#This Row],[Costo Real Unitario USD]]*TP[[#This Row],[Costo de Envio Total UDS]]/TP[[#This Row],[Costo Total Pedido USD]], "Sin Datos")</f>
        <v>Sin Datos</v>
      </c>
      <c r="H166" s="9">
        <f>IFERROR(TP[[#This Row],[Costo Total Pedido USD]]+TP[[#This Row],[Costo de Envio Total UDS]],"Sin Datos")</f>
        <v>0</v>
      </c>
      <c r="I166" s="52"/>
      <c r="J166" s="9" t="str">
        <f>IFERROR((TP[[#This Row],[Costo Real Unitario USD]]*TP[[#This Row],[Impuesto UDS]])/TP[[#This Row],[Costo Total Pedido USD]],"Sin Datos")</f>
        <v>Sin Datos</v>
      </c>
      <c r="K166" s="9" t="str">
        <f>IFERROR(TP[[#This Row],[Costo Real Unitario USD]]+TP[[#This Row],[Costo de Envio Unitario UDS]]+TP[[#This Row],[Impuesto Unitario UDS]],"Sin Datos")</f>
        <v>Sin Datos</v>
      </c>
      <c r="L166" s="9">
        <f>IFERROR(TP[[#This Row],[Costo Total Pedido USD]]+TP[[#This Row],[Costo de Envio Total UDS]]+TP[[#This Row],[Impuesto UDS]],"Sin Datos")</f>
        <v>0</v>
      </c>
      <c r="M166" s="14">
        <f>IFERROR(((TP[[#This Row],[Costo Total Pedido USD]]*TP[[#This Row],[DÓLAR]])*$B$3)+(TP[[#This Row],[Costo Total Pedido USD]]*TP[[#This Row],[DÓLAR]]),"Sin Datos")</f>
        <v>0</v>
      </c>
      <c r="N16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6" s="14" t="str">
        <f>IFERROR(TP[[#This Row],[Costo Total Pza. MXN]]*TP[[#This Row],[CANTIDAD]],"Sin Datos")</f>
        <v>Sin Datos</v>
      </c>
      <c r="P166" s="29" t="str">
        <f>IFERROR((((TP[[#This Row],[Costo Total Pza. UDS]]*TP[[#This Row],[DÓLAR]])*$B$3)+(TP[[#This Row],[Costo Total Pza. UDS]]*TP[[#This Row],[DÓLAR]])),"Sin Datos")</f>
        <v>Sin Datos</v>
      </c>
      <c r="Q166" s="57"/>
      <c r="R16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6" s="29" t="str">
        <f>IFERROR(TP[[#This Row],[Costo Total Pza. MXN]]+TP[[#This Row],[Impuesto Unitario MXN]],"Sin Datos")</f>
        <v>Sin Datos</v>
      </c>
      <c r="T166" s="29" t="str">
        <f>IFERROR(TP[[#This Row],[Costo Costo]]*50%+TP[[#This Row],[Costo Costo]],"Sin Datos")</f>
        <v>Sin Datos</v>
      </c>
      <c r="U166" s="14" t="str">
        <f>IFERROR(TP[[#This Row],[Precio de Oficina]]-TP[[#This Row],[Costo Costo]],"Sin Datos")</f>
        <v>Sin Datos</v>
      </c>
      <c r="V166" s="29" t="str">
        <f>IFERROR(TP[[#This Row],[Precio de Oficina]]*14%+TP[[#This Row],[Precio de Oficina]],"Sin Datos")</f>
        <v>Sin Datos</v>
      </c>
      <c r="W166" s="29" t="str">
        <f>IFERROR(TP[[#This Row],[Precio de Oficina]]*20%+TP[[#This Row],[Precio de Oficina]],"Sin Datos")</f>
        <v>Sin Datos</v>
      </c>
      <c r="X166" s="30" t="str">
        <f>IFERROR(TP[[#This Row],[Precio de Wix]]*33.6%+TP[[#This Row],[Precio de Wix]]+100,"Sin Datos")</f>
        <v>Sin Datos</v>
      </c>
      <c r="Z166" s="8" t="s">
        <v>369</v>
      </c>
    </row>
    <row r="167" spans="1:26" x14ac:dyDescent="0.2">
      <c r="A167" s="36" t="s">
        <v>371</v>
      </c>
      <c r="B167" s="49"/>
      <c r="C167" s="49"/>
      <c r="D167" s="53"/>
      <c r="E167" s="52"/>
      <c r="F167" s="53"/>
      <c r="G167" s="28" t="str">
        <f>IFERROR(TP[[#This Row],[Costo Real Unitario USD]]*TP[[#This Row],[Costo de Envio Total UDS]]/TP[[#This Row],[Costo Total Pedido USD]], "Sin Datos")</f>
        <v>Sin Datos</v>
      </c>
      <c r="H167" s="9">
        <f>IFERROR(TP[[#This Row],[Costo Total Pedido USD]]+TP[[#This Row],[Costo de Envio Total UDS]],"Sin Datos")</f>
        <v>0</v>
      </c>
      <c r="I167" s="52"/>
      <c r="J167" s="9" t="str">
        <f>IFERROR((TP[[#This Row],[Costo Real Unitario USD]]*TP[[#This Row],[Impuesto UDS]])/TP[[#This Row],[Costo Total Pedido USD]],"Sin Datos")</f>
        <v>Sin Datos</v>
      </c>
      <c r="K167" s="9" t="str">
        <f>IFERROR(TP[[#This Row],[Costo Real Unitario USD]]+TP[[#This Row],[Costo de Envio Unitario UDS]]+TP[[#This Row],[Impuesto Unitario UDS]],"Sin Datos")</f>
        <v>Sin Datos</v>
      </c>
      <c r="L167" s="9">
        <f>IFERROR(TP[[#This Row],[Costo Total Pedido USD]]+TP[[#This Row],[Costo de Envio Total UDS]]+TP[[#This Row],[Impuesto UDS]],"Sin Datos")</f>
        <v>0</v>
      </c>
      <c r="M167" s="14">
        <f>IFERROR(((TP[[#This Row],[Costo Total Pedido USD]]*TP[[#This Row],[DÓLAR]])*$B$3)+(TP[[#This Row],[Costo Total Pedido USD]]*TP[[#This Row],[DÓLAR]]),"Sin Datos")</f>
        <v>0</v>
      </c>
      <c r="N16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7" s="14" t="str">
        <f>IFERROR(TP[[#This Row],[Costo Total Pza. MXN]]*TP[[#This Row],[CANTIDAD]],"Sin Datos")</f>
        <v>Sin Datos</v>
      </c>
      <c r="P167" s="29" t="str">
        <f>IFERROR((((TP[[#This Row],[Costo Total Pza. UDS]]*TP[[#This Row],[DÓLAR]])*$B$3)+(TP[[#This Row],[Costo Total Pza. UDS]]*TP[[#This Row],[DÓLAR]])),"Sin Datos")</f>
        <v>Sin Datos</v>
      </c>
      <c r="Q167" s="57"/>
      <c r="R16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7" s="29" t="str">
        <f>IFERROR(TP[[#This Row],[Costo Total Pza. MXN]]+TP[[#This Row],[Impuesto Unitario MXN]],"Sin Datos")</f>
        <v>Sin Datos</v>
      </c>
      <c r="T167" s="29" t="str">
        <f>IFERROR(TP[[#This Row],[Costo Costo]]*50%+TP[[#This Row],[Costo Costo]],"Sin Datos")</f>
        <v>Sin Datos</v>
      </c>
      <c r="U167" s="14" t="str">
        <f>IFERROR(TP[[#This Row],[Precio de Oficina]]-TP[[#This Row],[Costo Costo]],"Sin Datos")</f>
        <v>Sin Datos</v>
      </c>
      <c r="V167" s="29" t="str">
        <f>IFERROR(TP[[#This Row],[Precio de Oficina]]*14%+TP[[#This Row],[Precio de Oficina]],"Sin Datos")</f>
        <v>Sin Datos</v>
      </c>
      <c r="W167" s="29" t="str">
        <f>IFERROR(TP[[#This Row],[Precio de Oficina]]*20%+TP[[#This Row],[Precio de Oficina]],"Sin Datos")</f>
        <v>Sin Datos</v>
      </c>
      <c r="X167" s="30" t="str">
        <f>IFERROR(TP[[#This Row],[Precio de Wix]]*33.6%+TP[[#This Row],[Precio de Wix]]+100,"Sin Datos")</f>
        <v>Sin Datos</v>
      </c>
      <c r="Z167" s="8" t="s">
        <v>371</v>
      </c>
    </row>
    <row r="168" spans="1:26" x14ac:dyDescent="0.2">
      <c r="A168" s="36" t="s">
        <v>372</v>
      </c>
      <c r="B168" s="49"/>
      <c r="C168" s="49"/>
      <c r="D168" s="53"/>
      <c r="E168" s="52"/>
      <c r="F168" s="53"/>
      <c r="G168" s="28" t="str">
        <f>IFERROR(TP[[#This Row],[Costo Real Unitario USD]]*TP[[#This Row],[Costo de Envio Total UDS]]/TP[[#This Row],[Costo Total Pedido USD]], "Sin Datos")</f>
        <v>Sin Datos</v>
      </c>
      <c r="H168" s="9">
        <f>IFERROR(TP[[#This Row],[Costo Total Pedido USD]]+TP[[#This Row],[Costo de Envio Total UDS]],"Sin Datos")</f>
        <v>0</v>
      </c>
      <c r="I168" s="52"/>
      <c r="J168" s="9" t="str">
        <f>IFERROR((TP[[#This Row],[Costo Real Unitario USD]]*TP[[#This Row],[Impuesto UDS]])/TP[[#This Row],[Costo Total Pedido USD]],"Sin Datos")</f>
        <v>Sin Datos</v>
      </c>
      <c r="K168" s="9" t="str">
        <f>IFERROR(TP[[#This Row],[Costo Real Unitario USD]]+TP[[#This Row],[Costo de Envio Unitario UDS]]+TP[[#This Row],[Impuesto Unitario UDS]],"Sin Datos")</f>
        <v>Sin Datos</v>
      </c>
      <c r="L168" s="9">
        <f>IFERROR(TP[[#This Row],[Costo Total Pedido USD]]+TP[[#This Row],[Costo de Envio Total UDS]]+TP[[#This Row],[Impuesto UDS]],"Sin Datos")</f>
        <v>0</v>
      </c>
      <c r="M168" s="14">
        <f>IFERROR(((TP[[#This Row],[Costo Total Pedido USD]]*TP[[#This Row],[DÓLAR]])*$B$3)+(TP[[#This Row],[Costo Total Pedido USD]]*TP[[#This Row],[DÓLAR]]),"Sin Datos")</f>
        <v>0</v>
      </c>
      <c r="N16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8" s="14" t="str">
        <f>IFERROR(TP[[#This Row],[Costo Total Pza. MXN]]*TP[[#This Row],[CANTIDAD]],"Sin Datos")</f>
        <v>Sin Datos</v>
      </c>
      <c r="P168" s="29" t="str">
        <f>IFERROR((((TP[[#This Row],[Costo Total Pza. UDS]]*TP[[#This Row],[DÓLAR]])*$B$3)+(TP[[#This Row],[Costo Total Pza. UDS]]*TP[[#This Row],[DÓLAR]])),"Sin Datos")</f>
        <v>Sin Datos</v>
      </c>
      <c r="Q168" s="57"/>
      <c r="R16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8" s="29" t="str">
        <f>IFERROR(TP[[#This Row],[Costo Total Pza. MXN]]+TP[[#This Row],[Impuesto Unitario MXN]],"Sin Datos")</f>
        <v>Sin Datos</v>
      </c>
      <c r="T168" s="29" t="str">
        <f>IFERROR(TP[[#This Row],[Costo Costo]]*50%+TP[[#This Row],[Costo Costo]],"Sin Datos")</f>
        <v>Sin Datos</v>
      </c>
      <c r="U168" s="14" t="str">
        <f>IFERROR(TP[[#This Row],[Precio de Oficina]]-TP[[#This Row],[Costo Costo]],"Sin Datos")</f>
        <v>Sin Datos</v>
      </c>
      <c r="V168" s="29" t="str">
        <f>IFERROR(TP[[#This Row],[Precio de Oficina]]*14%+TP[[#This Row],[Precio de Oficina]],"Sin Datos")</f>
        <v>Sin Datos</v>
      </c>
      <c r="W168" s="29" t="str">
        <f>IFERROR(TP[[#This Row],[Precio de Oficina]]*20%+TP[[#This Row],[Precio de Oficina]],"Sin Datos")</f>
        <v>Sin Datos</v>
      </c>
      <c r="X168" s="30" t="str">
        <f>IFERROR(TP[[#This Row],[Precio de Wix]]*33.6%+TP[[#This Row],[Precio de Wix]]+100,"Sin Datos")</f>
        <v>Sin Datos</v>
      </c>
      <c r="Z168" s="8" t="s">
        <v>372</v>
      </c>
    </row>
    <row r="169" spans="1:26" x14ac:dyDescent="0.2">
      <c r="A169" s="36" t="s">
        <v>373</v>
      </c>
      <c r="B169" s="49"/>
      <c r="C169" s="49"/>
      <c r="D169" s="53"/>
      <c r="E169" s="52"/>
      <c r="F169" s="53"/>
      <c r="G169" s="28" t="str">
        <f>IFERROR(TP[[#This Row],[Costo Real Unitario USD]]*TP[[#This Row],[Costo de Envio Total UDS]]/TP[[#This Row],[Costo Total Pedido USD]], "Sin Datos")</f>
        <v>Sin Datos</v>
      </c>
      <c r="H169" s="9">
        <f>IFERROR(TP[[#This Row],[Costo Total Pedido USD]]+TP[[#This Row],[Costo de Envio Total UDS]],"Sin Datos")</f>
        <v>0</v>
      </c>
      <c r="I169" s="52"/>
      <c r="J169" s="9" t="str">
        <f>IFERROR((TP[[#This Row],[Costo Real Unitario USD]]*TP[[#This Row],[Impuesto UDS]])/TP[[#This Row],[Costo Total Pedido USD]],"Sin Datos")</f>
        <v>Sin Datos</v>
      </c>
      <c r="K169" s="9" t="str">
        <f>IFERROR(TP[[#This Row],[Costo Real Unitario USD]]+TP[[#This Row],[Costo de Envio Unitario UDS]]+TP[[#This Row],[Impuesto Unitario UDS]],"Sin Datos")</f>
        <v>Sin Datos</v>
      </c>
      <c r="L169" s="9">
        <f>IFERROR(TP[[#This Row],[Costo Total Pedido USD]]+TP[[#This Row],[Costo de Envio Total UDS]]+TP[[#This Row],[Impuesto UDS]],"Sin Datos")</f>
        <v>0</v>
      </c>
      <c r="M169" s="14">
        <f>IFERROR(((TP[[#This Row],[Costo Total Pedido USD]]*TP[[#This Row],[DÓLAR]])*$B$3)+(TP[[#This Row],[Costo Total Pedido USD]]*TP[[#This Row],[DÓLAR]]),"Sin Datos")</f>
        <v>0</v>
      </c>
      <c r="N16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69" s="14" t="str">
        <f>IFERROR(TP[[#This Row],[Costo Total Pza. MXN]]*TP[[#This Row],[CANTIDAD]],"Sin Datos")</f>
        <v>Sin Datos</v>
      </c>
      <c r="P169" s="29" t="str">
        <f>IFERROR((((TP[[#This Row],[Costo Total Pza. UDS]]*TP[[#This Row],[DÓLAR]])*$B$3)+(TP[[#This Row],[Costo Total Pza. UDS]]*TP[[#This Row],[DÓLAR]])),"Sin Datos")</f>
        <v>Sin Datos</v>
      </c>
      <c r="Q169" s="57"/>
      <c r="R16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69" s="29" t="str">
        <f>IFERROR(TP[[#This Row],[Costo Total Pza. MXN]]+TP[[#This Row],[Impuesto Unitario MXN]],"Sin Datos")</f>
        <v>Sin Datos</v>
      </c>
      <c r="T169" s="29" t="str">
        <f>IFERROR(TP[[#This Row],[Costo Costo]]*50%+TP[[#This Row],[Costo Costo]],"Sin Datos")</f>
        <v>Sin Datos</v>
      </c>
      <c r="U169" s="14" t="str">
        <f>IFERROR(TP[[#This Row],[Precio de Oficina]]-TP[[#This Row],[Costo Costo]],"Sin Datos")</f>
        <v>Sin Datos</v>
      </c>
      <c r="V169" s="29" t="str">
        <f>IFERROR(TP[[#This Row],[Precio de Oficina]]*14%+TP[[#This Row],[Precio de Oficina]],"Sin Datos")</f>
        <v>Sin Datos</v>
      </c>
      <c r="W169" s="29" t="str">
        <f>IFERROR(TP[[#This Row],[Precio de Oficina]]*20%+TP[[#This Row],[Precio de Oficina]],"Sin Datos")</f>
        <v>Sin Datos</v>
      </c>
      <c r="X169" s="30" t="str">
        <f>IFERROR(TP[[#This Row],[Precio de Wix]]*33.6%+TP[[#This Row],[Precio de Wix]]+100,"Sin Datos")</f>
        <v>Sin Datos</v>
      </c>
      <c r="Z169" s="8" t="s">
        <v>373</v>
      </c>
    </row>
    <row r="170" spans="1:26" x14ac:dyDescent="0.2">
      <c r="A170" s="36" t="s">
        <v>374</v>
      </c>
      <c r="B170" s="72">
        <v>20.04</v>
      </c>
      <c r="C170" s="49">
        <v>10</v>
      </c>
      <c r="D170" s="53">
        <v>51</v>
      </c>
      <c r="E170" s="52">
        <v>1240</v>
      </c>
      <c r="F170" s="53">
        <v>1618</v>
      </c>
      <c r="G170" s="28">
        <f>IFERROR(TP[[#This Row],[Costo Real Unitario USD]]*TP[[#This Row],[Costo de Envio Total UDS]]/TP[[#This Row],[Costo Total Pedido USD]], "Sin Datos")</f>
        <v>66.546774193548387</v>
      </c>
      <c r="H170" s="9">
        <f>IFERROR(TP[[#This Row],[Costo Total Pedido USD]]+TP[[#This Row],[Costo de Envio Total UDS]],"Sin Datos")</f>
        <v>2858</v>
      </c>
      <c r="I170" s="52"/>
      <c r="J170" s="9">
        <f>IFERROR((TP[[#This Row],[Costo Real Unitario USD]]*TP[[#This Row],[Impuesto UDS]])/TP[[#This Row],[Costo Total Pedido USD]],"Sin Datos")</f>
        <v>0</v>
      </c>
      <c r="K170" s="9">
        <f>IFERROR(TP[[#This Row],[Costo Real Unitario USD]]+TP[[#This Row],[Costo de Envio Unitario UDS]]+TP[[#This Row],[Impuesto Unitario UDS]],"Sin Datos")</f>
        <v>117.54677419354839</v>
      </c>
      <c r="L170" s="9">
        <f>IFERROR(TP[[#This Row],[Costo Total Pedido USD]]+TP[[#This Row],[Costo de Envio Total UDS]]+TP[[#This Row],[Impuesto UDS]],"Sin Datos")</f>
        <v>2858</v>
      </c>
      <c r="M170" s="14">
        <f>IFERROR(((TP[[#This Row],[Costo Total Pedido USD]]*TP[[#This Row],[DÓLAR]])*$B$3)+(TP[[#This Row],[Costo Total Pedido USD]]*TP[[#This Row],[DÓLAR]]),"Sin Datos")</f>
        <v>26092.079999999998</v>
      </c>
      <c r="N17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60138.036</v>
      </c>
      <c r="O170" s="14">
        <f>IFERROR(TP[[#This Row],[Costo Total Pza. MXN]]*TP[[#This Row],[CANTIDAD]],"Sin Datos")</f>
        <v>24734.192225806451</v>
      </c>
      <c r="P170" s="29">
        <f>IFERROR((((TP[[#This Row],[Costo Total Pza. UDS]]*TP[[#This Row],[DÓLAR]])*$B$3)+(TP[[#This Row],[Costo Total Pza. UDS]]*TP[[#This Row],[DÓLAR]])),"Sin Datos")</f>
        <v>2473.4192225806451</v>
      </c>
      <c r="Q170" s="57">
        <v>2900</v>
      </c>
      <c r="R170" s="29">
        <f>IFERROR((((TP[[#This Row],[Costo Real Unitario USD]]*TP[[#This Row],[DÓLAR]])*$B$3)+(TP[[#This Row],[Costo Real Unitario USD]]*TP[[#This Row],[DÓLAR]]))*TP[[#This Row],[Impuesto MXN]]/TP[[#This Row],[Costo Real Pedido MXN]],"Sin Datos")</f>
        <v>119.27419354838712</v>
      </c>
      <c r="S170" s="29">
        <f>IFERROR(TP[[#This Row],[Costo Total Pza. MXN]]+TP[[#This Row],[Impuesto Unitario MXN]],"Sin Datos")</f>
        <v>2592.6934161290324</v>
      </c>
      <c r="T170" s="29">
        <f>IFERROR(TP[[#This Row],[Costo Costo]]*50%+TP[[#This Row],[Costo Costo]],"Sin Datos")</f>
        <v>3889.0401241935488</v>
      </c>
      <c r="U170" s="14">
        <f>IFERROR(TP[[#This Row],[Precio de Oficina]]-TP[[#This Row],[Costo Costo]],"Sin Datos")</f>
        <v>1296.3467080645164</v>
      </c>
      <c r="V170" s="29">
        <f>IFERROR(TP[[#This Row],[Precio de Oficina]]*14%+TP[[#This Row],[Precio de Oficina]],"Sin Datos")</f>
        <v>4433.5057415806459</v>
      </c>
      <c r="W170" s="29">
        <f>IFERROR(TP[[#This Row],[Precio de Oficina]]*20%+TP[[#This Row],[Precio de Oficina]],"Sin Datos")</f>
        <v>4666.8481490322583</v>
      </c>
      <c r="X170" s="30">
        <f>IFERROR(TP[[#This Row],[Precio de Wix]]*33.6%+TP[[#This Row],[Precio de Wix]]+100,"Sin Datos")</f>
        <v>6334.9091271070974</v>
      </c>
      <c r="Z170" s="8" t="s">
        <v>374</v>
      </c>
    </row>
    <row r="171" spans="1:26" x14ac:dyDescent="0.2">
      <c r="A171" s="36" t="s">
        <v>375</v>
      </c>
      <c r="B171" s="49"/>
      <c r="C171" s="49"/>
      <c r="D171" s="53"/>
      <c r="E171" s="52"/>
      <c r="F171" s="53"/>
      <c r="G171" s="28" t="str">
        <f>IFERROR(TP[[#This Row],[Costo Real Unitario USD]]*TP[[#This Row],[Costo de Envio Total UDS]]/TP[[#This Row],[Costo Total Pedido USD]], "Sin Datos")</f>
        <v>Sin Datos</v>
      </c>
      <c r="H171" s="9">
        <f>IFERROR(TP[[#This Row],[Costo Total Pedido USD]]+TP[[#This Row],[Costo de Envio Total UDS]],"Sin Datos")</f>
        <v>0</v>
      </c>
      <c r="I171" s="52"/>
      <c r="J171" s="9" t="str">
        <f>IFERROR((TP[[#This Row],[Costo Real Unitario USD]]*TP[[#This Row],[Impuesto UDS]])/TP[[#This Row],[Costo Total Pedido USD]],"Sin Datos")</f>
        <v>Sin Datos</v>
      </c>
      <c r="K171" s="9" t="str">
        <f>IFERROR(TP[[#This Row],[Costo Real Unitario USD]]+TP[[#This Row],[Costo de Envio Unitario UDS]]+TP[[#This Row],[Impuesto Unitario UDS]],"Sin Datos")</f>
        <v>Sin Datos</v>
      </c>
      <c r="L171" s="9">
        <f>IFERROR(TP[[#This Row],[Costo Total Pedido USD]]+TP[[#This Row],[Costo de Envio Total UDS]]+TP[[#This Row],[Impuesto UDS]],"Sin Datos")</f>
        <v>0</v>
      </c>
      <c r="M171" s="14">
        <f>IFERROR(((TP[[#This Row],[Costo Total Pedido USD]]*TP[[#This Row],[DÓLAR]])*$B$3)+(TP[[#This Row],[Costo Total Pedido USD]]*TP[[#This Row],[DÓLAR]]),"Sin Datos")</f>
        <v>0</v>
      </c>
      <c r="N17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1" s="14" t="str">
        <f>IFERROR(TP[[#This Row],[Costo Total Pza. MXN]]*TP[[#This Row],[CANTIDAD]],"Sin Datos")</f>
        <v>Sin Datos</v>
      </c>
      <c r="P171" s="29" t="str">
        <f>IFERROR((((TP[[#This Row],[Costo Total Pza. UDS]]*TP[[#This Row],[DÓLAR]])*$B$3)+(TP[[#This Row],[Costo Total Pza. UDS]]*TP[[#This Row],[DÓLAR]])),"Sin Datos")</f>
        <v>Sin Datos</v>
      </c>
      <c r="Q171" s="57"/>
      <c r="R17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1" s="29" t="str">
        <f>IFERROR(TP[[#This Row],[Costo Total Pza. MXN]]+TP[[#This Row],[Impuesto Unitario MXN]],"Sin Datos")</f>
        <v>Sin Datos</v>
      </c>
      <c r="T171" s="29" t="str">
        <f>IFERROR(TP[[#This Row],[Costo Costo]]*50%+TP[[#This Row],[Costo Costo]],"Sin Datos")</f>
        <v>Sin Datos</v>
      </c>
      <c r="U171" s="14" t="str">
        <f>IFERROR(TP[[#This Row],[Precio de Oficina]]-TP[[#This Row],[Costo Costo]],"Sin Datos")</f>
        <v>Sin Datos</v>
      </c>
      <c r="V171" s="29" t="str">
        <f>IFERROR(TP[[#This Row],[Precio de Oficina]]*14%+TP[[#This Row],[Precio de Oficina]],"Sin Datos")</f>
        <v>Sin Datos</v>
      </c>
      <c r="W171" s="29" t="str">
        <f>IFERROR(TP[[#This Row],[Precio de Oficina]]*20%+TP[[#This Row],[Precio de Oficina]],"Sin Datos")</f>
        <v>Sin Datos</v>
      </c>
      <c r="X171" s="30" t="str">
        <f>IFERROR(TP[[#This Row],[Precio de Wix]]*33.6%+TP[[#This Row],[Precio de Wix]]+100,"Sin Datos")</f>
        <v>Sin Datos</v>
      </c>
      <c r="Z171" s="8" t="s">
        <v>375</v>
      </c>
    </row>
    <row r="172" spans="1:26" x14ac:dyDescent="0.2">
      <c r="A172" s="36" t="s">
        <v>377</v>
      </c>
      <c r="B172" s="49"/>
      <c r="C172" s="49"/>
      <c r="D172" s="53"/>
      <c r="E172" s="52"/>
      <c r="F172" s="53"/>
      <c r="G172" s="28" t="str">
        <f>IFERROR(TP[[#This Row],[Costo Real Unitario USD]]*TP[[#This Row],[Costo de Envio Total UDS]]/TP[[#This Row],[Costo Total Pedido USD]], "Sin Datos")</f>
        <v>Sin Datos</v>
      </c>
      <c r="H172" s="9">
        <f>IFERROR(TP[[#This Row],[Costo Total Pedido USD]]+TP[[#This Row],[Costo de Envio Total UDS]],"Sin Datos")</f>
        <v>0</v>
      </c>
      <c r="I172" s="52"/>
      <c r="J172" s="9" t="str">
        <f>IFERROR((TP[[#This Row],[Costo Real Unitario USD]]*TP[[#This Row],[Impuesto UDS]])/TP[[#This Row],[Costo Total Pedido USD]],"Sin Datos")</f>
        <v>Sin Datos</v>
      </c>
      <c r="K172" s="9" t="str">
        <f>IFERROR(TP[[#This Row],[Costo Real Unitario USD]]+TP[[#This Row],[Costo de Envio Unitario UDS]]+TP[[#This Row],[Impuesto Unitario UDS]],"Sin Datos")</f>
        <v>Sin Datos</v>
      </c>
      <c r="L172" s="9">
        <f>IFERROR(TP[[#This Row],[Costo Total Pedido USD]]+TP[[#This Row],[Costo de Envio Total UDS]]+TP[[#This Row],[Impuesto UDS]],"Sin Datos")</f>
        <v>0</v>
      </c>
      <c r="M172" s="14">
        <f>IFERROR(((TP[[#This Row],[Costo Total Pedido USD]]*TP[[#This Row],[DÓLAR]])*$B$3)+(TP[[#This Row],[Costo Total Pedido USD]]*TP[[#This Row],[DÓLAR]]),"Sin Datos")</f>
        <v>0</v>
      </c>
      <c r="N17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2" s="14" t="str">
        <f>IFERROR(TP[[#This Row],[Costo Total Pza. MXN]]*TP[[#This Row],[CANTIDAD]],"Sin Datos")</f>
        <v>Sin Datos</v>
      </c>
      <c r="P172" s="29" t="str">
        <f>IFERROR((((TP[[#This Row],[Costo Total Pza. UDS]]*TP[[#This Row],[DÓLAR]])*$B$3)+(TP[[#This Row],[Costo Total Pza. UDS]]*TP[[#This Row],[DÓLAR]])),"Sin Datos")</f>
        <v>Sin Datos</v>
      </c>
      <c r="Q172" s="57"/>
      <c r="R17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2" s="29" t="str">
        <f>IFERROR(TP[[#This Row],[Costo Total Pza. MXN]]+TP[[#This Row],[Impuesto Unitario MXN]],"Sin Datos")</f>
        <v>Sin Datos</v>
      </c>
      <c r="T172" s="29" t="str">
        <f>IFERROR(TP[[#This Row],[Costo Costo]]*50%+TP[[#This Row],[Costo Costo]],"Sin Datos")</f>
        <v>Sin Datos</v>
      </c>
      <c r="U172" s="14" t="str">
        <f>IFERROR(TP[[#This Row],[Precio de Oficina]]-TP[[#This Row],[Costo Costo]],"Sin Datos")</f>
        <v>Sin Datos</v>
      </c>
      <c r="V172" s="29" t="str">
        <f>IFERROR(TP[[#This Row],[Precio de Oficina]]*14%+TP[[#This Row],[Precio de Oficina]],"Sin Datos")</f>
        <v>Sin Datos</v>
      </c>
      <c r="W172" s="29" t="str">
        <f>IFERROR(TP[[#This Row],[Precio de Oficina]]*20%+TP[[#This Row],[Precio de Oficina]],"Sin Datos")</f>
        <v>Sin Datos</v>
      </c>
      <c r="X172" s="30" t="str">
        <f>IFERROR(TP[[#This Row],[Precio de Wix]]*33.6%+TP[[#This Row],[Precio de Wix]]+100,"Sin Datos")</f>
        <v>Sin Datos</v>
      </c>
      <c r="Z172" s="8" t="s">
        <v>377</v>
      </c>
    </row>
    <row r="173" spans="1:26" x14ac:dyDescent="0.2">
      <c r="A173" s="36" t="s">
        <v>378</v>
      </c>
      <c r="B173" s="72">
        <v>20.04</v>
      </c>
      <c r="C173" s="49">
        <v>10</v>
      </c>
      <c r="D173" s="53">
        <v>73</v>
      </c>
      <c r="E173" s="52">
        <v>1240</v>
      </c>
      <c r="F173" s="53">
        <v>1618</v>
      </c>
      <c r="G173" s="28">
        <f>IFERROR(TP[[#This Row],[Costo Real Unitario USD]]*TP[[#This Row],[Costo de Envio Total UDS]]/TP[[#This Row],[Costo Total Pedido USD]], "Sin Datos")</f>
        <v>95.25322580645161</v>
      </c>
      <c r="H173" s="9">
        <f>IFERROR(TP[[#This Row],[Costo Total Pedido USD]]+TP[[#This Row],[Costo de Envio Total UDS]],"Sin Datos")</f>
        <v>2858</v>
      </c>
      <c r="I173" s="52"/>
      <c r="J173" s="9">
        <f>IFERROR((TP[[#This Row],[Costo Real Unitario USD]]*TP[[#This Row],[Impuesto UDS]])/TP[[#This Row],[Costo Total Pedido USD]],"Sin Datos")</f>
        <v>0</v>
      </c>
      <c r="K173" s="9">
        <f>IFERROR(TP[[#This Row],[Costo Real Unitario USD]]+TP[[#This Row],[Costo de Envio Unitario UDS]]+TP[[#This Row],[Impuesto Unitario UDS]],"Sin Datos")</f>
        <v>168.25322580645161</v>
      </c>
      <c r="L173" s="9">
        <f>IFERROR(TP[[#This Row],[Costo Total Pedido USD]]+TP[[#This Row],[Costo de Envio Total UDS]]+TP[[#This Row],[Impuesto UDS]],"Sin Datos")</f>
        <v>2858</v>
      </c>
      <c r="M173" s="14">
        <f>IFERROR(((TP[[#This Row],[Costo Total Pedido USD]]*TP[[#This Row],[DÓLAR]])*$B$3)+(TP[[#This Row],[Costo Total Pedido USD]]*TP[[#This Row],[DÓLAR]]),"Sin Datos")</f>
        <v>26092.079999999998</v>
      </c>
      <c r="N17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60138.036</v>
      </c>
      <c r="O173" s="14">
        <f>IFERROR(TP[[#This Row],[Costo Total Pza. MXN]]*TP[[#This Row],[CANTIDAD]],"Sin Datos")</f>
        <v>35403.843774193549</v>
      </c>
      <c r="P173" s="29">
        <f>IFERROR((((TP[[#This Row],[Costo Total Pza. UDS]]*TP[[#This Row],[DÓLAR]])*$B$3)+(TP[[#This Row],[Costo Total Pza. UDS]]*TP[[#This Row],[DÓLAR]])),"Sin Datos")</f>
        <v>3540.3843774193547</v>
      </c>
      <c r="Q173" s="57">
        <v>2900</v>
      </c>
      <c r="R173" s="29">
        <f>IFERROR((((TP[[#This Row],[Costo Real Unitario USD]]*TP[[#This Row],[DÓLAR]])*$B$3)+(TP[[#This Row],[Costo Real Unitario USD]]*TP[[#This Row],[DÓLAR]]))*TP[[#This Row],[Impuesto MXN]]/TP[[#This Row],[Costo Real Pedido MXN]],"Sin Datos")</f>
        <v>170.7258064516129</v>
      </c>
      <c r="S173" s="29">
        <f>IFERROR(TP[[#This Row],[Costo Total Pza. MXN]]+TP[[#This Row],[Impuesto Unitario MXN]],"Sin Datos")</f>
        <v>3711.1101838709674</v>
      </c>
      <c r="T173" s="29">
        <f>IFERROR(TP[[#This Row],[Costo Costo]]*50%+TP[[#This Row],[Costo Costo]],"Sin Datos")</f>
        <v>5566.6652758064511</v>
      </c>
      <c r="U173" s="14">
        <f>IFERROR(TP[[#This Row],[Precio de Oficina]]-TP[[#This Row],[Costo Costo]],"Sin Datos")</f>
        <v>1855.5550919354837</v>
      </c>
      <c r="V173" s="29">
        <f>IFERROR(TP[[#This Row],[Precio de Oficina]]*14%+TP[[#This Row],[Precio de Oficina]],"Sin Datos")</f>
        <v>6345.998414419354</v>
      </c>
      <c r="W173" s="29">
        <f>IFERROR(TP[[#This Row],[Precio de Oficina]]*20%+TP[[#This Row],[Precio de Oficina]],"Sin Datos")</f>
        <v>6679.9983309677409</v>
      </c>
      <c r="X173" s="30">
        <f>IFERROR(TP[[#This Row],[Precio de Wix]]*33.6%+TP[[#This Row],[Precio de Wix]]+100,"Sin Datos")</f>
        <v>9024.4777701729017</v>
      </c>
      <c r="Z173" s="8" t="s">
        <v>378</v>
      </c>
    </row>
    <row r="174" spans="1:26" x14ac:dyDescent="0.2">
      <c r="A174" s="36" t="s">
        <v>379</v>
      </c>
      <c r="B174" s="49"/>
      <c r="C174" s="49"/>
      <c r="D174" s="53"/>
      <c r="E174" s="52"/>
      <c r="F174" s="53"/>
      <c r="G174" s="28" t="str">
        <f>IFERROR(TP[[#This Row],[Costo Real Unitario USD]]*TP[[#This Row],[Costo de Envio Total UDS]]/TP[[#This Row],[Costo Total Pedido USD]], "Sin Datos")</f>
        <v>Sin Datos</v>
      </c>
      <c r="H174" s="9">
        <f>IFERROR(TP[[#This Row],[Costo Total Pedido USD]]+TP[[#This Row],[Costo de Envio Total UDS]],"Sin Datos")</f>
        <v>0</v>
      </c>
      <c r="I174" s="52"/>
      <c r="J174" s="9" t="str">
        <f>IFERROR((TP[[#This Row],[Costo Real Unitario USD]]*TP[[#This Row],[Impuesto UDS]])/TP[[#This Row],[Costo Total Pedido USD]],"Sin Datos")</f>
        <v>Sin Datos</v>
      </c>
      <c r="K174" s="9" t="str">
        <f>IFERROR(TP[[#This Row],[Costo Real Unitario USD]]+TP[[#This Row],[Costo de Envio Unitario UDS]]+TP[[#This Row],[Impuesto Unitario UDS]],"Sin Datos")</f>
        <v>Sin Datos</v>
      </c>
      <c r="L174" s="9">
        <f>IFERROR(TP[[#This Row],[Costo Total Pedido USD]]+TP[[#This Row],[Costo de Envio Total UDS]]+TP[[#This Row],[Impuesto UDS]],"Sin Datos")</f>
        <v>0</v>
      </c>
      <c r="M174" s="14">
        <f>IFERROR(((TP[[#This Row],[Costo Total Pedido USD]]*TP[[#This Row],[DÓLAR]])*$B$3)+(TP[[#This Row],[Costo Total Pedido USD]]*TP[[#This Row],[DÓLAR]]),"Sin Datos")</f>
        <v>0</v>
      </c>
      <c r="N17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4" s="14" t="str">
        <f>IFERROR(TP[[#This Row],[Costo Total Pza. MXN]]*TP[[#This Row],[CANTIDAD]],"Sin Datos")</f>
        <v>Sin Datos</v>
      </c>
      <c r="P174" s="29" t="str">
        <f>IFERROR((((TP[[#This Row],[Costo Total Pza. UDS]]*TP[[#This Row],[DÓLAR]])*$B$3)+(TP[[#This Row],[Costo Total Pza. UDS]]*TP[[#This Row],[DÓLAR]])),"Sin Datos")</f>
        <v>Sin Datos</v>
      </c>
      <c r="Q174" s="57"/>
      <c r="R17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4" s="29" t="str">
        <f>IFERROR(TP[[#This Row],[Costo Total Pza. MXN]]+TP[[#This Row],[Impuesto Unitario MXN]],"Sin Datos")</f>
        <v>Sin Datos</v>
      </c>
      <c r="T174" s="29" t="str">
        <f>IFERROR(TP[[#This Row],[Costo Costo]]*50%+TP[[#This Row],[Costo Costo]],"Sin Datos")</f>
        <v>Sin Datos</v>
      </c>
      <c r="U174" s="14" t="str">
        <f>IFERROR(TP[[#This Row],[Precio de Oficina]]-TP[[#This Row],[Costo Costo]],"Sin Datos")</f>
        <v>Sin Datos</v>
      </c>
      <c r="V174" s="29" t="str">
        <f>IFERROR(TP[[#This Row],[Precio de Oficina]]*14%+TP[[#This Row],[Precio de Oficina]],"Sin Datos")</f>
        <v>Sin Datos</v>
      </c>
      <c r="W174" s="29" t="str">
        <f>IFERROR(TP[[#This Row],[Precio de Oficina]]*20%+TP[[#This Row],[Precio de Oficina]],"Sin Datos")</f>
        <v>Sin Datos</v>
      </c>
      <c r="X174" s="30" t="str">
        <f>IFERROR(TP[[#This Row],[Precio de Wix]]*33.6%+TP[[#This Row],[Precio de Wix]]+100,"Sin Datos")</f>
        <v>Sin Datos</v>
      </c>
      <c r="Z174" s="8" t="s">
        <v>379</v>
      </c>
    </row>
    <row r="175" spans="1:26" x14ac:dyDescent="0.2">
      <c r="A175" s="36" t="s">
        <v>380</v>
      </c>
      <c r="B175" s="49"/>
      <c r="C175" s="49"/>
      <c r="D175" s="53"/>
      <c r="E175" s="52"/>
      <c r="F175" s="53"/>
      <c r="G175" s="28" t="str">
        <f>IFERROR(TP[[#This Row],[Costo Real Unitario USD]]*TP[[#This Row],[Costo de Envio Total UDS]]/TP[[#This Row],[Costo Total Pedido USD]], "Sin Datos")</f>
        <v>Sin Datos</v>
      </c>
      <c r="H175" s="9">
        <f>IFERROR(TP[[#This Row],[Costo Total Pedido USD]]+TP[[#This Row],[Costo de Envio Total UDS]],"Sin Datos")</f>
        <v>0</v>
      </c>
      <c r="I175" s="52"/>
      <c r="J175" s="9" t="str">
        <f>IFERROR((TP[[#This Row],[Costo Real Unitario USD]]*TP[[#This Row],[Impuesto UDS]])/TP[[#This Row],[Costo Total Pedido USD]],"Sin Datos")</f>
        <v>Sin Datos</v>
      </c>
      <c r="K175" s="9" t="str">
        <f>IFERROR(TP[[#This Row],[Costo Real Unitario USD]]+TP[[#This Row],[Costo de Envio Unitario UDS]]+TP[[#This Row],[Impuesto Unitario UDS]],"Sin Datos")</f>
        <v>Sin Datos</v>
      </c>
      <c r="L175" s="9">
        <f>IFERROR(TP[[#This Row],[Costo Total Pedido USD]]+TP[[#This Row],[Costo de Envio Total UDS]]+TP[[#This Row],[Impuesto UDS]],"Sin Datos")</f>
        <v>0</v>
      </c>
      <c r="M175" s="14">
        <f>IFERROR(((TP[[#This Row],[Costo Total Pedido USD]]*TP[[#This Row],[DÓLAR]])*$B$3)+(TP[[#This Row],[Costo Total Pedido USD]]*TP[[#This Row],[DÓLAR]]),"Sin Datos")</f>
        <v>0</v>
      </c>
      <c r="N17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5" s="14" t="str">
        <f>IFERROR(TP[[#This Row],[Costo Total Pza. MXN]]*TP[[#This Row],[CANTIDAD]],"Sin Datos")</f>
        <v>Sin Datos</v>
      </c>
      <c r="P175" s="29" t="str">
        <f>IFERROR((((TP[[#This Row],[Costo Total Pza. UDS]]*TP[[#This Row],[DÓLAR]])*$B$3)+(TP[[#This Row],[Costo Total Pza. UDS]]*TP[[#This Row],[DÓLAR]])),"Sin Datos")</f>
        <v>Sin Datos</v>
      </c>
      <c r="Q175" s="57"/>
      <c r="R17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5" s="29" t="str">
        <f>IFERROR(TP[[#This Row],[Costo Total Pza. MXN]]+TP[[#This Row],[Impuesto Unitario MXN]],"Sin Datos")</f>
        <v>Sin Datos</v>
      </c>
      <c r="T175" s="29" t="str">
        <f>IFERROR(TP[[#This Row],[Costo Costo]]*50%+TP[[#This Row],[Costo Costo]],"Sin Datos")</f>
        <v>Sin Datos</v>
      </c>
      <c r="U175" s="14" t="str">
        <f>IFERROR(TP[[#This Row],[Precio de Oficina]]-TP[[#This Row],[Costo Costo]],"Sin Datos")</f>
        <v>Sin Datos</v>
      </c>
      <c r="V175" s="29" t="str">
        <f>IFERROR(TP[[#This Row],[Precio de Oficina]]*14%+TP[[#This Row],[Precio de Oficina]],"Sin Datos")</f>
        <v>Sin Datos</v>
      </c>
      <c r="W175" s="29" t="str">
        <f>IFERROR(TP[[#This Row],[Precio de Oficina]]*20%+TP[[#This Row],[Precio de Oficina]],"Sin Datos")</f>
        <v>Sin Datos</v>
      </c>
      <c r="X175" s="30" t="str">
        <f>IFERROR(TP[[#This Row],[Precio de Wix]]*33.6%+TP[[#This Row],[Precio de Wix]]+100,"Sin Datos")</f>
        <v>Sin Datos</v>
      </c>
      <c r="Z175" s="8" t="s">
        <v>380</v>
      </c>
    </row>
    <row r="176" spans="1:26" x14ac:dyDescent="0.2">
      <c r="A176" s="36" t="s">
        <v>381</v>
      </c>
      <c r="B176" s="49"/>
      <c r="C176" s="49"/>
      <c r="D176" s="53"/>
      <c r="E176" s="52"/>
      <c r="F176" s="53"/>
      <c r="G176" s="28" t="str">
        <f>IFERROR(TP[[#This Row],[Costo Real Unitario USD]]*TP[[#This Row],[Costo de Envio Total UDS]]/TP[[#This Row],[Costo Total Pedido USD]], "Sin Datos")</f>
        <v>Sin Datos</v>
      </c>
      <c r="H176" s="9">
        <f>IFERROR(TP[[#This Row],[Costo Total Pedido USD]]+TP[[#This Row],[Costo de Envio Total UDS]],"Sin Datos")</f>
        <v>0</v>
      </c>
      <c r="I176" s="52"/>
      <c r="J176" s="9" t="str">
        <f>IFERROR((TP[[#This Row],[Costo Real Unitario USD]]*TP[[#This Row],[Impuesto UDS]])/TP[[#This Row],[Costo Total Pedido USD]],"Sin Datos")</f>
        <v>Sin Datos</v>
      </c>
      <c r="K176" s="9" t="str">
        <f>IFERROR(TP[[#This Row],[Costo Real Unitario USD]]+TP[[#This Row],[Costo de Envio Unitario UDS]]+TP[[#This Row],[Impuesto Unitario UDS]],"Sin Datos")</f>
        <v>Sin Datos</v>
      </c>
      <c r="L176" s="9">
        <f>IFERROR(TP[[#This Row],[Costo Total Pedido USD]]+TP[[#This Row],[Costo de Envio Total UDS]]+TP[[#This Row],[Impuesto UDS]],"Sin Datos")</f>
        <v>0</v>
      </c>
      <c r="M176" s="14">
        <f>IFERROR(((TP[[#This Row],[Costo Total Pedido USD]]*TP[[#This Row],[DÓLAR]])*$B$3)+(TP[[#This Row],[Costo Total Pedido USD]]*TP[[#This Row],[DÓLAR]]),"Sin Datos")</f>
        <v>0</v>
      </c>
      <c r="N17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6" s="14" t="str">
        <f>IFERROR(TP[[#This Row],[Costo Total Pza. MXN]]*TP[[#This Row],[CANTIDAD]],"Sin Datos")</f>
        <v>Sin Datos</v>
      </c>
      <c r="P176" s="29" t="str">
        <f>IFERROR((((TP[[#This Row],[Costo Total Pza. UDS]]*TP[[#This Row],[DÓLAR]])*$B$3)+(TP[[#This Row],[Costo Total Pza. UDS]]*TP[[#This Row],[DÓLAR]])),"Sin Datos")</f>
        <v>Sin Datos</v>
      </c>
      <c r="Q176" s="57"/>
      <c r="R17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6" s="29" t="str">
        <f>IFERROR(TP[[#This Row],[Costo Total Pza. MXN]]+TP[[#This Row],[Impuesto Unitario MXN]],"Sin Datos")</f>
        <v>Sin Datos</v>
      </c>
      <c r="T176" s="29" t="str">
        <f>IFERROR(TP[[#This Row],[Costo Costo]]*50%+TP[[#This Row],[Costo Costo]],"Sin Datos")</f>
        <v>Sin Datos</v>
      </c>
      <c r="U176" s="14" t="str">
        <f>IFERROR(TP[[#This Row],[Precio de Oficina]]-TP[[#This Row],[Costo Costo]],"Sin Datos")</f>
        <v>Sin Datos</v>
      </c>
      <c r="V176" s="29" t="str">
        <f>IFERROR(TP[[#This Row],[Precio de Oficina]]*14%+TP[[#This Row],[Precio de Oficina]],"Sin Datos")</f>
        <v>Sin Datos</v>
      </c>
      <c r="W176" s="29" t="str">
        <f>IFERROR(TP[[#This Row],[Precio de Oficina]]*20%+TP[[#This Row],[Precio de Oficina]],"Sin Datos")</f>
        <v>Sin Datos</v>
      </c>
      <c r="X176" s="30" t="str">
        <f>IFERROR(TP[[#This Row],[Precio de Wix]]*33.6%+TP[[#This Row],[Precio de Wix]]+100,"Sin Datos")</f>
        <v>Sin Datos</v>
      </c>
      <c r="Z176" s="8" t="s">
        <v>381</v>
      </c>
    </row>
    <row r="177" spans="1:26" x14ac:dyDescent="0.2">
      <c r="A177" s="36" t="s">
        <v>382</v>
      </c>
      <c r="B177" s="49"/>
      <c r="C177" s="49"/>
      <c r="D177" s="53"/>
      <c r="E177" s="52"/>
      <c r="F177" s="53"/>
      <c r="G177" s="28" t="str">
        <f>IFERROR(TP[[#This Row],[Costo Real Unitario USD]]*TP[[#This Row],[Costo de Envio Total UDS]]/TP[[#This Row],[Costo Total Pedido USD]], "Sin Datos")</f>
        <v>Sin Datos</v>
      </c>
      <c r="H177" s="9">
        <f>IFERROR(TP[[#This Row],[Costo Total Pedido USD]]+TP[[#This Row],[Costo de Envio Total UDS]],"Sin Datos")</f>
        <v>0</v>
      </c>
      <c r="I177" s="52"/>
      <c r="J177" s="9" t="str">
        <f>IFERROR((TP[[#This Row],[Costo Real Unitario USD]]*TP[[#This Row],[Impuesto UDS]])/TP[[#This Row],[Costo Total Pedido USD]],"Sin Datos")</f>
        <v>Sin Datos</v>
      </c>
      <c r="K177" s="9" t="str">
        <f>IFERROR(TP[[#This Row],[Costo Real Unitario USD]]+TP[[#This Row],[Costo de Envio Unitario UDS]]+TP[[#This Row],[Impuesto Unitario UDS]],"Sin Datos")</f>
        <v>Sin Datos</v>
      </c>
      <c r="L177" s="9">
        <f>IFERROR(TP[[#This Row],[Costo Total Pedido USD]]+TP[[#This Row],[Costo de Envio Total UDS]]+TP[[#This Row],[Impuesto UDS]],"Sin Datos")</f>
        <v>0</v>
      </c>
      <c r="M177" s="14">
        <f>IFERROR(((TP[[#This Row],[Costo Total Pedido USD]]*TP[[#This Row],[DÓLAR]])*$B$3)+(TP[[#This Row],[Costo Total Pedido USD]]*TP[[#This Row],[DÓLAR]]),"Sin Datos")</f>
        <v>0</v>
      </c>
      <c r="N17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7" s="14" t="str">
        <f>IFERROR(TP[[#This Row],[Costo Total Pza. MXN]]*TP[[#This Row],[CANTIDAD]],"Sin Datos")</f>
        <v>Sin Datos</v>
      </c>
      <c r="P177" s="29" t="str">
        <f>IFERROR((((TP[[#This Row],[Costo Total Pza. UDS]]*TP[[#This Row],[DÓLAR]])*$B$3)+(TP[[#This Row],[Costo Total Pza. UDS]]*TP[[#This Row],[DÓLAR]])),"Sin Datos")</f>
        <v>Sin Datos</v>
      </c>
      <c r="Q177" s="57"/>
      <c r="R17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7" s="29" t="str">
        <f>IFERROR(TP[[#This Row],[Costo Total Pza. MXN]]+TP[[#This Row],[Impuesto Unitario MXN]],"Sin Datos")</f>
        <v>Sin Datos</v>
      </c>
      <c r="T177" s="29" t="str">
        <f>IFERROR(TP[[#This Row],[Costo Costo]]*50%+TP[[#This Row],[Costo Costo]],"Sin Datos")</f>
        <v>Sin Datos</v>
      </c>
      <c r="U177" s="14" t="str">
        <f>IFERROR(TP[[#This Row],[Precio de Oficina]]-TP[[#This Row],[Costo Costo]],"Sin Datos")</f>
        <v>Sin Datos</v>
      </c>
      <c r="V177" s="29" t="str">
        <f>IFERROR(TP[[#This Row],[Precio de Oficina]]*14%+TP[[#This Row],[Precio de Oficina]],"Sin Datos")</f>
        <v>Sin Datos</v>
      </c>
      <c r="W177" s="29" t="str">
        <f>IFERROR(TP[[#This Row],[Precio de Oficina]]*20%+TP[[#This Row],[Precio de Oficina]],"Sin Datos")</f>
        <v>Sin Datos</v>
      </c>
      <c r="X177" s="30" t="str">
        <f>IFERROR(TP[[#This Row],[Precio de Wix]]*33.6%+TP[[#This Row],[Precio de Wix]]+100,"Sin Datos")</f>
        <v>Sin Datos</v>
      </c>
      <c r="Z177" s="8" t="s">
        <v>382</v>
      </c>
    </row>
    <row r="178" spans="1:26" x14ac:dyDescent="0.2">
      <c r="A178" s="36" t="s">
        <v>383</v>
      </c>
      <c r="B178" s="49"/>
      <c r="C178" s="49"/>
      <c r="D178" s="53"/>
      <c r="E178" s="52"/>
      <c r="F178" s="53"/>
      <c r="G178" s="28" t="str">
        <f>IFERROR(TP[[#This Row],[Costo Real Unitario USD]]*TP[[#This Row],[Costo de Envio Total UDS]]/TP[[#This Row],[Costo Total Pedido USD]], "Sin Datos")</f>
        <v>Sin Datos</v>
      </c>
      <c r="H178" s="9">
        <f>IFERROR(TP[[#This Row],[Costo Total Pedido USD]]+TP[[#This Row],[Costo de Envio Total UDS]],"Sin Datos")</f>
        <v>0</v>
      </c>
      <c r="I178" s="52"/>
      <c r="J178" s="9" t="str">
        <f>IFERROR((TP[[#This Row],[Costo Real Unitario USD]]*TP[[#This Row],[Impuesto UDS]])/TP[[#This Row],[Costo Total Pedido USD]],"Sin Datos")</f>
        <v>Sin Datos</v>
      </c>
      <c r="K178" s="9" t="str">
        <f>IFERROR(TP[[#This Row],[Costo Real Unitario USD]]+TP[[#This Row],[Costo de Envio Unitario UDS]]+TP[[#This Row],[Impuesto Unitario UDS]],"Sin Datos")</f>
        <v>Sin Datos</v>
      </c>
      <c r="L178" s="9">
        <f>IFERROR(TP[[#This Row],[Costo Total Pedido USD]]+TP[[#This Row],[Costo de Envio Total UDS]]+TP[[#This Row],[Impuesto UDS]],"Sin Datos")</f>
        <v>0</v>
      </c>
      <c r="M178" s="14">
        <f>IFERROR(((TP[[#This Row],[Costo Total Pedido USD]]*TP[[#This Row],[DÓLAR]])*$B$3)+(TP[[#This Row],[Costo Total Pedido USD]]*TP[[#This Row],[DÓLAR]]),"Sin Datos")</f>
        <v>0</v>
      </c>
      <c r="N17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8" s="14" t="str">
        <f>IFERROR(TP[[#This Row],[Costo Total Pza. MXN]]*TP[[#This Row],[CANTIDAD]],"Sin Datos")</f>
        <v>Sin Datos</v>
      </c>
      <c r="P178" s="29" t="str">
        <f>IFERROR((((TP[[#This Row],[Costo Total Pza. UDS]]*TP[[#This Row],[DÓLAR]])*$B$3)+(TP[[#This Row],[Costo Total Pza. UDS]]*TP[[#This Row],[DÓLAR]])),"Sin Datos")</f>
        <v>Sin Datos</v>
      </c>
      <c r="Q178" s="57"/>
      <c r="R17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8" s="29" t="str">
        <f>IFERROR(TP[[#This Row],[Costo Total Pza. MXN]]+TP[[#This Row],[Impuesto Unitario MXN]],"Sin Datos")</f>
        <v>Sin Datos</v>
      </c>
      <c r="T178" s="29" t="str">
        <f>IFERROR(TP[[#This Row],[Costo Costo]]*50%+TP[[#This Row],[Costo Costo]],"Sin Datos")</f>
        <v>Sin Datos</v>
      </c>
      <c r="U178" s="14" t="str">
        <f>IFERROR(TP[[#This Row],[Precio de Oficina]]-TP[[#This Row],[Costo Costo]],"Sin Datos")</f>
        <v>Sin Datos</v>
      </c>
      <c r="V178" s="29" t="str">
        <f>IFERROR(TP[[#This Row],[Precio de Oficina]]*14%+TP[[#This Row],[Precio de Oficina]],"Sin Datos")</f>
        <v>Sin Datos</v>
      </c>
      <c r="W178" s="29" t="str">
        <f>IFERROR(TP[[#This Row],[Precio de Oficina]]*20%+TP[[#This Row],[Precio de Oficina]],"Sin Datos")</f>
        <v>Sin Datos</v>
      </c>
      <c r="X178" s="30" t="str">
        <f>IFERROR(TP[[#This Row],[Precio de Wix]]*33.6%+TP[[#This Row],[Precio de Wix]]+100,"Sin Datos")</f>
        <v>Sin Datos</v>
      </c>
      <c r="Z178" s="8" t="s">
        <v>383</v>
      </c>
    </row>
    <row r="179" spans="1:26" x14ac:dyDescent="0.2">
      <c r="A179" s="36" t="s">
        <v>384</v>
      </c>
      <c r="B179" s="49"/>
      <c r="C179" s="49"/>
      <c r="D179" s="53"/>
      <c r="E179" s="52"/>
      <c r="F179" s="53"/>
      <c r="G179" s="28" t="str">
        <f>IFERROR(TP[[#This Row],[Costo Real Unitario USD]]*TP[[#This Row],[Costo de Envio Total UDS]]/TP[[#This Row],[Costo Total Pedido USD]], "Sin Datos")</f>
        <v>Sin Datos</v>
      </c>
      <c r="H179" s="9">
        <f>IFERROR(TP[[#This Row],[Costo Total Pedido USD]]+TP[[#This Row],[Costo de Envio Total UDS]],"Sin Datos")</f>
        <v>0</v>
      </c>
      <c r="I179" s="52"/>
      <c r="J179" s="9" t="str">
        <f>IFERROR((TP[[#This Row],[Costo Real Unitario USD]]*TP[[#This Row],[Impuesto UDS]])/TP[[#This Row],[Costo Total Pedido USD]],"Sin Datos")</f>
        <v>Sin Datos</v>
      </c>
      <c r="K179" s="9" t="str">
        <f>IFERROR(TP[[#This Row],[Costo Real Unitario USD]]+TP[[#This Row],[Costo de Envio Unitario UDS]]+TP[[#This Row],[Impuesto Unitario UDS]],"Sin Datos")</f>
        <v>Sin Datos</v>
      </c>
      <c r="L179" s="9">
        <f>IFERROR(TP[[#This Row],[Costo Total Pedido USD]]+TP[[#This Row],[Costo de Envio Total UDS]]+TP[[#This Row],[Impuesto UDS]],"Sin Datos")</f>
        <v>0</v>
      </c>
      <c r="M179" s="14">
        <f>IFERROR(((TP[[#This Row],[Costo Total Pedido USD]]*TP[[#This Row],[DÓLAR]])*$B$3)+(TP[[#This Row],[Costo Total Pedido USD]]*TP[[#This Row],[DÓLAR]]),"Sin Datos")</f>
        <v>0</v>
      </c>
      <c r="N17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79" s="14" t="str">
        <f>IFERROR(TP[[#This Row],[Costo Total Pza. MXN]]*TP[[#This Row],[CANTIDAD]],"Sin Datos")</f>
        <v>Sin Datos</v>
      </c>
      <c r="P179" s="29" t="str">
        <f>IFERROR((((TP[[#This Row],[Costo Total Pza. UDS]]*TP[[#This Row],[DÓLAR]])*$B$3)+(TP[[#This Row],[Costo Total Pza. UDS]]*TP[[#This Row],[DÓLAR]])),"Sin Datos")</f>
        <v>Sin Datos</v>
      </c>
      <c r="Q179" s="57"/>
      <c r="R17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79" s="29" t="str">
        <f>IFERROR(TP[[#This Row],[Costo Total Pza. MXN]]+TP[[#This Row],[Impuesto Unitario MXN]],"Sin Datos")</f>
        <v>Sin Datos</v>
      </c>
      <c r="T179" s="29" t="str">
        <f>IFERROR(TP[[#This Row],[Costo Costo]]*50%+TP[[#This Row],[Costo Costo]],"Sin Datos")</f>
        <v>Sin Datos</v>
      </c>
      <c r="U179" s="14" t="str">
        <f>IFERROR(TP[[#This Row],[Precio de Oficina]]-TP[[#This Row],[Costo Costo]],"Sin Datos")</f>
        <v>Sin Datos</v>
      </c>
      <c r="V179" s="29" t="str">
        <f>IFERROR(TP[[#This Row],[Precio de Oficina]]*14%+TP[[#This Row],[Precio de Oficina]],"Sin Datos")</f>
        <v>Sin Datos</v>
      </c>
      <c r="W179" s="29" t="str">
        <f>IFERROR(TP[[#This Row],[Precio de Oficina]]*20%+TP[[#This Row],[Precio de Oficina]],"Sin Datos")</f>
        <v>Sin Datos</v>
      </c>
      <c r="X179" s="30" t="str">
        <f>IFERROR(TP[[#This Row],[Precio de Wix]]*33.6%+TP[[#This Row],[Precio de Wix]]+100,"Sin Datos")</f>
        <v>Sin Datos</v>
      </c>
      <c r="Z179" s="8" t="s">
        <v>384</v>
      </c>
    </row>
    <row r="180" spans="1:26" x14ac:dyDescent="0.2">
      <c r="A180" s="36" t="s">
        <v>385</v>
      </c>
      <c r="B180" s="49"/>
      <c r="C180" s="49"/>
      <c r="D180" s="53"/>
      <c r="E180" s="52"/>
      <c r="F180" s="53"/>
      <c r="G180" s="28" t="str">
        <f>IFERROR(TP[[#This Row],[Costo Real Unitario USD]]*TP[[#This Row],[Costo de Envio Total UDS]]/TP[[#This Row],[Costo Total Pedido USD]], "Sin Datos")</f>
        <v>Sin Datos</v>
      </c>
      <c r="H180" s="9">
        <f>IFERROR(TP[[#This Row],[Costo Total Pedido USD]]+TP[[#This Row],[Costo de Envio Total UDS]],"Sin Datos")</f>
        <v>0</v>
      </c>
      <c r="I180" s="52"/>
      <c r="J180" s="9" t="str">
        <f>IFERROR((TP[[#This Row],[Costo Real Unitario USD]]*TP[[#This Row],[Impuesto UDS]])/TP[[#This Row],[Costo Total Pedido USD]],"Sin Datos")</f>
        <v>Sin Datos</v>
      </c>
      <c r="K180" s="9" t="str">
        <f>IFERROR(TP[[#This Row],[Costo Real Unitario USD]]+TP[[#This Row],[Costo de Envio Unitario UDS]]+TP[[#This Row],[Impuesto Unitario UDS]],"Sin Datos")</f>
        <v>Sin Datos</v>
      </c>
      <c r="L180" s="9">
        <f>IFERROR(TP[[#This Row],[Costo Total Pedido USD]]+TP[[#This Row],[Costo de Envio Total UDS]]+TP[[#This Row],[Impuesto UDS]],"Sin Datos")</f>
        <v>0</v>
      </c>
      <c r="M180" s="14">
        <f>IFERROR(((TP[[#This Row],[Costo Total Pedido USD]]*TP[[#This Row],[DÓLAR]])*$B$3)+(TP[[#This Row],[Costo Total Pedido USD]]*TP[[#This Row],[DÓLAR]]),"Sin Datos")</f>
        <v>0</v>
      </c>
      <c r="N18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0" s="14" t="str">
        <f>IFERROR(TP[[#This Row],[Costo Total Pza. MXN]]*TP[[#This Row],[CANTIDAD]],"Sin Datos")</f>
        <v>Sin Datos</v>
      </c>
      <c r="P180" s="29" t="str">
        <f>IFERROR((((TP[[#This Row],[Costo Total Pza. UDS]]*TP[[#This Row],[DÓLAR]])*$B$3)+(TP[[#This Row],[Costo Total Pza. UDS]]*TP[[#This Row],[DÓLAR]])),"Sin Datos")</f>
        <v>Sin Datos</v>
      </c>
      <c r="Q180" s="57"/>
      <c r="R18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0" s="29" t="str">
        <f>IFERROR(TP[[#This Row],[Costo Total Pza. MXN]]+TP[[#This Row],[Impuesto Unitario MXN]],"Sin Datos")</f>
        <v>Sin Datos</v>
      </c>
      <c r="T180" s="29" t="str">
        <f>IFERROR(TP[[#This Row],[Costo Costo]]*50%+TP[[#This Row],[Costo Costo]],"Sin Datos")</f>
        <v>Sin Datos</v>
      </c>
      <c r="U180" s="14" t="str">
        <f>IFERROR(TP[[#This Row],[Precio de Oficina]]-TP[[#This Row],[Costo Costo]],"Sin Datos")</f>
        <v>Sin Datos</v>
      </c>
      <c r="V180" s="29" t="str">
        <f>IFERROR(TP[[#This Row],[Precio de Oficina]]*14%+TP[[#This Row],[Precio de Oficina]],"Sin Datos")</f>
        <v>Sin Datos</v>
      </c>
      <c r="W180" s="29" t="str">
        <f>IFERROR(TP[[#This Row],[Precio de Oficina]]*20%+TP[[#This Row],[Precio de Oficina]],"Sin Datos")</f>
        <v>Sin Datos</v>
      </c>
      <c r="X180" s="30" t="str">
        <f>IFERROR(TP[[#This Row],[Precio de Wix]]*33.6%+TP[[#This Row],[Precio de Wix]]+100,"Sin Datos")</f>
        <v>Sin Datos</v>
      </c>
      <c r="Z180" s="8" t="s">
        <v>385</v>
      </c>
    </row>
    <row r="181" spans="1:26" x14ac:dyDescent="0.2">
      <c r="A181" s="36" t="s">
        <v>386</v>
      </c>
      <c r="B181" s="49"/>
      <c r="C181" s="49"/>
      <c r="D181" s="53"/>
      <c r="E181" s="52"/>
      <c r="F181" s="53"/>
      <c r="G181" s="28" t="str">
        <f>IFERROR(TP[[#This Row],[Costo Real Unitario USD]]*TP[[#This Row],[Costo de Envio Total UDS]]/TP[[#This Row],[Costo Total Pedido USD]], "Sin Datos")</f>
        <v>Sin Datos</v>
      </c>
      <c r="H181" s="9">
        <f>IFERROR(TP[[#This Row],[Costo Total Pedido USD]]+TP[[#This Row],[Costo de Envio Total UDS]],"Sin Datos")</f>
        <v>0</v>
      </c>
      <c r="I181" s="52"/>
      <c r="J181" s="9" t="str">
        <f>IFERROR((TP[[#This Row],[Costo Real Unitario USD]]*TP[[#This Row],[Impuesto UDS]])/TP[[#This Row],[Costo Total Pedido USD]],"Sin Datos")</f>
        <v>Sin Datos</v>
      </c>
      <c r="K181" s="9" t="str">
        <f>IFERROR(TP[[#This Row],[Costo Real Unitario USD]]+TP[[#This Row],[Costo de Envio Unitario UDS]]+TP[[#This Row],[Impuesto Unitario UDS]],"Sin Datos")</f>
        <v>Sin Datos</v>
      </c>
      <c r="L181" s="9">
        <f>IFERROR(TP[[#This Row],[Costo Total Pedido USD]]+TP[[#This Row],[Costo de Envio Total UDS]]+TP[[#This Row],[Impuesto UDS]],"Sin Datos")</f>
        <v>0</v>
      </c>
      <c r="M181" s="14">
        <f>IFERROR(((TP[[#This Row],[Costo Total Pedido USD]]*TP[[#This Row],[DÓLAR]])*$B$3)+(TP[[#This Row],[Costo Total Pedido USD]]*TP[[#This Row],[DÓLAR]]),"Sin Datos")</f>
        <v>0</v>
      </c>
      <c r="N18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1" s="14" t="str">
        <f>IFERROR(TP[[#This Row],[Costo Total Pza. MXN]]*TP[[#This Row],[CANTIDAD]],"Sin Datos")</f>
        <v>Sin Datos</v>
      </c>
      <c r="P181" s="29" t="str">
        <f>IFERROR((((TP[[#This Row],[Costo Total Pza. UDS]]*TP[[#This Row],[DÓLAR]])*$B$3)+(TP[[#This Row],[Costo Total Pza. UDS]]*TP[[#This Row],[DÓLAR]])),"Sin Datos")</f>
        <v>Sin Datos</v>
      </c>
      <c r="Q181" s="57"/>
      <c r="R18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1" s="29" t="str">
        <f>IFERROR(TP[[#This Row],[Costo Total Pza. MXN]]+TP[[#This Row],[Impuesto Unitario MXN]],"Sin Datos")</f>
        <v>Sin Datos</v>
      </c>
      <c r="T181" s="29" t="str">
        <f>IFERROR(TP[[#This Row],[Costo Costo]]*50%+TP[[#This Row],[Costo Costo]],"Sin Datos")</f>
        <v>Sin Datos</v>
      </c>
      <c r="U181" s="14" t="str">
        <f>IFERROR(TP[[#This Row],[Precio de Oficina]]-TP[[#This Row],[Costo Costo]],"Sin Datos")</f>
        <v>Sin Datos</v>
      </c>
      <c r="V181" s="29" t="str">
        <f>IFERROR(TP[[#This Row],[Precio de Oficina]]*14%+TP[[#This Row],[Precio de Oficina]],"Sin Datos")</f>
        <v>Sin Datos</v>
      </c>
      <c r="W181" s="29" t="str">
        <f>IFERROR(TP[[#This Row],[Precio de Oficina]]*20%+TP[[#This Row],[Precio de Oficina]],"Sin Datos")</f>
        <v>Sin Datos</v>
      </c>
      <c r="X181" s="30" t="str">
        <f>IFERROR(TP[[#This Row],[Precio de Wix]]*33.6%+TP[[#This Row],[Precio de Wix]]+100,"Sin Datos")</f>
        <v>Sin Datos</v>
      </c>
      <c r="Z181" s="8" t="s">
        <v>386</v>
      </c>
    </row>
    <row r="182" spans="1:26" x14ac:dyDescent="0.2">
      <c r="A182" s="36" t="s">
        <v>387</v>
      </c>
      <c r="B182" s="49"/>
      <c r="C182" s="49"/>
      <c r="D182" s="53"/>
      <c r="E182" s="52"/>
      <c r="F182" s="53"/>
      <c r="G182" s="28" t="str">
        <f>IFERROR(TP[[#This Row],[Costo Real Unitario USD]]*TP[[#This Row],[Costo de Envio Total UDS]]/TP[[#This Row],[Costo Total Pedido USD]], "Sin Datos")</f>
        <v>Sin Datos</v>
      </c>
      <c r="H182" s="9">
        <f>IFERROR(TP[[#This Row],[Costo Total Pedido USD]]+TP[[#This Row],[Costo de Envio Total UDS]],"Sin Datos")</f>
        <v>0</v>
      </c>
      <c r="I182" s="52"/>
      <c r="J182" s="9" t="str">
        <f>IFERROR((TP[[#This Row],[Costo Real Unitario USD]]*TP[[#This Row],[Impuesto UDS]])/TP[[#This Row],[Costo Total Pedido USD]],"Sin Datos")</f>
        <v>Sin Datos</v>
      </c>
      <c r="K182" s="9" t="str">
        <f>IFERROR(TP[[#This Row],[Costo Real Unitario USD]]+TP[[#This Row],[Costo de Envio Unitario UDS]]+TP[[#This Row],[Impuesto Unitario UDS]],"Sin Datos")</f>
        <v>Sin Datos</v>
      </c>
      <c r="L182" s="9">
        <f>IFERROR(TP[[#This Row],[Costo Total Pedido USD]]+TP[[#This Row],[Costo de Envio Total UDS]]+TP[[#This Row],[Impuesto UDS]],"Sin Datos")</f>
        <v>0</v>
      </c>
      <c r="M182" s="14">
        <f>IFERROR(((TP[[#This Row],[Costo Total Pedido USD]]*TP[[#This Row],[DÓLAR]])*$B$3)+(TP[[#This Row],[Costo Total Pedido USD]]*TP[[#This Row],[DÓLAR]]),"Sin Datos")</f>
        <v>0</v>
      </c>
      <c r="N18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2" s="14" t="str">
        <f>IFERROR(TP[[#This Row],[Costo Total Pza. MXN]]*TP[[#This Row],[CANTIDAD]],"Sin Datos")</f>
        <v>Sin Datos</v>
      </c>
      <c r="P182" s="29" t="str">
        <f>IFERROR((((TP[[#This Row],[Costo Total Pza. UDS]]*TP[[#This Row],[DÓLAR]])*$B$3)+(TP[[#This Row],[Costo Total Pza. UDS]]*TP[[#This Row],[DÓLAR]])),"Sin Datos")</f>
        <v>Sin Datos</v>
      </c>
      <c r="Q182" s="57"/>
      <c r="R18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2" s="29" t="str">
        <f>IFERROR(TP[[#This Row],[Costo Total Pza. MXN]]+TP[[#This Row],[Impuesto Unitario MXN]],"Sin Datos")</f>
        <v>Sin Datos</v>
      </c>
      <c r="T182" s="29" t="str">
        <f>IFERROR(TP[[#This Row],[Costo Costo]]*50%+TP[[#This Row],[Costo Costo]],"Sin Datos")</f>
        <v>Sin Datos</v>
      </c>
      <c r="U182" s="14" t="str">
        <f>IFERROR(TP[[#This Row],[Precio de Oficina]]-TP[[#This Row],[Costo Costo]],"Sin Datos")</f>
        <v>Sin Datos</v>
      </c>
      <c r="V182" s="29" t="str">
        <f>IFERROR(TP[[#This Row],[Precio de Oficina]]*14%+TP[[#This Row],[Precio de Oficina]],"Sin Datos")</f>
        <v>Sin Datos</v>
      </c>
      <c r="W182" s="29" t="str">
        <f>IFERROR(TP[[#This Row],[Precio de Oficina]]*20%+TP[[#This Row],[Precio de Oficina]],"Sin Datos")</f>
        <v>Sin Datos</v>
      </c>
      <c r="X182" s="30" t="str">
        <f>IFERROR(TP[[#This Row],[Precio de Wix]]*33.6%+TP[[#This Row],[Precio de Wix]]+100,"Sin Datos")</f>
        <v>Sin Datos</v>
      </c>
      <c r="Z182" s="8" t="s">
        <v>387</v>
      </c>
    </row>
    <row r="183" spans="1:26" x14ac:dyDescent="0.2">
      <c r="A183" s="36" t="s">
        <v>388</v>
      </c>
      <c r="B183" s="49"/>
      <c r="C183" s="49"/>
      <c r="D183" s="53"/>
      <c r="E183" s="52"/>
      <c r="F183" s="53"/>
      <c r="G183" s="28" t="str">
        <f>IFERROR(TP[[#This Row],[Costo Real Unitario USD]]*TP[[#This Row],[Costo de Envio Total UDS]]/TP[[#This Row],[Costo Total Pedido USD]], "Sin Datos")</f>
        <v>Sin Datos</v>
      </c>
      <c r="H183" s="9">
        <f>IFERROR(TP[[#This Row],[Costo Total Pedido USD]]+TP[[#This Row],[Costo de Envio Total UDS]],"Sin Datos")</f>
        <v>0</v>
      </c>
      <c r="I183" s="52"/>
      <c r="J183" s="9" t="str">
        <f>IFERROR((TP[[#This Row],[Costo Real Unitario USD]]*TP[[#This Row],[Impuesto UDS]])/TP[[#This Row],[Costo Total Pedido USD]],"Sin Datos")</f>
        <v>Sin Datos</v>
      </c>
      <c r="K183" s="9" t="str">
        <f>IFERROR(TP[[#This Row],[Costo Real Unitario USD]]+TP[[#This Row],[Costo de Envio Unitario UDS]]+TP[[#This Row],[Impuesto Unitario UDS]],"Sin Datos")</f>
        <v>Sin Datos</v>
      </c>
      <c r="L183" s="9">
        <f>IFERROR(TP[[#This Row],[Costo Total Pedido USD]]+TP[[#This Row],[Costo de Envio Total UDS]]+TP[[#This Row],[Impuesto UDS]],"Sin Datos")</f>
        <v>0</v>
      </c>
      <c r="M183" s="14">
        <f>IFERROR(((TP[[#This Row],[Costo Total Pedido USD]]*TP[[#This Row],[DÓLAR]])*$B$3)+(TP[[#This Row],[Costo Total Pedido USD]]*TP[[#This Row],[DÓLAR]]),"Sin Datos")</f>
        <v>0</v>
      </c>
      <c r="N18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3" s="14" t="str">
        <f>IFERROR(TP[[#This Row],[Costo Total Pza. MXN]]*TP[[#This Row],[CANTIDAD]],"Sin Datos")</f>
        <v>Sin Datos</v>
      </c>
      <c r="P183" s="29" t="str">
        <f>IFERROR((((TP[[#This Row],[Costo Total Pza. UDS]]*TP[[#This Row],[DÓLAR]])*$B$3)+(TP[[#This Row],[Costo Total Pza. UDS]]*TP[[#This Row],[DÓLAR]])),"Sin Datos")</f>
        <v>Sin Datos</v>
      </c>
      <c r="Q183" s="57"/>
      <c r="R18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3" s="29" t="str">
        <f>IFERROR(TP[[#This Row],[Costo Total Pza. MXN]]+TP[[#This Row],[Impuesto Unitario MXN]],"Sin Datos")</f>
        <v>Sin Datos</v>
      </c>
      <c r="T183" s="29" t="str">
        <f>IFERROR(TP[[#This Row],[Costo Costo]]*50%+TP[[#This Row],[Costo Costo]],"Sin Datos")</f>
        <v>Sin Datos</v>
      </c>
      <c r="U183" s="14" t="str">
        <f>IFERROR(TP[[#This Row],[Precio de Oficina]]-TP[[#This Row],[Costo Costo]],"Sin Datos")</f>
        <v>Sin Datos</v>
      </c>
      <c r="V183" s="29" t="str">
        <f>IFERROR(TP[[#This Row],[Precio de Oficina]]*14%+TP[[#This Row],[Precio de Oficina]],"Sin Datos")</f>
        <v>Sin Datos</v>
      </c>
      <c r="W183" s="29" t="str">
        <f>IFERROR(TP[[#This Row],[Precio de Oficina]]*20%+TP[[#This Row],[Precio de Oficina]],"Sin Datos")</f>
        <v>Sin Datos</v>
      </c>
      <c r="X183" s="30" t="str">
        <f>IFERROR(TP[[#This Row],[Precio de Wix]]*33.6%+TP[[#This Row],[Precio de Wix]]+100,"Sin Datos")</f>
        <v>Sin Datos</v>
      </c>
      <c r="Z183" s="8" t="s">
        <v>388</v>
      </c>
    </row>
    <row r="184" spans="1:26" x14ac:dyDescent="0.2">
      <c r="A184" s="36" t="s">
        <v>389</v>
      </c>
      <c r="B184" s="49"/>
      <c r="C184" s="49"/>
      <c r="D184" s="53"/>
      <c r="E184" s="52"/>
      <c r="F184" s="53"/>
      <c r="G184" s="28" t="str">
        <f>IFERROR(TP[[#This Row],[Costo Real Unitario USD]]*TP[[#This Row],[Costo de Envio Total UDS]]/TP[[#This Row],[Costo Total Pedido USD]], "Sin Datos")</f>
        <v>Sin Datos</v>
      </c>
      <c r="H184" s="9">
        <f>IFERROR(TP[[#This Row],[Costo Total Pedido USD]]+TP[[#This Row],[Costo de Envio Total UDS]],"Sin Datos")</f>
        <v>0</v>
      </c>
      <c r="I184" s="52"/>
      <c r="J184" s="9" t="str">
        <f>IFERROR((TP[[#This Row],[Costo Real Unitario USD]]*TP[[#This Row],[Impuesto UDS]])/TP[[#This Row],[Costo Total Pedido USD]],"Sin Datos")</f>
        <v>Sin Datos</v>
      </c>
      <c r="K184" s="9" t="str">
        <f>IFERROR(TP[[#This Row],[Costo Real Unitario USD]]+TP[[#This Row],[Costo de Envio Unitario UDS]]+TP[[#This Row],[Impuesto Unitario UDS]],"Sin Datos")</f>
        <v>Sin Datos</v>
      </c>
      <c r="L184" s="9">
        <f>IFERROR(TP[[#This Row],[Costo Total Pedido USD]]+TP[[#This Row],[Costo de Envio Total UDS]]+TP[[#This Row],[Impuesto UDS]],"Sin Datos")</f>
        <v>0</v>
      </c>
      <c r="M184" s="14">
        <f>IFERROR(((TP[[#This Row],[Costo Total Pedido USD]]*TP[[#This Row],[DÓLAR]])*$B$3)+(TP[[#This Row],[Costo Total Pedido USD]]*TP[[#This Row],[DÓLAR]]),"Sin Datos")</f>
        <v>0</v>
      </c>
      <c r="N18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4" s="14" t="str">
        <f>IFERROR(TP[[#This Row],[Costo Total Pza. MXN]]*TP[[#This Row],[CANTIDAD]],"Sin Datos")</f>
        <v>Sin Datos</v>
      </c>
      <c r="P184" s="29" t="str">
        <f>IFERROR((((TP[[#This Row],[Costo Total Pza. UDS]]*TP[[#This Row],[DÓLAR]])*$B$3)+(TP[[#This Row],[Costo Total Pza. UDS]]*TP[[#This Row],[DÓLAR]])),"Sin Datos")</f>
        <v>Sin Datos</v>
      </c>
      <c r="Q184" s="57"/>
      <c r="R18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4" s="29" t="str">
        <f>IFERROR(TP[[#This Row],[Costo Total Pza. MXN]]+TP[[#This Row],[Impuesto Unitario MXN]],"Sin Datos")</f>
        <v>Sin Datos</v>
      </c>
      <c r="T184" s="29" t="str">
        <f>IFERROR(TP[[#This Row],[Costo Costo]]*50%+TP[[#This Row],[Costo Costo]],"Sin Datos")</f>
        <v>Sin Datos</v>
      </c>
      <c r="U184" s="14" t="str">
        <f>IFERROR(TP[[#This Row],[Precio de Oficina]]-TP[[#This Row],[Costo Costo]],"Sin Datos")</f>
        <v>Sin Datos</v>
      </c>
      <c r="V184" s="29" t="str">
        <f>IFERROR(TP[[#This Row],[Precio de Oficina]]*14%+TP[[#This Row],[Precio de Oficina]],"Sin Datos")</f>
        <v>Sin Datos</v>
      </c>
      <c r="W184" s="29" t="str">
        <f>IFERROR(TP[[#This Row],[Precio de Oficina]]*20%+TP[[#This Row],[Precio de Oficina]],"Sin Datos")</f>
        <v>Sin Datos</v>
      </c>
      <c r="X184" s="30" t="str">
        <f>IFERROR(TP[[#This Row],[Precio de Wix]]*33.6%+TP[[#This Row],[Precio de Wix]]+100,"Sin Datos")</f>
        <v>Sin Datos</v>
      </c>
      <c r="Z184" s="8" t="s">
        <v>389</v>
      </c>
    </row>
    <row r="185" spans="1:26" x14ac:dyDescent="0.2">
      <c r="A185" s="36" t="s">
        <v>390</v>
      </c>
      <c r="B185" s="49"/>
      <c r="C185" s="49"/>
      <c r="D185" s="53"/>
      <c r="E185" s="52"/>
      <c r="F185" s="53"/>
      <c r="G185" s="28" t="str">
        <f>IFERROR(TP[[#This Row],[Costo Real Unitario USD]]*TP[[#This Row],[Costo de Envio Total UDS]]/TP[[#This Row],[Costo Total Pedido USD]], "Sin Datos")</f>
        <v>Sin Datos</v>
      </c>
      <c r="H185" s="9">
        <f>IFERROR(TP[[#This Row],[Costo Total Pedido USD]]+TP[[#This Row],[Costo de Envio Total UDS]],"Sin Datos")</f>
        <v>0</v>
      </c>
      <c r="I185" s="52"/>
      <c r="J185" s="9" t="str">
        <f>IFERROR((TP[[#This Row],[Costo Real Unitario USD]]*TP[[#This Row],[Impuesto UDS]])/TP[[#This Row],[Costo Total Pedido USD]],"Sin Datos")</f>
        <v>Sin Datos</v>
      </c>
      <c r="K185" s="9" t="str">
        <f>IFERROR(TP[[#This Row],[Costo Real Unitario USD]]+TP[[#This Row],[Costo de Envio Unitario UDS]]+TP[[#This Row],[Impuesto Unitario UDS]],"Sin Datos")</f>
        <v>Sin Datos</v>
      </c>
      <c r="L185" s="9">
        <f>IFERROR(TP[[#This Row],[Costo Total Pedido USD]]+TP[[#This Row],[Costo de Envio Total UDS]]+TP[[#This Row],[Impuesto UDS]],"Sin Datos")</f>
        <v>0</v>
      </c>
      <c r="M185" s="14">
        <f>IFERROR(((TP[[#This Row],[Costo Total Pedido USD]]*TP[[#This Row],[DÓLAR]])*$B$3)+(TP[[#This Row],[Costo Total Pedido USD]]*TP[[#This Row],[DÓLAR]]),"Sin Datos")</f>
        <v>0</v>
      </c>
      <c r="N18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5" s="14" t="str">
        <f>IFERROR(TP[[#This Row],[Costo Total Pza. MXN]]*TP[[#This Row],[CANTIDAD]],"Sin Datos")</f>
        <v>Sin Datos</v>
      </c>
      <c r="P185" s="29" t="str">
        <f>IFERROR((((TP[[#This Row],[Costo Total Pza. UDS]]*TP[[#This Row],[DÓLAR]])*$B$3)+(TP[[#This Row],[Costo Total Pza. UDS]]*TP[[#This Row],[DÓLAR]])),"Sin Datos")</f>
        <v>Sin Datos</v>
      </c>
      <c r="Q185" s="57"/>
      <c r="R18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5" s="29" t="str">
        <f>IFERROR(TP[[#This Row],[Costo Total Pza. MXN]]+TP[[#This Row],[Impuesto Unitario MXN]],"Sin Datos")</f>
        <v>Sin Datos</v>
      </c>
      <c r="T185" s="29" t="str">
        <f>IFERROR(TP[[#This Row],[Costo Costo]]*50%+TP[[#This Row],[Costo Costo]],"Sin Datos")</f>
        <v>Sin Datos</v>
      </c>
      <c r="U185" s="14" t="str">
        <f>IFERROR(TP[[#This Row],[Precio de Oficina]]-TP[[#This Row],[Costo Costo]],"Sin Datos")</f>
        <v>Sin Datos</v>
      </c>
      <c r="V185" s="29" t="str">
        <f>IFERROR(TP[[#This Row],[Precio de Oficina]]*14%+TP[[#This Row],[Precio de Oficina]],"Sin Datos")</f>
        <v>Sin Datos</v>
      </c>
      <c r="W185" s="29" t="str">
        <f>IFERROR(TP[[#This Row],[Precio de Oficina]]*20%+TP[[#This Row],[Precio de Oficina]],"Sin Datos")</f>
        <v>Sin Datos</v>
      </c>
      <c r="X185" s="30" t="str">
        <f>IFERROR(TP[[#This Row],[Precio de Wix]]*33.6%+TP[[#This Row],[Precio de Wix]]+100,"Sin Datos")</f>
        <v>Sin Datos</v>
      </c>
      <c r="Z185" s="8" t="s">
        <v>390</v>
      </c>
    </row>
    <row r="186" spans="1:26" x14ac:dyDescent="0.2">
      <c r="A186" s="36" t="s">
        <v>391</v>
      </c>
      <c r="B186" s="49"/>
      <c r="C186" s="49"/>
      <c r="D186" s="53"/>
      <c r="E186" s="52"/>
      <c r="F186" s="53"/>
      <c r="G186" s="28" t="str">
        <f>IFERROR(TP[[#This Row],[Costo Real Unitario USD]]*TP[[#This Row],[Costo de Envio Total UDS]]/TP[[#This Row],[Costo Total Pedido USD]], "Sin Datos")</f>
        <v>Sin Datos</v>
      </c>
      <c r="H186" s="9">
        <f>IFERROR(TP[[#This Row],[Costo Total Pedido USD]]+TP[[#This Row],[Costo de Envio Total UDS]],"Sin Datos")</f>
        <v>0</v>
      </c>
      <c r="I186" s="52"/>
      <c r="J186" s="9" t="str">
        <f>IFERROR((TP[[#This Row],[Costo Real Unitario USD]]*TP[[#This Row],[Impuesto UDS]])/TP[[#This Row],[Costo Total Pedido USD]],"Sin Datos")</f>
        <v>Sin Datos</v>
      </c>
      <c r="K186" s="9" t="str">
        <f>IFERROR(TP[[#This Row],[Costo Real Unitario USD]]+TP[[#This Row],[Costo de Envio Unitario UDS]]+TP[[#This Row],[Impuesto Unitario UDS]],"Sin Datos")</f>
        <v>Sin Datos</v>
      </c>
      <c r="L186" s="9">
        <f>IFERROR(TP[[#This Row],[Costo Total Pedido USD]]+TP[[#This Row],[Costo de Envio Total UDS]]+TP[[#This Row],[Impuesto UDS]],"Sin Datos")</f>
        <v>0</v>
      </c>
      <c r="M186" s="14">
        <f>IFERROR(((TP[[#This Row],[Costo Total Pedido USD]]*TP[[#This Row],[DÓLAR]])*$B$3)+(TP[[#This Row],[Costo Total Pedido USD]]*TP[[#This Row],[DÓLAR]]),"Sin Datos")</f>
        <v>0</v>
      </c>
      <c r="N18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6" s="14" t="str">
        <f>IFERROR(TP[[#This Row],[Costo Total Pza. MXN]]*TP[[#This Row],[CANTIDAD]],"Sin Datos")</f>
        <v>Sin Datos</v>
      </c>
      <c r="P186" s="29" t="str">
        <f>IFERROR((((TP[[#This Row],[Costo Total Pza. UDS]]*TP[[#This Row],[DÓLAR]])*$B$3)+(TP[[#This Row],[Costo Total Pza. UDS]]*TP[[#This Row],[DÓLAR]])),"Sin Datos")</f>
        <v>Sin Datos</v>
      </c>
      <c r="Q186" s="57"/>
      <c r="R18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6" s="29" t="str">
        <f>IFERROR(TP[[#This Row],[Costo Total Pza. MXN]]+TP[[#This Row],[Impuesto Unitario MXN]],"Sin Datos")</f>
        <v>Sin Datos</v>
      </c>
      <c r="T186" s="29" t="str">
        <f>IFERROR(TP[[#This Row],[Costo Costo]]*50%+TP[[#This Row],[Costo Costo]],"Sin Datos")</f>
        <v>Sin Datos</v>
      </c>
      <c r="U186" s="14" t="str">
        <f>IFERROR(TP[[#This Row],[Precio de Oficina]]-TP[[#This Row],[Costo Costo]],"Sin Datos")</f>
        <v>Sin Datos</v>
      </c>
      <c r="V186" s="29" t="str">
        <f>IFERROR(TP[[#This Row],[Precio de Oficina]]*14%+TP[[#This Row],[Precio de Oficina]],"Sin Datos")</f>
        <v>Sin Datos</v>
      </c>
      <c r="W186" s="29" t="str">
        <f>IFERROR(TP[[#This Row],[Precio de Oficina]]*20%+TP[[#This Row],[Precio de Oficina]],"Sin Datos")</f>
        <v>Sin Datos</v>
      </c>
      <c r="X186" s="30" t="str">
        <f>IFERROR(TP[[#This Row],[Precio de Wix]]*33.6%+TP[[#This Row],[Precio de Wix]]+100,"Sin Datos")</f>
        <v>Sin Datos</v>
      </c>
      <c r="Z186" s="8" t="s">
        <v>391</v>
      </c>
    </row>
    <row r="187" spans="1:26" x14ac:dyDescent="0.2">
      <c r="A187" s="36" t="s">
        <v>392</v>
      </c>
      <c r="B187" s="49"/>
      <c r="C187" s="49"/>
      <c r="D187" s="53"/>
      <c r="E187" s="52"/>
      <c r="F187" s="53"/>
      <c r="G187" s="28" t="str">
        <f>IFERROR(TP[[#This Row],[Costo Real Unitario USD]]*TP[[#This Row],[Costo de Envio Total UDS]]/TP[[#This Row],[Costo Total Pedido USD]], "Sin Datos")</f>
        <v>Sin Datos</v>
      </c>
      <c r="H187" s="9">
        <f>IFERROR(TP[[#This Row],[Costo Total Pedido USD]]+TP[[#This Row],[Costo de Envio Total UDS]],"Sin Datos")</f>
        <v>0</v>
      </c>
      <c r="I187" s="52"/>
      <c r="J187" s="9" t="str">
        <f>IFERROR((TP[[#This Row],[Costo Real Unitario USD]]*TP[[#This Row],[Impuesto UDS]])/TP[[#This Row],[Costo Total Pedido USD]],"Sin Datos")</f>
        <v>Sin Datos</v>
      </c>
      <c r="K187" s="9" t="str">
        <f>IFERROR(TP[[#This Row],[Costo Real Unitario USD]]+TP[[#This Row],[Costo de Envio Unitario UDS]]+TP[[#This Row],[Impuesto Unitario UDS]],"Sin Datos")</f>
        <v>Sin Datos</v>
      </c>
      <c r="L187" s="9">
        <f>IFERROR(TP[[#This Row],[Costo Total Pedido USD]]+TP[[#This Row],[Costo de Envio Total UDS]]+TP[[#This Row],[Impuesto UDS]],"Sin Datos")</f>
        <v>0</v>
      </c>
      <c r="M187" s="14">
        <f>IFERROR(((TP[[#This Row],[Costo Total Pedido USD]]*TP[[#This Row],[DÓLAR]])*$B$3)+(TP[[#This Row],[Costo Total Pedido USD]]*TP[[#This Row],[DÓLAR]]),"Sin Datos")</f>
        <v>0</v>
      </c>
      <c r="N18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7" s="14" t="str">
        <f>IFERROR(TP[[#This Row],[Costo Total Pza. MXN]]*TP[[#This Row],[CANTIDAD]],"Sin Datos")</f>
        <v>Sin Datos</v>
      </c>
      <c r="P187" s="29" t="str">
        <f>IFERROR((((TP[[#This Row],[Costo Total Pza. UDS]]*TP[[#This Row],[DÓLAR]])*$B$3)+(TP[[#This Row],[Costo Total Pza. UDS]]*TP[[#This Row],[DÓLAR]])),"Sin Datos")</f>
        <v>Sin Datos</v>
      </c>
      <c r="Q187" s="57"/>
      <c r="R18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7" s="29" t="str">
        <f>IFERROR(TP[[#This Row],[Costo Total Pza. MXN]]+TP[[#This Row],[Impuesto Unitario MXN]],"Sin Datos")</f>
        <v>Sin Datos</v>
      </c>
      <c r="T187" s="29" t="str">
        <f>IFERROR(TP[[#This Row],[Costo Costo]]*50%+TP[[#This Row],[Costo Costo]],"Sin Datos")</f>
        <v>Sin Datos</v>
      </c>
      <c r="U187" s="14" t="str">
        <f>IFERROR(TP[[#This Row],[Precio de Oficina]]-TP[[#This Row],[Costo Costo]],"Sin Datos")</f>
        <v>Sin Datos</v>
      </c>
      <c r="V187" s="29" t="str">
        <f>IFERROR(TP[[#This Row],[Precio de Oficina]]*14%+TP[[#This Row],[Precio de Oficina]],"Sin Datos")</f>
        <v>Sin Datos</v>
      </c>
      <c r="W187" s="29" t="str">
        <f>IFERROR(TP[[#This Row],[Precio de Oficina]]*20%+TP[[#This Row],[Precio de Oficina]],"Sin Datos")</f>
        <v>Sin Datos</v>
      </c>
      <c r="X187" s="30" t="str">
        <f>IFERROR(TP[[#This Row],[Precio de Wix]]*33.6%+TP[[#This Row],[Precio de Wix]]+100,"Sin Datos")</f>
        <v>Sin Datos</v>
      </c>
      <c r="Z187" s="8" t="s">
        <v>392</v>
      </c>
    </row>
    <row r="188" spans="1:26" x14ac:dyDescent="0.2">
      <c r="A188" s="36" t="s">
        <v>393</v>
      </c>
      <c r="B188" s="49"/>
      <c r="C188" s="49"/>
      <c r="D188" s="53"/>
      <c r="E188" s="52"/>
      <c r="F188" s="53"/>
      <c r="G188" s="28" t="str">
        <f>IFERROR(TP[[#This Row],[Costo Real Unitario USD]]*TP[[#This Row],[Costo de Envio Total UDS]]/TP[[#This Row],[Costo Total Pedido USD]], "Sin Datos")</f>
        <v>Sin Datos</v>
      </c>
      <c r="H188" s="9">
        <f>IFERROR(TP[[#This Row],[Costo Total Pedido USD]]+TP[[#This Row],[Costo de Envio Total UDS]],"Sin Datos")</f>
        <v>0</v>
      </c>
      <c r="I188" s="52"/>
      <c r="J188" s="9" t="str">
        <f>IFERROR((TP[[#This Row],[Costo Real Unitario USD]]*TP[[#This Row],[Impuesto UDS]])/TP[[#This Row],[Costo Total Pedido USD]],"Sin Datos")</f>
        <v>Sin Datos</v>
      </c>
      <c r="K188" s="9" t="str">
        <f>IFERROR(TP[[#This Row],[Costo Real Unitario USD]]+TP[[#This Row],[Costo de Envio Unitario UDS]]+TP[[#This Row],[Impuesto Unitario UDS]],"Sin Datos")</f>
        <v>Sin Datos</v>
      </c>
      <c r="L188" s="9">
        <f>IFERROR(TP[[#This Row],[Costo Total Pedido USD]]+TP[[#This Row],[Costo de Envio Total UDS]]+TP[[#This Row],[Impuesto UDS]],"Sin Datos")</f>
        <v>0</v>
      </c>
      <c r="M188" s="14">
        <f>IFERROR(((TP[[#This Row],[Costo Total Pedido USD]]*TP[[#This Row],[DÓLAR]])*$B$3)+(TP[[#This Row],[Costo Total Pedido USD]]*TP[[#This Row],[DÓLAR]]),"Sin Datos")</f>
        <v>0</v>
      </c>
      <c r="N18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8" s="14" t="str">
        <f>IFERROR(TP[[#This Row],[Costo Total Pza. MXN]]*TP[[#This Row],[CANTIDAD]],"Sin Datos")</f>
        <v>Sin Datos</v>
      </c>
      <c r="P188" s="29" t="str">
        <f>IFERROR((((TP[[#This Row],[Costo Total Pza. UDS]]*TP[[#This Row],[DÓLAR]])*$B$3)+(TP[[#This Row],[Costo Total Pza. UDS]]*TP[[#This Row],[DÓLAR]])),"Sin Datos")</f>
        <v>Sin Datos</v>
      </c>
      <c r="Q188" s="57"/>
      <c r="R18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8" s="29" t="str">
        <f>IFERROR(TP[[#This Row],[Costo Total Pza. MXN]]+TP[[#This Row],[Impuesto Unitario MXN]],"Sin Datos")</f>
        <v>Sin Datos</v>
      </c>
      <c r="T188" s="29" t="str">
        <f>IFERROR(TP[[#This Row],[Costo Costo]]*50%+TP[[#This Row],[Costo Costo]],"Sin Datos")</f>
        <v>Sin Datos</v>
      </c>
      <c r="U188" s="14" t="str">
        <f>IFERROR(TP[[#This Row],[Precio de Oficina]]-TP[[#This Row],[Costo Costo]],"Sin Datos")</f>
        <v>Sin Datos</v>
      </c>
      <c r="V188" s="29" t="str">
        <f>IFERROR(TP[[#This Row],[Precio de Oficina]]*14%+TP[[#This Row],[Precio de Oficina]],"Sin Datos")</f>
        <v>Sin Datos</v>
      </c>
      <c r="W188" s="29" t="str">
        <f>IFERROR(TP[[#This Row],[Precio de Oficina]]*20%+TP[[#This Row],[Precio de Oficina]],"Sin Datos")</f>
        <v>Sin Datos</v>
      </c>
      <c r="X188" s="30" t="str">
        <f>IFERROR(TP[[#This Row],[Precio de Wix]]*33.6%+TP[[#This Row],[Precio de Wix]]+100,"Sin Datos")</f>
        <v>Sin Datos</v>
      </c>
      <c r="Z188" s="8" t="s">
        <v>393</v>
      </c>
    </row>
    <row r="189" spans="1:26" x14ac:dyDescent="0.2">
      <c r="A189" s="36" t="s">
        <v>394</v>
      </c>
      <c r="B189" s="49"/>
      <c r="C189" s="49"/>
      <c r="D189" s="53"/>
      <c r="E189" s="52"/>
      <c r="F189" s="53"/>
      <c r="G189" s="28" t="str">
        <f>IFERROR(TP[[#This Row],[Costo Real Unitario USD]]*TP[[#This Row],[Costo de Envio Total UDS]]/TP[[#This Row],[Costo Total Pedido USD]], "Sin Datos")</f>
        <v>Sin Datos</v>
      </c>
      <c r="H189" s="9">
        <f>IFERROR(TP[[#This Row],[Costo Total Pedido USD]]+TP[[#This Row],[Costo de Envio Total UDS]],"Sin Datos")</f>
        <v>0</v>
      </c>
      <c r="I189" s="52"/>
      <c r="J189" s="9" t="str">
        <f>IFERROR((TP[[#This Row],[Costo Real Unitario USD]]*TP[[#This Row],[Impuesto UDS]])/TP[[#This Row],[Costo Total Pedido USD]],"Sin Datos")</f>
        <v>Sin Datos</v>
      </c>
      <c r="K189" s="9" t="str">
        <f>IFERROR(TP[[#This Row],[Costo Real Unitario USD]]+TP[[#This Row],[Costo de Envio Unitario UDS]]+TP[[#This Row],[Impuesto Unitario UDS]],"Sin Datos")</f>
        <v>Sin Datos</v>
      </c>
      <c r="L189" s="9">
        <f>IFERROR(TP[[#This Row],[Costo Total Pedido USD]]+TP[[#This Row],[Costo de Envio Total UDS]]+TP[[#This Row],[Impuesto UDS]],"Sin Datos")</f>
        <v>0</v>
      </c>
      <c r="M189" s="14">
        <f>IFERROR(((TP[[#This Row],[Costo Total Pedido USD]]*TP[[#This Row],[DÓLAR]])*$B$3)+(TP[[#This Row],[Costo Total Pedido USD]]*TP[[#This Row],[DÓLAR]]),"Sin Datos")</f>
        <v>0</v>
      </c>
      <c r="N18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89" s="14" t="str">
        <f>IFERROR(TP[[#This Row],[Costo Total Pza. MXN]]*TP[[#This Row],[CANTIDAD]],"Sin Datos")</f>
        <v>Sin Datos</v>
      </c>
      <c r="P189" s="29" t="str">
        <f>IFERROR((((TP[[#This Row],[Costo Total Pza. UDS]]*TP[[#This Row],[DÓLAR]])*$B$3)+(TP[[#This Row],[Costo Total Pza. UDS]]*TP[[#This Row],[DÓLAR]])),"Sin Datos")</f>
        <v>Sin Datos</v>
      </c>
      <c r="Q189" s="57"/>
      <c r="R18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89" s="29" t="str">
        <f>IFERROR(TP[[#This Row],[Costo Total Pza. MXN]]+TP[[#This Row],[Impuesto Unitario MXN]],"Sin Datos")</f>
        <v>Sin Datos</v>
      </c>
      <c r="T189" s="29" t="str">
        <f>IFERROR(TP[[#This Row],[Costo Costo]]*50%+TP[[#This Row],[Costo Costo]],"Sin Datos")</f>
        <v>Sin Datos</v>
      </c>
      <c r="U189" s="14" t="str">
        <f>IFERROR(TP[[#This Row],[Precio de Oficina]]-TP[[#This Row],[Costo Costo]],"Sin Datos")</f>
        <v>Sin Datos</v>
      </c>
      <c r="V189" s="29" t="str">
        <f>IFERROR(TP[[#This Row],[Precio de Oficina]]*14%+TP[[#This Row],[Precio de Oficina]],"Sin Datos")</f>
        <v>Sin Datos</v>
      </c>
      <c r="W189" s="29" t="str">
        <f>IFERROR(TP[[#This Row],[Precio de Oficina]]*20%+TP[[#This Row],[Precio de Oficina]],"Sin Datos")</f>
        <v>Sin Datos</v>
      </c>
      <c r="X189" s="30" t="str">
        <f>IFERROR(TP[[#This Row],[Precio de Wix]]*33.6%+TP[[#This Row],[Precio de Wix]]+100,"Sin Datos")</f>
        <v>Sin Datos</v>
      </c>
      <c r="Z189" s="8" t="s">
        <v>394</v>
      </c>
    </row>
    <row r="190" spans="1:26" x14ac:dyDescent="0.2">
      <c r="A190" s="36" t="s">
        <v>395</v>
      </c>
      <c r="B190" s="49"/>
      <c r="C190" s="49"/>
      <c r="D190" s="53"/>
      <c r="E190" s="52"/>
      <c r="F190" s="53"/>
      <c r="G190" s="28" t="str">
        <f>IFERROR(TP[[#This Row],[Costo Real Unitario USD]]*TP[[#This Row],[Costo de Envio Total UDS]]/TP[[#This Row],[Costo Total Pedido USD]], "Sin Datos")</f>
        <v>Sin Datos</v>
      </c>
      <c r="H190" s="9">
        <f>IFERROR(TP[[#This Row],[Costo Total Pedido USD]]+TP[[#This Row],[Costo de Envio Total UDS]],"Sin Datos")</f>
        <v>0</v>
      </c>
      <c r="I190" s="52"/>
      <c r="J190" s="9" t="str">
        <f>IFERROR((TP[[#This Row],[Costo Real Unitario USD]]*TP[[#This Row],[Impuesto UDS]])/TP[[#This Row],[Costo Total Pedido USD]],"Sin Datos")</f>
        <v>Sin Datos</v>
      </c>
      <c r="K190" s="9" t="str">
        <f>IFERROR(TP[[#This Row],[Costo Real Unitario USD]]+TP[[#This Row],[Costo de Envio Unitario UDS]]+TP[[#This Row],[Impuesto Unitario UDS]],"Sin Datos")</f>
        <v>Sin Datos</v>
      </c>
      <c r="L190" s="9">
        <f>IFERROR(TP[[#This Row],[Costo Total Pedido USD]]+TP[[#This Row],[Costo de Envio Total UDS]]+TP[[#This Row],[Impuesto UDS]],"Sin Datos")</f>
        <v>0</v>
      </c>
      <c r="M190" s="14">
        <f>IFERROR(((TP[[#This Row],[Costo Total Pedido USD]]*TP[[#This Row],[DÓLAR]])*$B$3)+(TP[[#This Row],[Costo Total Pedido USD]]*TP[[#This Row],[DÓLAR]]),"Sin Datos")</f>
        <v>0</v>
      </c>
      <c r="N19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0" s="14" t="str">
        <f>IFERROR(TP[[#This Row],[Costo Total Pza. MXN]]*TP[[#This Row],[CANTIDAD]],"Sin Datos")</f>
        <v>Sin Datos</v>
      </c>
      <c r="P190" s="29" t="str">
        <f>IFERROR((((TP[[#This Row],[Costo Total Pza. UDS]]*TP[[#This Row],[DÓLAR]])*$B$3)+(TP[[#This Row],[Costo Total Pza. UDS]]*TP[[#This Row],[DÓLAR]])),"Sin Datos")</f>
        <v>Sin Datos</v>
      </c>
      <c r="Q190" s="57"/>
      <c r="R19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0" s="29" t="str">
        <f>IFERROR(TP[[#This Row],[Costo Total Pza. MXN]]+TP[[#This Row],[Impuesto Unitario MXN]],"Sin Datos")</f>
        <v>Sin Datos</v>
      </c>
      <c r="T190" s="29" t="str">
        <f>IFERROR(TP[[#This Row],[Costo Costo]]*50%+TP[[#This Row],[Costo Costo]],"Sin Datos")</f>
        <v>Sin Datos</v>
      </c>
      <c r="U190" s="14" t="str">
        <f>IFERROR(TP[[#This Row],[Precio de Oficina]]-TP[[#This Row],[Costo Costo]],"Sin Datos")</f>
        <v>Sin Datos</v>
      </c>
      <c r="V190" s="29" t="str">
        <f>IFERROR(TP[[#This Row],[Precio de Oficina]]*14%+TP[[#This Row],[Precio de Oficina]],"Sin Datos")</f>
        <v>Sin Datos</v>
      </c>
      <c r="W190" s="29" t="str">
        <f>IFERROR(TP[[#This Row],[Precio de Oficina]]*20%+TP[[#This Row],[Precio de Oficina]],"Sin Datos")</f>
        <v>Sin Datos</v>
      </c>
      <c r="X190" s="30" t="str">
        <f>IFERROR(TP[[#This Row],[Precio de Wix]]*33.6%+TP[[#This Row],[Precio de Wix]]+100,"Sin Datos")</f>
        <v>Sin Datos</v>
      </c>
      <c r="Z190" s="8" t="s">
        <v>395</v>
      </c>
    </row>
    <row r="191" spans="1:26" x14ac:dyDescent="0.2">
      <c r="A191" s="36" t="s">
        <v>396</v>
      </c>
      <c r="B191" s="49"/>
      <c r="C191" s="49"/>
      <c r="D191" s="53"/>
      <c r="E191" s="52"/>
      <c r="F191" s="53"/>
      <c r="G191" s="28" t="str">
        <f>IFERROR(TP[[#This Row],[Costo Real Unitario USD]]*TP[[#This Row],[Costo de Envio Total UDS]]/TP[[#This Row],[Costo Total Pedido USD]], "Sin Datos")</f>
        <v>Sin Datos</v>
      </c>
      <c r="H191" s="9">
        <f>IFERROR(TP[[#This Row],[Costo Total Pedido USD]]+TP[[#This Row],[Costo de Envio Total UDS]],"Sin Datos")</f>
        <v>0</v>
      </c>
      <c r="I191" s="52"/>
      <c r="J191" s="9" t="str">
        <f>IFERROR((TP[[#This Row],[Costo Real Unitario USD]]*TP[[#This Row],[Impuesto UDS]])/TP[[#This Row],[Costo Total Pedido USD]],"Sin Datos")</f>
        <v>Sin Datos</v>
      </c>
      <c r="K191" s="9" t="str">
        <f>IFERROR(TP[[#This Row],[Costo Real Unitario USD]]+TP[[#This Row],[Costo de Envio Unitario UDS]]+TP[[#This Row],[Impuesto Unitario UDS]],"Sin Datos")</f>
        <v>Sin Datos</v>
      </c>
      <c r="L191" s="9">
        <f>IFERROR(TP[[#This Row],[Costo Total Pedido USD]]+TP[[#This Row],[Costo de Envio Total UDS]]+TP[[#This Row],[Impuesto UDS]],"Sin Datos")</f>
        <v>0</v>
      </c>
      <c r="M191" s="14">
        <f>IFERROR(((TP[[#This Row],[Costo Total Pedido USD]]*TP[[#This Row],[DÓLAR]])*$B$3)+(TP[[#This Row],[Costo Total Pedido USD]]*TP[[#This Row],[DÓLAR]]),"Sin Datos")</f>
        <v>0</v>
      </c>
      <c r="N19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1" s="14" t="str">
        <f>IFERROR(TP[[#This Row],[Costo Total Pza. MXN]]*TP[[#This Row],[CANTIDAD]],"Sin Datos")</f>
        <v>Sin Datos</v>
      </c>
      <c r="P191" s="29" t="str">
        <f>IFERROR((((TP[[#This Row],[Costo Total Pza. UDS]]*TP[[#This Row],[DÓLAR]])*$B$3)+(TP[[#This Row],[Costo Total Pza. UDS]]*TP[[#This Row],[DÓLAR]])),"Sin Datos")</f>
        <v>Sin Datos</v>
      </c>
      <c r="Q191" s="57"/>
      <c r="R19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1" s="29" t="str">
        <f>IFERROR(TP[[#This Row],[Costo Total Pza. MXN]]+TP[[#This Row],[Impuesto Unitario MXN]],"Sin Datos")</f>
        <v>Sin Datos</v>
      </c>
      <c r="T191" s="29" t="str">
        <f>IFERROR(TP[[#This Row],[Costo Costo]]*50%+TP[[#This Row],[Costo Costo]],"Sin Datos")</f>
        <v>Sin Datos</v>
      </c>
      <c r="U191" s="14" t="str">
        <f>IFERROR(TP[[#This Row],[Precio de Oficina]]-TP[[#This Row],[Costo Costo]],"Sin Datos")</f>
        <v>Sin Datos</v>
      </c>
      <c r="V191" s="29" t="str">
        <f>IFERROR(TP[[#This Row],[Precio de Oficina]]*14%+TP[[#This Row],[Precio de Oficina]],"Sin Datos")</f>
        <v>Sin Datos</v>
      </c>
      <c r="W191" s="29" t="str">
        <f>IFERROR(TP[[#This Row],[Precio de Oficina]]*20%+TP[[#This Row],[Precio de Oficina]],"Sin Datos")</f>
        <v>Sin Datos</v>
      </c>
      <c r="X191" s="30" t="str">
        <f>IFERROR(TP[[#This Row],[Precio de Wix]]*33.6%+TP[[#This Row],[Precio de Wix]]+100,"Sin Datos")</f>
        <v>Sin Datos</v>
      </c>
      <c r="Z191" s="8" t="s">
        <v>396</v>
      </c>
    </row>
    <row r="192" spans="1:26" x14ac:dyDescent="0.2">
      <c r="A192" s="36" t="s">
        <v>414</v>
      </c>
      <c r="B192" s="49"/>
      <c r="C192" s="49"/>
      <c r="D192" s="53"/>
      <c r="E192" s="52"/>
      <c r="F192" s="53"/>
      <c r="G192" s="28" t="str">
        <f>IFERROR(TP[[#This Row],[Costo Real Unitario USD]]*TP[[#This Row],[Costo de Envio Total UDS]]/TP[[#This Row],[Costo Total Pedido USD]], "Sin Datos")</f>
        <v>Sin Datos</v>
      </c>
      <c r="H192" s="9">
        <f>IFERROR(TP[[#This Row],[Costo Total Pedido USD]]+TP[[#This Row],[Costo de Envio Total UDS]],"Sin Datos")</f>
        <v>0</v>
      </c>
      <c r="I192" s="52"/>
      <c r="J192" s="9" t="str">
        <f>IFERROR((TP[[#This Row],[Costo Real Unitario USD]]*TP[[#This Row],[Impuesto UDS]])/TP[[#This Row],[Costo Total Pedido USD]],"Sin Datos")</f>
        <v>Sin Datos</v>
      </c>
      <c r="K192" s="9" t="str">
        <f>IFERROR(TP[[#This Row],[Costo Real Unitario USD]]+TP[[#This Row],[Costo de Envio Unitario UDS]]+TP[[#This Row],[Impuesto Unitario UDS]],"Sin Datos")</f>
        <v>Sin Datos</v>
      </c>
      <c r="L192" s="9">
        <f>IFERROR(TP[[#This Row],[Costo Total Pedido USD]]+TP[[#This Row],[Costo de Envio Total UDS]]+TP[[#This Row],[Impuesto UDS]],"Sin Datos")</f>
        <v>0</v>
      </c>
      <c r="M192" s="14">
        <f>IFERROR(((TP[[#This Row],[Costo Total Pedido USD]]*TP[[#This Row],[DÓLAR]])*$B$3)+(TP[[#This Row],[Costo Total Pedido USD]]*TP[[#This Row],[DÓLAR]]),"Sin Datos")</f>
        <v>0</v>
      </c>
      <c r="N19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2" s="14" t="str">
        <f>IFERROR(TP[[#This Row],[Costo Total Pza. MXN]]*TP[[#This Row],[CANTIDAD]],"Sin Datos")</f>
        <v>Sin Datos</v>
      </c>
      <c r="P192" s="29" t="str">
        <f>IFERROR((((TP[[#This Row],[Costo Total Pza. UDS]]*TP[[#This Row],[DÓLAR]])*$B$3)+(TP[[#This Row],[Costo Total Pza. UDS]]*TP[[#This Row],[DÓLAR]])),"Sin Datos")</f>
        <v>Sin Datos</v>
      </c>
      <c r="Q192" s="57"/>
      <c r="R19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2" s="29" t="str">
        <f>IFERROR(TP[[#This Row],[Costo Total Pza. MXN]]+TP[[#This Row],[Impuesto Unitario MXN]],"Sin Datos")</f>
        <v>Sin Datos</v>
      </c>
      <c r="T192" s="29" t="str">
        <f>IFERROR(TP[[#This Row],[Costo Costo]]*50%+TP[[#This Row],[Costo Costo]],"Sin Datos")</f>
        <v>Sin Datos</v>
      </c>
      <c r="U192" s="14" t="str">
        <f>IFERROR(TP[[#This Row],[Precio de Oficina]]-TP[[#This Row],[Costo Costo]],"Sin Datos")</f>
        <v>Sin Datos</v>
      </c>
      <c r="V192" s="29" t="str">
        <f>IFERROR(TP[[#This Row],[Precio de Oficina]]*14%+TP[[#This Row],[Precio de Oficina]],"Sin Datos")</f>
        <v>Sin Datos</v>
      </c>
      <c r="W192" s="29" t="str">
        <f>IFERROR(TP[[#This Row],[Precio de Oficina]]*20%+TP[[#This Row],[Precio de Oficina]],"Sin Datos")</f>
        <v>Sin Datos</v>
      </c>
      <c r="X192" s="30" t="str">
        <f>IFERROR(TP[[#This Row],[Precio de Wix]]*33.6%+TP[[#This Row],[Precio de Wix]]+100,"Sin Datos")</f>
        <v>Sin Datos</v>
      </c>
      <c r="Z192" s="8" t="s">
        <v>414</v>
      </c>
    </row>
    <row r="193" spans="1:26" x14ac:dyDescent="0.2">
      <c r="A193" s="36" t="s">
        <v>397</v>
      </c>
      <c r="B193" s="49"/>
      <c r="C193" s="49"/>
      <c r="D193" s="53"/>
      <c r="E193" s="52"/>
      <c r="F193" s="53"/>
      <c r="G193" s="28" t="str">
        <f>IFERROR(TP[[#This Row],[Costo Real Unitario USD]]*TP[[#This Row],[Costo de Envio Total UDS]]/TP[[#This Row],[Costo Total Pedido USD]], "Sin Datos")</f>
        <v>Sin Datos</v>
      </c>
      <c r="H193" s="9">
        <f>IFERROR(TP[[#This Row],[Costo Total Pedido USD]]+TP[[#This Row],[Costo de Envio Total UDS]],"Sin Datos")</f>
        <v>0</v>
      </c>
      <c r="I193" s="52"/>
      <c r="J193" s="9" t="str">
        <f>IFERROR((TP[[#This Row],[Costo Real Unitario USD]]*TP[[#This Row],[Impuesto UDS]])/TP[[#This Row],[Costo Total Pedido USD]],"Sin Datos")</f>
        <v>Sin Datos</v>
      </c>
      <c r="K193" s="9" t="str">
        <f>IFERROR(TP[[#This Row],[Costo Real Unitario USD]]+TP[[#This Row],[Costo de Envio Unitario UDS]]+TP[[#This Row],[Impuesto Unitario UDS]],"Sin Datos")</f>
        <v>Sin Datos</v>
      </c>
      <c r="L193" s="9">
        <f>IFERROR(TP[[#This Row],[Costo Total Pedido USD]]+TP[[#This Row],[Costo de Envio Total UDS]]+TP[[#This Row],[Impuesto UDS]],"Sin Datos")</f>
        <v>0</v>
      </c>
      <c r="M193" s="14">
        <f>IFERROR(((TP[[#This Row],[Costo Total Pedido USD]]*TP[[#This Row],[DÓLAR]])*$B$3)+(TP[[#This Row],[Costo Total Pedido USD]]*TP[[#This Row],[DÓLAR]]),"Sin Datos")</f>
        <v>0</v>
      </c>
      <c r="N19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3" s="14" t="str">
        <f>IFERROR(TP[[#This Row],[Costo Total Pza. MXN]]*TP[[#This Row],[CANTIDAD]],"Sin Datos")</f>
        <v>Sin Datos</v>
      </c>
      <c r="P193" s="29" t="str">
        <f>IFERROR((((TP[[#This Row],[Costo Total Pza. UDS]]*TP[[#This Row],[DÓLAR]])*$B$3)+(TP[[#This Row],[Costo Total Pza. UDS]]*TP[[#This Row],[DÓLAR]])),"Sin Datos")</f>
        <v>Sin Datos</v>
      </c>
      <c r="Q193" s="57"/>
      <c r="R193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3" s="29" t="str">
        <f>IFERROR(TP[[#This Row],[Costo Total Pza. MXN]]+TP[[#This Row],[Impuesto Unitario MXN]],"Sin Datos")</f>
        <v>Sin Datos</v>
      </c>
      <c r="T193" s="29" t="str">
        <f>IFERROR(TP[[#This Row],[Costo Costo]]*50%+TP[[#This Row],[Costo Costo]],"Sin Datos")</f>
        <v>Sin Datos</v>
      </c>
      <c r="U193" s="14" t="str">
        <f>IFERROR(TP[[#This Row],[Precio de Oficina]]-TP[[#This Row],[Costo Costo]],"Sin Datos")</f>
        <v>Sin Datos</v>
      </c>
      <c r="V193" s="29" t="str">
        <f>IFERROR(TP[[#This Row],[Precio de Oficina]]*14%+TP[[#This Row],[Precio de Oficina]],"Sin Datos")</f>
        <v>Sin Datos</v>
      </c>
      <c r="W193" s="29" t="str">
        <f>IFERROR(TP[[#This Row],[Precio de Oficina]]*20%+TP[[#This Row],[Precio de Oficina]],"Sin Datos")</f>
        <v>Sin Datos</v>
      </c>
      <c r="X193" s="30" t="str">
        <f>IFERROR(TP[[#This Row],[Precio de Wix]]*33.6%+TP[[#This Row],[Precio de Wix]]+100,"Sin Datos")</f>
        <v>Sin Datos</v>
      </c>
      <c r="Z193" s="8" t="s">
        <v>397</v>
      </c>
    </row>
    <row r="194" spans="1:26" x14ac:dyDescent="0.2">
      <c r="A194" s="33" t="s">
        <v>398</v>
      </c>
      <c r="B194" s="49"/>
      <c r="C194" s="49"/>
      <c r="D194" s="53"/>
      <c r="E194" s="52"/>
      <c r="F194" s="53"/>
      <c r="G194" s="28" t="str">
        <f>IFERROR(TP[[#This Row],[Costo Real Unitario USD]]*TP[[#This Row],[Costo de Envio Total UDS]]/TP[[#This Row],[Costo Total Pedido USD]], "Sin Datos")</f>
        <v>Sin Datos</v>
      </c>
      <c r="H194" s="9">
        <f>IFERROR(TP[[#This Row],[Costo Total Pedido USD]]+TP[[#This Row],[Costo de Envio Total UDS]],"Sin Datos")</f>
        <v>0</v>
      </c>
      <c r="I194" s="52"/>
      <c r="J194" s="9" t="str">
        <f>IFERROR((TP[[#This Row],[Costo Real Unitario USD]]*TP[[#This Row],[Impuesto UDS]])/TP[[#This Row],[Costo Total Pedido USD]],"Sin Datos")</f>
        <v>Sin Datos</v>
      </c>
      <c r="K194" s="9" t="str">
        <f>IFERROR(TP[[#This Row],[Costo Real Unitario USD]]+TP[[#This Row],[Costo de Envio Unitario UDS]]+TP[[#This Row],[Impuesto Unitario UDS]],"Sin Datos")</f>
        <v>Sin Datos</v>
      </c>
      <c r="L194" s="9">
        <f>IFERROR(TP[[#This Row],[Costo Total Pedido USD]]+TP[[#This Row],[Costo de Envio Total UDS]]+TP[[#This Row],[Impuesto UDS]],"Sin Datos")</f>
        <v>0</v>
      </c>
      <c r="M194" s="14">
        <f>IFERROR(((TP[[#This Row],[Costo Total Pedido USD]]*TP[[#This Row],[DÓLAR]])*$B$3)+(TP[[#This Row],[Costo Total Pedido USD]]*TP[[#This Row],[DÓLAR]]),"Sin Datos")</f>
        <v>0</v>
      </c>
      <c r="N19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4" s="14" t="str">
        <f>IFERROR(TP[[#This Row],[Costo Total Pza. MXN]]*TP[[#This Row],[CANTIDAD]],"Sin Datos")</f>
        <v>Sin Datos</v>
      </c>
      <c r="P194" s="29" t="str">
        <f>IFERROR((((TP[[#This Row],[Costo Total Pza. UDS]]*TP[[#This Row],[DÓLAR]])*$B$3)+(TP[[#This Row],[Costo Total Pza. UDS]]*TP[[#This Row],[DÓLAR]])),"Sin Datos")</f>
        <v>Sin Datos</v>
      </c>
      <c r="Q194" s="57"/>
      <c r="R194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4" s="29" t="str">
        <f>IFERROR(TP[[#This Row],[Costo Total Pza. MXN]]+TP[[#This Row],[Impuesto Unitario MXN]],"Sin Datos")</f>
        <v>Sin Datos</v>
      </c>
      <c r="T194" s="29" t="str">
        <f>IFERROR(TP[[#This Row],[Costo Costo]]*50%+TP[[#This Row],[Costo Costo]],"Sin Datos")</f>
        <v>Sin Datos</v>
      </c>
      <c r="U194" s="14" t="str">
        <f>IFERROR(TP[[#This Row],[Precio de Oficina]]-TP[[#This Row],[Costo Costo]],"Sin Datos")</f>
        <v>Sin Datos</v>
      </c>
      <c r="V194" s="29" t="str">
        <f>IFERROR(TP[[#This Row],[Precio de Oficina]]*14%+TP[[#This Row],[Precio de Oficina]],"Sin Datos")</f>
        <v>Sin Datos</v>
      </c>
      <c r="W194" s="29" t="str">
        <f>IFERROR(TP[[#This Row],[Precio de Oficina]]*20%+TP[[#This Row],[Precio de Oficina]],"Sin Datos")</f>
        <v>Sin Datos</v>
      </c>
      <c r="X194" s="30" t="str">
        <f>IFERROR(TP[[#This Row],[Precio de Wix]]*33.6%+TP[[#This Row],[Precio de Wix]]+100,"Sin Datos")</f>
        <v>Sin Datos</v>
      </c>
      <c r="Z194" s="8" t="s">
        <v>398</v>
      </c>
    </row>
    <row r="195" spans="1:26" x14ac:dyDescent="0.2">
      <c r="A195" s="33" t="s">
        <v>417</v>
      </c>
      <c r="B195" s="49"/>
      <c r="C195" s="49"/>
      <c r="D195" s="53"/>
      <c r="E195" s="52"/>
      <c r="F195" s="53"/>
      <c r="G195" s="28" t="str">
        <f>IFERROR(TP[[#This Row],[Costo Real Unitario USD]]*TP[[#This Row],[Costo de Envio Total UDS]]/TP[[#This Row],[Costo Total Pedido USD]], "Sin Datos")</f>
        <v>Sin Datos</v>
      </c>
      <c r="H195" s="9">
        <f>IFERROR(TP[[#This Row],[Costo Total Pedido USD]]+TP[[#This Row],[Costo de Envio Total UDS]],"Sin Datos")</f>
        <v>0</v>
      </c>
      <c r="I195" s="52"/>
      <c r="J195" s="9" t="str">
        <f>IFERROR((TP[[#This Row],[Costo Real Unitario USD]]*TP[[#This Row],[Impuesto UDS]])/TP[[#This Row],[Costo Total Pedido USD]],"Sin Datos")</f>
        <v>Sin Datos</v>
      </c>
      <c r="K195" s="9" t="str">
        <f>IFERROR(TP[[#This Row],[Costo Real Unitario USD]]+TP[[#This Row],[Costo de Envio Unitario UDS]]+TP[[#This Row],[Impuesto Unitario UDS]],"Sin Datos")</f>
        <v>Sin Datos</v>
      </c>
      <c r="L195" s="9">
        <f>IFERROR(TP[[#This Row],[Costo Total Pedido USD]]+TP[[#This Row],[Costo de Envio Total UDS]]+TP[[#This Row],[Impuesto UDS]],"Sin Datos")</f>
        <v>0</v>
      </c>
      <c r="M195" s="14">
        <f>IFERROR(((TP[[#This Row],[Costo Total Pedido USD]]*TP[[#This Row],[DÓLAR]])*$B$3)+(TP[[#This Row],[Costo Total Pedido USD]]*TP[[#This Row],[DÓLAR]]),"Sin Datos")</f>
        <v>0</v>
      </c>
      <c r="N19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5" s="14" t="str">
        <f>IFERROR(TP[[#This Row],[Costo Total Pza. MXN]]*TP[[#This Row],[CANTIDAD]],"Sin Datos")</f>
        <v>Sin Datos</v>
      </c>
      <c r="P195" s="29" t="str">
        <f>IFERROR((((TP[[#This Row],[Costo Total Pza. UDS]]*TP[[#This Row],[DÓLAR]])*$B$3)+(TP[[#This Row],[Costo Total Pza. UDS]]*TP[[#This Row],[DÓLAR]])),"Sin Datos")</f>
        <v>Sin Datos</v>
      </c>
      <c r="Q195" s="57"/>
      <c r="R19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5" s="29" t="str">
        <f>IFERROR(TP[[#This Row],[Costo Total Pza. MXN]]+TP[[#This Row],[Impuesto Unitario MXN]],"Sin Datos")</f>
        <v>Sin Datos</v>
      </c>
      <c r="T195" s="29" t="str">
        <f>IFERROR(TP[[#This Row],[Costo Costo]]*50%+TP[[#This Row],[Costo Costo]],"Sin Datos")</f>
        <v>Sin Datos</v>
      </c>
      <c r="U195" s="14" t="str">
        <f>IFERROR(TP[[#This Row],[Precio de Oficina]]-TP[[#This Row],[Costo Costo]],"Sin Datos")</f>
        <v>Sin Datos</v>
      </c>
      <c r="V195" s="29" t="str">
        <f>IFERROR(TP[[#This Row],[Precio de Oficina]]*14%+TP[[#This Row],[Precio de Oficina]],"Sin Datos")</f>
        <v>Sin Datos</v>
      </c>
      <c r="W195" s="29" t="str">
        <f>IFERROR(TP[[#This Row],[Precio de Oficina]]*20%+TP[[#This Row],[Precio de Oficina]],"Sin Datos")</f>
        <v>Sin Datos</v>
      </c>
      <c r="X195" s="30" t="str">
        <f>IFERROR(TP[[#This Row],[Precio de Wix]]*33.6%+TP[[#This Row],[Precio de Wix]]+100,"Sin Datos")</f>
        <v>Sin Datos</v>
      </c>
      <c r="Z195" s="8" t="s">
        <v>417</v>
      </c>
    </row>
    <row r="196" spans="1:26" x14ac:dyDescent="0.2">
      <c r="A196" s="36" t="s">
        <v>419</v>
      </c>
      <c r="B196" s="49"/>
      <c r="C196" s="49"/>
      <c r="D196" s="53"/>
      <c r="E196" s="52"/>
      <c r="F196" s="53"/>
      <c r="G196" s="28" t="str">
        <f>IFERROR(TP[[#This Row],[Costo Real Unitario USD]]*TP[[#This Row],[Costo de Envio Total UDS]]/TP[[#This Row],[Costo Total Pedido USD]], "Sin Datos")</f>
        <v>Sin Datos</v>
      </c>
      <c r="H196" s="9">
        <f>IFERROR(TP[[#This Row],[Costo Total Pedido USD]]+TP[[#This Row],[Costo de Envio Total UDS]],"Sin Datos")</f>
        <v>0</v>
      </c>
      <c r="I196" s="52"/>
      <c r="J196" s="9" t="str">
        <f>IFERROR((TP[[#This Row],[Costo Real Unitario USD]]*TP[[#This Row],[Impuesto UDS]])/TP[[#This Row],[Costo Total Pedido USD]],"Sin Datos")</f>
        <v>Sin Datos</v>
      </c>
      <c r="K196" s="9" t="str">
        <f>IFERROR(TP[[#This Row],[Costo Real Unitario USD]]+TP[[#This Row],[Costo de Envio Unitario UDS]]+TP[[#This Row],[Impuesto Unitario UDS]],"Sin Datos")</f>
        <v>Sin Datos</v>
      </c>
      <c r="L196" s="9">
        <f>IFERROR(TP[[#This Row],[Costo Total Pedido USD]]+TP[[#This Row],[Costo de Envio Total UDS]]+TP[[#This Row],[Impuesto UDS]],"Sin Datos")</f>
        <v>0</v>
      </c>
      <c r="M196" s="14">
        <f>IFERROR(((TP[[#This Row],[Costo Total Pedido USD]]*TP[[#This Row],[DÓLAR]])*$B$3)+(TP[[#This Row],[Costo Total Pedido USD]]*TP[[#This Row],[DÓLAR]]),"Sin Datos")</f>
        <v>0</v>
      </c>
      <c r="N19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6" s="14" t="str">
        <f>IFERROR(TP[[#This Row],[Costo Total Pza. MXN]]*TP[[#This Row],[CANTIDAD]],"Sin Datos")</f>
        <v>Sin Datos</v>
      </c>
      <c r="P196" s="29" t="str">
        <f>IFERROR((((TP[[#This Row],[Costo Total Pza. UDS]]*TP[[#This Row],[DÓLAR]])*$B$3)+(TP[[#This Row],[Costo Total Pza. UDS]]*TP[[#This Row],[DÓLAR]])),"Sin Datos")</f>
        <v>Sin Datos</v>
      </c>
      <c r="Q196" s="57"/>
      <c r="R19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6" s="29" t="str">
        <f>IFERROR(TP[[#This Row],[Costo Total Pza. MXN]]+TP[[#This Row],[Impuesto Unitario MXN]],"Sin Datos")</f>
        <v>Sin Datos</v>
      </c>
      <c r="T196" s="29" t="str">
        <f>IFERROR(TP[[#This Row],[Costo Costo]]*50%+TP[[#This Row],[Costo Costo]],"Sin Datos")</f>
        <v>Sin Datos</v>
      </c>
      <c r="U196" s="14" t="str">
        <f>IFERROR(TP[[#This Row],[Precio de Oficina]]-TP[[#This Row],[Costo Costo]],"Sin Datos")</f>
        <v>Sin Datos</v>
      </c>
      <c r="V196" s="29" t="str">
        <f>IFERROR(TP[[#This Row],[Precio de Oficina]]*14%+TP[[#This Row],[Precio de Oficina]],"Sin Datos")</f>
        <v>Sin Datos</v>
      </c>
      <c r="W196" s="29" t="str">
        <f>IFERROR(TP[[#This Row],[Precio de Oficina]]*20%+TP[[#This Row],[Precio de Oficina]],"Sin Datos")</f>
        <v>Sin Datos</v>
      </c>
      <c r="X196" s="30" t="str">
        <f>IFERROR(TP[[#This Row],[Precio de Wix]]*33.6%+TP[[#This Row],[Precio de Wix]]+100,"Sin Datos")</f>
        <v>Sin Datos</v>
      </c>
      <c r="Z196" s="8" t="s">
        <v>437</v>
      </c>
    </row>
    <row r="197" spans="1:26" x14ac:dyDescent="0.2">
      <c r="A197" s="33" t="s">
        <v>421</v>
      </c>
      <c r="B197" s="49"/>
      <c r="C197" s="49"/>
      <c r="D197" s="53"/>
      <c r="E197" s="52"/>
      <c r="F197" s="53"/>
      <c r="G197" s="28" t="str">
        <f>IFERROR(TP[[#This Row],[Costo Real Unitario USD]]*TP[[#This Row],[Costo de Envio Total UDS]]/TP[[#This Row],[Costo Total Pedido USD]], "Sin Datos")</f>
        <v>Sin Datos</v>
      </c>
      <c r="H197" s="9">
        <f>IFERROR(TP[[#This Row],[Costo Total Pedido USD]]+TP[[#This Row],[Costo de Envio Total UDS]],"Sin Datos")</f>
        <v>0</v>
      </c>
      <c r="I197" s="52"/>
      <c r="J197" s="9" t="str">
        <f>IFERROR((TP[[#This Row],[Costo Real Unitario USD]]*TP[[#This Row],[Impuesto UDS]])/TP[[#This Row],[Costo Total Pedido USD]],"Sin Datos")</f>
        <v>Sin Datos</v>
      </c>
      <c r="K197" s="9" t="str">
        <f>IFERROR(TP[[#This Row],[Costo Real Unitario USD]]+TP[[#This Row],[Costo de Envio Unitario UDS]]+TP[[#This Row],[Impuesto Unitario UDS]],"Sin Datos")</f>
        <v>Sin Datos</v>
      </c>
      <c r="L197" s="9">
        <f>IFERROR(TP[[#This Row],[Costo Total Pedido USD]]+TP[[#This Row],[Costo de Envio Total UDS]]+TP[[#This Row],[Impuesto UDS]],"Sin Datos")</f>
        <v>0</v>
      </c>
      <c r="M197" s="14">
        <f>IFERROR(((TP[[#This Row],[Costo Total Pedido USD]]*TP[[#This Row],[DÓLAR]])*$B$3)+(TP[[#This Row],[Costo Total Pedido USD]]*TP[[#This Row],[DÓLAR]]),"Sin Datos")</f>
        <v>0</v>
      </c>
      <c r="N19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7" s="14" t="str">
        <f>IFERROR(TP[[#This Row],[Costo Total Pza. MXN]]*TP[[#This Row],[CANTIDAD]],"Sin Datos")</f>
        <v>Sin Datos</v>
      </c>
      <c r="P197" s="29" t="str">
        <f>IFERROR((((TP[[#This Row],[Costo Total Pza. UDS]]*TP[[#This Row],[DÓLAR]])*$B$3)+(TP[[#This Row],[Costo Total Pza. UDS]]*TP[[#This Row],[DÓLAR]])),"Sin Datos")</f>
        <v>Sin Datos</v>
      </c>
      <c r="Q197" s="57"/>
      <c r="R19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7" s="29" t="str">
        <f>IFERROR(TP[[#This Row],[Costo Total Pza. MXN]]+TP[[#This Row],[Impuesto Unitario MXN]],"Sin Datos")</f>
        <v>Sin Datos</v>
      </c>
      <c r="T197" s="29" t="str">
        <f>IFERROR(TP[[#This Row],[Costo Costo]]*50%+TP[[#This Row],[Costo Costo]],"Sin Datos")</f>
        <v>Sin Datos</v>
      </c>
      <c r="U197" s="14" t="str">
        <f>IFERROR(TP[[#This Row],[Precio de Oficina]]-TP[[#This Row],[Costo Costo]],"Sin Datos")</f>
        <v>Sin Datos</v>
      </c>
      <c r="V197" s="29" t="str">
        <f>IFERROR(TP[[#This Row],[Precio de Oficina]]*14%+TP[[#This Row],[Precio de Oficina]],"Sin Datos")</f>
        <v>Sin Datos</v>
      </c>
      <c r="W197" s="29" t="str">
        <f>IFERROR(TP[[#This Row],[Precio de Oficina]]*20%+TP[[#This Row],[Precio de Oficina]],"Sin Datos")</f>
        <v>Sin Datos</v>
      </c>
      <c r="X197" s="30" t="str">
        <f>IFERROR(TP[[#This Row],[Precio de Wix]]*33.6%+TP[[#This Row],[Precio de Wix]]+100,"Sin Datos")</f>
        <v>Sin Datos</v>
      </c>
      <c r="Z197" s="8" t="s">
        <v>421</v>
      </c>
    </row>
    <row r="198" spans="1:26" x14ac:dyDescent="0.2">
      <c r="A198" s="33" t="s">
        <v>423</v>
      </c>
      <c r="B198" s="49"/>
      <c r="C198" s="49"/>
      <c r="D198" s="53"/>
      <c r="E198" s="52"/>
      <c r="F198" s="53"/>
      <c r="G198" s="28" t="str">
        <f>IFERROR(TP[[#This Row],[Costo Real Unitario USD]]*TP[[#This Row],[Costo de Envio Total UDS]]/TP[[#This Row],[Costo Total Pedido USD]], "Sin Datos")</f>
        <v>Sin Datos</v>
      </c>
      <c r="H198" s="9">
        <f>IFERROR(TP[[#This Row],[Costo Total Pedido USD]]+TP[[#This Row],[Costo de Envio Total UDS]],"Sin Datos")</f>
        <v>0</v>
      </c>
      <c r="I198" s="52"/>
      <c r="J198" s="9" t="str">
        <f>IFERROR((TP[[#This Row],[Costo Real Unitario USD]]*TP[[#This Row],[Impuesto UDS]])/TP[[#This Row],[Costo Total Pedido USD]],"Sin Datos")</f>
        <v>Sin Datos</v>
      </c>
      <c r="K198" s="9" t="str">
        <f>IFERROR(TP[[#This Row],[Costo Real Unitario USD]]+TP[[#This Row],[Costo de Envio Unitario UDS]]+TP[[#This Row],[Impuesto Unitario UDS]],"Sin Datos")</f>
        <v>Sin Datos</v>
      </c>
      <c r="L198" s="9">
        <f>IFERROR(TP[[#This Row],[Costo Total Pedido USD]]+TP[[#This Row],[Costo de Envio Total UDS]]+TP[[#This Row],[Impuesto UDS]],"Sin Datos")</f>
        <v>0</v>
      </c>
      <c r="M198" s="14">
        <f>IFERROR(((TP[[#This Row],[Costo Total Pedido USD]]*TP[[#This Row],[DÓLAR]])*$B$3)+(TP[[#This Row],[Costo Total Pedido USD]]*TP[[#This Row],[DÓLAR]]),"Sin Datos")</f>
        <v>0</v>
      </c>
      <c r="N198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8" s="14" t="str">
        <f>IFERROR(TP[[#This Row],[Costo Total Pza. MXN]]*TP[[#This Row],[CANTIDAD]],"Sin Datos")</f>
        <v>Sin Datos</v>
      </c>
      <c r="P198" s="29" t="str">
        <f>IFERROR((((TP[[#This Row],[Costo Total Pza. UDS]]*TP[[#This Row],[DÓLAR]])*$B$3)+(TP[[#This Row],[Costo Total Pza. UDS]]*TP[[#This Row],[DÓLAR]])),"Sin Datos")</f>
        <v>Sin Datos</v>
      </c>
      <c r="Q198" s="57"/>
      <c r="R198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8" s="29" t="str">
        <f>IFERROR(TP[[#This Row],[Costo Total Pza. MXN]]+TP[[#This Row],[Impuesto Unitario MXN]],"Sin Datos")</f>
        <v>Sin Datos</v>
      </c>
      <c r="T198" s="29" t="str">
        <f>IFERROR(TP[[#This Row],[Costo Costo]]*50%+TP[[#This Row],[Costo Costo]],"Sin Datos")</f>
        <v>Sin Datos</v>
      </c>
      <c r="U198" s="14" t="str">
        <f>IFERROR(TP[[#This Row],[Precio de Oficina]]-TP[[#This Row],[Costo Costo]],"Sin Datos")</f>
        <v>Sin Datos</v>
      </c>
      <c r="V198" s="29" t="str">
        <f>IFERROR(TP[[#This Row],[Precio de Oficina]]*14%+TP[[#This Row],[Precio de Oficina]],"Sin Datos")</f>
        <v>Sin Datos</v>
      </c>
      <c r="W198" s="29" t="str">
        <f>IFERROR(TP[[#This Row],[Precio de Oficina]]*20%+TP[[#This Row],[Precio de Oficina]],"Sin Datos")</f>
        <v>Sin Datos</v>
      </c>
      <c r="X198" s="30" t="str">
        <f>IFERROR(TP[[#This Row],[Precio de Wix]]*33.6%+TP[[#This Row],[Precio de Wix]]+100,"Sin Datos")</f>
        <v>Sin Datos</v>
      </c>
      <c r="Z198" s="8" t="s">
        <v>423</v>
      </c>
    </row>
    <row r="199" spans="1:26" x14ac:dyDescent="0.2">
      <c r="A199" s="36" t="s">
        <v>425</v>
      </c>
      <c r="B199" s="49"/>
      <c r="C199" s="49"/>
      <c r="D199" s="53"/>
      <c r="E199" s="52"/>
      <c r="F199" s="53"/>
      <c r="G199" s="28" t="str">
        <f>IFERROR(TP[[#This Row],[Costo Real Unitario USD]]*TP[[#This Row],[Costo de Envio Total UDS]]/TP[[#This Row],[Costo Total Pedido USD]], "Sin Datos")</f>
        <v>Sin Datos</v>
      </c>
      <c r="H199" s="9">
        <f>IFERROR(TP[[#This Row],[Costo Total Pedido USD]]+TP[[#This Row],[Costo de Envio Total UDS]],"Sin Datos")</f>
        <v>0</v>
      </c>
      <c r="I199" s="52"/>
      <c r="J199" s="9" t="str">
        <f>IFERROR((TP[[#This Row],[Costo Real Unitario USD]]*TP[[#This Row],[Impuesto UDS]])/TP[[#This Row],[Costo Total Pedido USD]],"Sin Datos")</f>
        <v>Sin Datos</v>
      </c>
      <c r="K199" s="9" t="str">
        <f>IFERROR(TP[[#This Row],[Costo Real Unitario USD]]+TP[[#This Row],[Costo de Envio Unitario UDS]]+TP[[#This Row],[Impuesto Unitario UDS]],"Sin Datos")</f>
        <v>Sin Datos</v>
      </c>
      <c r="L199" s="9">
        <f>IFERROR(TP[[#This Row],[Costo Total Pedido USD]]+TP[[#This Row],[Costo de Envio Total UDS]]+TP[[#This Row],[Impuesto UDS]],"Sin Datos")</f>
        <v>0</v>
      </c>
      <c r="M199" s="14">
        <f>IFERROR(((TP[[#This Row],[Costo Total Pedido USD]]*TP[[#This Row],[DÓLAR]])*$B$3)+(TP[[#This Row],[Costo Total Pedido USD]]*TP[[#This Row],[DÓLAR]]),"Sin Datos")</f>
        <v>0</v>
      </c>
      <c r="N19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199" s="14" t="str">
        <f>IFERROR(TP[[#This Row],[Costo Total Pza. MXN]]*TP[[#This Row],[CANTIDAD]],"Sin Datos")</f>
        <v>Sin Datos</v>
      </c>
      <c r="P199" s="29" t="str">
        <f>IFERROR((((TP[[#This Row],[Costo Total Pza. UDS]]*TP[[#This Row],[DÓLAR]])*$B$3)+(TP[[#This Row],[Costo Total Pza. UDS]]*TP[[#This Row],[DÓLAR]])),"Sin Datos")</f>
        <v>Sin Datos</v>
      </c>
      <c r="Q199" s="57"/>
      <c r="R19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199" s="29" t="str">
        <f>IFERROR(TP[[#This Row],[Costo Total Pza. MXN]]+TP[[#This Row],[Impuesto Unitario MXN]],"Sin Datos")</f>
        <v>Sin Datos</v>
      </c>
      <c r="T199" s="29" t="str">
        <f>IFERROR(TP[[#This Row],[Costo Costo]]*50%+TP[[#This Row],[Costo Costo]],"Sin Datos")</f>
        <v>Sin Datos</v>
      </c>
      <c r="U199" s="14" t="str">
        <f>IFERROR(TP[[#This Row],[Precio de Oficina]]-TP[[#This Row],[Costo Costo]],"Sin Datos")</f>
        <v>Sin Datos</v>
      </c>
      <c r="V199" s="29" t="str">
        <f>IFERROR(TP[[#This Row],[Precio de Oficina]]*14%+TP[[#This Row],[Precio de Oficina]],"Sin Datos")</f>
        <v>Sin Datos</v>
      </c>
      <c r="W199" s="29" t="str">
        <f>IFERROR(TP[[#This Row],[Precio de Oficina]]*20%+TP[[#This Row],[Precio de Oficina]],"Sin Datos")</f>
        <v>Sin Datos</v>
      </c>
      <c r="X199" s="30" t="str">
        <f>IFERROR(TP[[#This Row],[Precio de Wix]]*33.6%+TP[[#This Row],[Precio de Wix]]+100,"Sin Datos")</f>
        <v>Sin Datos</v>
      </c>
      <c r="Z199" s="8" t="s">
        <v>425</v>
      </c>
    </row>
    <row r="200" spans="1:26" x14ac:dyDescent="0.2">
      <c r="A200" s="36" t="s">
        <v>426</v>
      </c>
      <c r="B200" s="48"/>
      <c r="C200" s="48"/>
      <c r="D200" s="52"/>
      <c r="E200" s="52"/>
      <c r="F200" s="52"/>
      <c r="G200" s="9" t="str">
        <f>IFERROR(TP[[#This Row],[Costo Real Unitario USD]]*TP[[#This Row],[Costo de Envio Total UDS]]/TP[[#This Row],[Costo Total Pedido USD]], "Sin Datos")</f>
        <v>Sin Datos</v>
      </c>
      <c r="H200" s="9">
        <f>IFERROR(TP[[#This Row],[Costo Total Pedido USD]]+TP[[#This Row],[Costo de Envio Total UDS]],"Sin Datos")</f>
        <v>0</v>
      </c>
      <c r="I200" s="52"/>
      <c r="J200" s="9" t="str">
        <f>IFERROR((TP[[#This Row],[Costo Real Unitario USD]]*TP[[#This Row],[Impuesto UDS]])/TP[[#This Row],[Costo Total Pedido USD]],"Sin Datos")</f>
        <v>Sin Datos</v>
      </c>
      <c r="K200" s="9" t="str">
        <f>IFERROR(TP[[#This Row],[Costo Real Unitario USD]]+TP[[#This Row],[Costo de Envio Unitario UDS]]+TP[[#This Row],[Impuesto Unitario UDS]],"Sin Datos")</f>
        <v>Sin Datos</v>
      </c>
      <c r="L200" s="9">
        <f>IFERROR(TP[[#This Row],[Costo Total Pedido USD]]+TP[[#This Row],[Costo de Envio Total UDS]]+TP[[#This Row],[Impuesto UDS]],"Sin Datos")</f>
        <v>0</v>
      </c>
      <c r="M200" s="14">
        <f>IFERROR(((TP[[#This Row],[Costo Total Pedido USD]]*TP[[#This Row],[DÓLAR]])*$B$3)+(TP[[#This Row],[Costo Total Pedido USD]]*TP[[#This Row],[DÓLAR]]),"Sin Datos")</f>
        <v>0</v>
      </c>
      <c r="N200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0" s="14" t="str">
        <f>IFERROR(TP[[#This Row],[Costo Total Pza. MXN]]*TP[[#This Row],[CANTIDAD]],"Sin Datos")</f>
        <v>Sin Datos</v>
      </c>
      <c r="P200" s="14" t="str">
        <f>IFERROR((((TP[[#This Row],[Costo Total Pza. UDS]]*TP[[#This Row],[DÓLAR]])*$B$3)+(TP[[#This Row],[Costo Total Pza. UDS]]*TP[[#This Row],[DÓLAR]])),"Sin Datos")</f>
        <v>Sin Datos</v>
      </c>
      <c r="Q200" s="56"/>
      <c r="R200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0" s="14" t="str">
        <f>IFERROR(TP[[#This Row],[Costo Total Pza. MXN]]+TP[[#This Row],[Impuesto Unitario MXN]],"Sin Datos")</f>
        <v>Sin Datos</v>
      </c>
      <c r="T200" s="14" t="str">
        <f>IFERROR(TP[[#This Row],[Costo Costo]]*50%+TP[[#This Row],[Costo Costo]],"Sin Datos")</f>
        <v>Sin Datos</v>
      </c>
      <c r="U200" s="14" t="str">
        <f>IFERROR(TP[[#This Row],[Precio de Oficina]]-TP[[#This Row],[Costo Costo]],"Sin Datos")</f>
        <v>Sin Datos</v>
      </c>
      <c r="V200" s="14" t="str">
        <f>IFERROR(TP[[#This Row],[Precio de Oficina]]*14%+TP[[#This Row],[Precio de Oficina]],"Sin Datos")</f>
        <v>Sin Datos</v>
      </c>
      <c r="W200" s="14" t="str">
        <f>IFERROR(TP[[#This Row],[Precio de Oficina]]*20%+TP[[#This Row],[Precio de Oficina]],"Sin Datos")</f>
        <v>Sin Datos</v>
      </c>
      <c r="X200" s="27" t="str">
        <f>IFERROR(TP[[#This Row],[Precio de Wix]]*33.6%+TP[[#This Row],[Precio de Wix]]+100,"Sin Datos")</f>
        <v>Sin Datos</v>
      </c>
      <c r="Z200" s="8" t="s">
        <v>426</v>
      </c>
    </row>
    <row r="201" spans="1:26" x14ac:dyDescent="0.2">
      <c r="A201" s="36" t="s">
        <v>430</v>
      </c>
      <c r="B201" s="49"/>
      <c r="C201" s="49"/>
      <c r="D201" s="53"/>
      <c r="E201" s="52"/>
      <c r="F201" s="53"/>
      <c r="G201" s="28" t="str">
        <f>IFERROR(TP[[#This Row],[Costo Real Unitario USD]]*TP[[#This Row],[Costo de Envio Total UDS]]/TP[[#This Row],[Costo Total Pedido USD]], "Sin Datos")</f>
        <v>Sin Datos</v>
      </c>
      <c r="H201" s="9">
        <f>IFERROR(TP[[#This Row],[Costo Total Pedido USD]]+TP[[#This Row],[Costo de Envio Total UDS]],"Sin Datos")</f>
        <v>0</v>
      </c>
      <c r="I201" s="52"/>
      <c r="J201" s="9" t="str">
        <f>IFERROR((TP[[#This Row],[Costo Real Unitario USD]]*TP[[#This Row],[Impuesto UDS]])/TP[[#This Row],[Costo Total Pedido USD]],"Sin Datos")</f>
        <v>Sin Datos</v>
      </c>
      <c r="K201" s="9" t="str">
        <f>IFERROR(TP[[#This Row],[Costo Real Unitario USD]]+TP[[#This Row],[Costo de Envio Unitario UDS]]+TP[[#This Row],[Impuesto Unitario UDS]],"Sin Datos")</f>
        <v>Sin Datos</v>
      </c>
      <c r="L201" s="9">
        <f>IFERROR(TP[[#This Row],[Costo Total Pedido USD]]+TP[[#This Row],[Costo de Envio Total UDS]]+TP[[#This Row],[Impuesto UDS]],"Sin Datos")</f>
        <v>0</v>
      </c>
      <c r="M201" s="14">
        <f>IFERROR(((TP[[#This Row],[Costo Total Pedido USD]]*TP[[#This Row],[DÓLAR]])*$B$3)+(TP[[#This Row],[Costo Total Pedido USD]]*TP[[#This Row],[DÓLAR]]),"Sin Datos")</f>
        <v>0</v>
      </c>
      <c r="N201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1" s="14" t="str">
        <f>IFERROR(TP[[#This Row],[Costo Total Pza. MXN]]*TP[[#This Row],[CANTIDAD]],"Sin Datos")</f>
        <v>Sin Datos</v>
      </c>
      <c r="P201" s="29" t="str">
        <f>IFERROR((((TP[[#This Row],[Costo Total Pza. UDS]]*TP[[#This Row],[DÓLAR]])*$B$3)+(TP[[#This Row],[Costo Total Pza. UDS]]*TP[[#This Row],[DÓLAR]])),"Sin Datos")</f>
        <v>Sin Datos</v>
      </c>
      <c r="Q201" s="57"/>
      <c r="R20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1" s="29" t="str">
        <f>IFERROR(TP[[#This Row],[Costo Total Pza. MXN]]+TP[[#This Row],[Impuesto Unitario MXN]],"Sin Datos")</f>
        <v>Sin Datos</v>
      </c>
      <c r="T201" s="29" t="str">
        <f>IFERROR(TP[[#This Row],[Costo Costo]]*50%+TP[[#This Row],[Costo Costo]],"Sin Datos")</f>
        <v>Sin Datos</v>
      </c>
      <c r="U201" s="14" t="str">
        <f>IFERROR(TP[[#This Row],[Precio de Oficina]]-TP[[#This Row],[Costo Costo]],"Sin Datos")</f>
        <v>Sin Datos</v>
      </c>
      <c r="V201" s="29" t="str">
        <f>IFERROR(TP[[#This Row],[Precio de Oficina]]*14%+TP[[#This Row],[Precio de Oficina]],"Sin Datos")</f>
        <v>Sin Datos</v>
      </c>
      <c r="W201" s="29" t="str">
        <f>IFERROR(TP[[#This Row],[Precio de Oficina]]*20%+TP[[#This Row],[Precio de Oficina]],"Sin Datos")</f>
        <v>Sin Datos</v>
      </c>
      <c r="X201" s="30" t="str">
        <f>IFERROR(TP[[#This Row],[Precio de Wix]]*33.6%+TP[[#This Row],[Precio de Wix]]+100,"Sin Datos")</f>
        <v>Sin Datos</v>
      </c>
      <c r="Z201" s="8" t="s">
        <v>430</v>
      </c>
    </row>
    <row r="202" spans="1:26" x14ac:dyDescent="0.2">
      <c r="A202" s="36" t="s">
        <v>432</v>
      </c>
      <c r="B202" s="72">
        <v>19.940000000000001</v>
      </c>
      <c r="C202" s="49">
        <v>1</v>
      </c>
      <c r="D202" s="53">
        <v>650</v>
      </c>
      <c r="E202" s="53">
        <v>1130</v>
      </c>
      <c r="F202" s="53">
        <v>1300</v>
      </c>
      <c r="G202" s="28">
        <f>IFERROR(TP[[#This Row],[Costo Real Unitario USD]]*TP[[#This Row],[Costo de Envio Total UDS]]/TP[[#This Row],[Costo Total Pedido USD]], "Sin Datos")</f>
        <v>747.78761061946898</v>
      </c>
      <c r="H202" s="9">
        <f>IFERROR(TP[[#This Row],[Costo Total Pedido USD]]+TP[[#This Row],[Costo de Envio Total UDS]],"Sin Datos")</f>
        <v>2430</v>
      </c>
      <c r="I202" s="52"/>
      <c r="J202" s="9">
        <f>IFERROR((TP[[#This Row],[Costo Real Unitario USD]]*TP[[#This Row],[Impuesto UDS]])/TP[[#This Row],[Costo Total Pedido USD]],"Sin Datos")</f>
        <v>0</v>
      </c>
      <c r="K202" s="9">
        <f>IFERROR(TP[[#This Row],[Costo Real Unitario USD]]+TP[[#This Row],[Costo de Envio Unitario UDS]]+TP[[#This Row],[Impuesto Unitario UDS]],"Sin Datos")</f>
        <v>1397.787610619469</v>
      </c>
      <c r="L202" s="9">
        <f>IFERROR(TP[[#This Row],[Costo Total Pedido USD]]+TP[[#This Row],[Costo de Envio Total UDS]]+TP[[#This Row],[Impuesto UDS]],"Sin Datos")</f>
        <v>2430</v>
      </c>
      <c r="M202" s="29">
        <f>IFERROR(((TP[[#This Row],[Costo Total Pedido USD]]*TP[[#This Row],[DÓLAR]])*$B$3)+(TP[[#This Row],[Costo Total Pedido USD]]*TP[[#This Row],[DÓLAR]]),"Sin Datos")</f>
        <v>23658.81</v>
      </c>
      <c r="N202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50876.91</v>
      </c>
      <c r="O202" s="14">
        <f>IFERROR(TP[[#This Row],[Costo Total Pza. MXN]]*TP[[#This Row],[CANTIDAD]],"Sin Datos")</f>
        <v>29265.47920353982</v>
      </c>
      <c r="P202" s="29">
        <f>IFERROR((((TP[[#This Row],[Costo Total Pza. UDS]]*TP[[#This Row],[DÓLAR]])*$B$3)+(TP[[#This Row],[Costo Total Pza. UDS]]*TP[[#This Row],[DÓLAR]])),"Sin Datos")</f>
        <v>29265.47920353982</v>
      </c>
      <c r="Q202" s="57">
        <v>1798.25</v>
      </c>
      <c r="R202" s="29">
        <f>IFERROR((((TP[[#This Row],[Costo Real Unitario USD]]*TP[[#This Row],[DÓLAR]])*$B$3)+(TP[[#This Row],[Costo Real Unitario USD]]*TP[[#This Row],[DÓLAR]]))*TP[[#This Row],[Impuesto MXN]]/TP[[#This Row],[Costo Real Pedido MXN]],"Sin Datos")</f>
        <v>1034.3915929203538</v>
      </c>
      <c r="S202" s="29">
        <f>IFERROR(TP[[#This Row],[Costo Total Pza. MXN]]+TP[[#This Row],[Impuesto Unitario MXN]],"Sin Datos")</f>
        <v>30299.870796460174</v>
      </c>
      <c r="T202" s="29">
        <f>IFERROR(TP[[#This Row],[Costo Costo]]*50%+TP[[#This Row],[Costo Costo]],"Sin Datos")</f>
        <v>45449.80619469026</v>
      </c>
      <c r="U202" s="14">
        <f>IFERROR(TP[[#This Row],[Precio de Oficina]]-TP[[#This Row],[Costo Costo]],"Sin Datos")</f>
        <v>15149.935398230085</v>
      </c>
      <c r="V202" s="29">
        <f>IFERROR(TP[[#This Row],[Precio de Oficina]]*14%+TP[[#This Row],[Precio de Oficina]],"Sin Datos")</f>
        <v>51812.779061946894</v>
      </c>
      <c r="W202" s="29">
        <f>IFERROR(TP[[#This Row],[Precio de Oficina]]*20%+TP[[#This Row],[Precio de Oficina]],"Sin Datos")</f>
        <v>54539.767433628309</v>
      </c>
      <c r="X202" s="30">
        <f>IFERROR(TP[[#This Row],[Precio de Wix]]*33.6%+TP[[#This Row],[Precio de Wix]]+100,"Sin Datos")</f>
        <v>72965.129291327423</v>
      </c>
      <c r="Z202" s="8" t="s">
        <v>432</v>
      </c>
    </row>
    <row r="203" spans="1:26" x14ac:dyDescent="0.2">
      <c r="A203" s="36" t="s">
        <v>435</v>
      </c>
      <c r="B203" s="72">
        <v>20.03</v>
      </c>
      <c r="C203" s="49">
        <v>10</v>
      </c>
      <c r="D203" s="53">
        <v>34</v>
      </c>
      <c r="E203" s="53">
        <v>610</v>
      </c>
      <c r="F203" s="53">
        <v>430</v>
      </c>
      <c r="G203" s="28">
        <f>IFERROR(TP[[#This Row],[Costo Real Unitario USD]]*TP[[#This Row],[Costo de Envio Total UDS]]/TP[[#This Row],[Costo Total Pedido USD]], "Sin Datos")</f>
        <v>23.967213114754099</v>
      </c>
      <c r="H203" s="9">
        <f>IFERROR(TP[[#This Row],[Costo Total Pedido USD]]+TP[[#This Row],[Costo de Envio Total UDS]],"Sin Datos")</f>
        <v>1040</v>
      </c>
      <c r="I203" s="52"/>
      <c r="J203" s="9">
        <f>IFERROR((TP[[#This Row],[Costo Real Unitario USD]]*TP[[#This Row],[Impuesto UDS]])/TP[[#This Row],[Costo Total Pedido USD]],"Sin Datos")</f>
        <v>0</v>
      </c>
      <c r="K203" s="9">
        <f>IFERROR(TP[[#This Row],[Costo Real Unitario USD]]+TP[[#This Row],[Costo de Envio Unitario UDS]]+TP[[#This Row],[Impuesto Unitario UDS]],"Sin Datos")</f>
        <v>57.967213114754102</v>
      </c>
      <c r="L203" s="9">
        <f>IFERROR(TP[[#This Row],[Costo Total Pedido USD]]+TP[[#This Row],[Costo de Envio Total UDS]]+TP[[#This Row],[Impuesto UDS]],"Sin Datos")</f>
        <v>1040</v>
      </c>
      <c r="M203" s="29">
        <f>IFERROR(((TP[[#This Row],[Costo Total Pedido USD]]*TP[[#This Row],[DÓLAR]])*$B$3)+(TP[[#This Row],[Costo Total Pedido USD]]*TP[[#This Row],[DÓLAR]]),"Sin Datos")</f>
        <v>12829.215000000002</v>
      </c>
      <c r="N203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21872.760000000002</v>
      </c>
      <c r="O203" s="14">
        <f>IFERROR(TP[[#This Row],[Costo Total Pza. MXN]]*TP[[#This Row],[CANTIDAD]],"Sin Datos")</f>
        <v>12191.374426229511</v>
      </c>
      <c r="P203" s="29">
        <f>IFERROR((((TP[[#This Row],[Costo Total Pza. UDS]]*TP[[#This Row],[DÓLAR]])*$B$3)+(TP[[#This Row],[Costo Total Pza. UDS]]*TP[[#This Row],[DÓLAR]])),"Sin Datos")</f>
        <v>1219.1374426229511</v>
      </c>
      <c r="Q203" s="57">
        <v>1056</v>
      </c>
      <c r="R203" s="29">
        <f>IFERROR((((TP[[#This Row],[Costo Real Unitario USD]]*TP[[#This Row],[DÓLAR]])*$B$3)+(TP[[#This Row],[Costo Real Unitario USD]]*TP[[#This Row],[DÓLAR]]))*TP[[#This Row],[Impuesto MXN]]/TP[[#This Row],[Costo Real Pedido MXN]],"Sin Datos")</f>
        <v>58.859016393442616</v>
      </c>
      <c r="S203" s="29">
        <f>IFERROR(TP[[#This Row],[Costo Total Pza. MXN]]+TP[[#This Row],[Impuesto Unitario MXN]],"Sin Datos")</f>
        <v>1277.9964590163936</v>
      </c>
      <c r="T203" s="29">
        <f>IFERROR(TP[[#This Row],[Costo Costo]]*50%+TP[[#This Row],[Costo Costo]],"Sin Datos")</f>
        <v>1916.9946885245904</v>
      </c>
      <c r="U203" s="14">
        <f>IFERROR(TP[[#This Row],[Precio de Oficina]]-TP[[#This Row],[Costo Costo]],"Sin Datos")</f>
        <v>638.9982295081968</v>
      </c>
      <c r="V203" s="29">
        <f>IFERROR(TP[[#This Row],[Precio de Oficina]]*14%+TP[[#This Row],[Precio de Oficina]],"Sin Datos")</f>
        <v>2185.373944918033</v>
      </c>
      <c r="W203" s="29">
        <f>IFERROR(TP[[#This Row],[Precio de Oficina]]*20%+TP[[#This Row],[Precio de Oficina]],"Sin Datos")</f>
        <v>2300.3936262295083</v>
      </c>
      <c r="X203" s="30">
        <f>IFERROR(TP[[#This Row],[Precio de Wix]]*33.6%+TP[[#This Row],[Precio de Wix]]+100,"Sin Datos")</f>
        <v>3173.3258846426234</v>
      </c>
      <c r="Z203" s="8" t="s">
        <v>435</v>
      </c>
    </row>
    <row r="204" spans="1:26" x14ac:dyDescent="0.2">
      <c r="A204" s="36" t="s">
        <v>436</v>
      </c>
      <c r="B204" s="85">
        <v>20.03</v>
      </c>
      <c r="C204" s="48">
        <v>10</v>
      </c>
      <c r="D204" s="52">
        <v>7</v>
      </c>
      <c r="E204" s="53">
        <v>610</v>
      </c>
      <c r="F204" s="52">
        <v>430</v>
      </c>
      <c r="G204" s="9">
        <f>IFERROR(TP[[#This Row],[Costo Real Unitario USD]]*TP[[#This Row],[Costo de Envio Total UDS]]/TP[[#This Row],[Costo Total Pedido USD]], "Sin Datos")</f>
        <v>4.9344262295081966</v>
      </c>
      <c r="H204" s="9">
        <f>IFERROR(TP[[#This Row],[Costo Total Pedido USD]]+TP[[#This Row],[Costo de Envio Total UDS]],"Sin Datos")</f>
        <v>1040</v>
      </c>
      <c r="I204" s="52"/>
      <c r="J204" s="9">
        <f>IFERROR((TP[[#This Row],[Costo Real Unitario USD]]*TP[[#This Row],[Impuesto UDS]])/TP[[#This Row],[Costo Total Pedido USD]],"Sin Datos")</f>
        <v>0</v>
      </c>
      <c r="K204" s="9">
        <f>IFERROR(TP[[#This Row],[Costo Real Unitario USD]]+TP[[#This Row],[Costo de Envio Unitario UDS]]+TP[[#This Row],[Impuesto Unitario UDS]],"Sin Datos")</f>
        <v>11.934426229508198</v>
      </c>
      <c r="L204" s="9">
        <f>IFERROR(TP[[#This Row],[Costo Total Pedido USD]]+TP[[#This Row],[Costo de Envio Total UDS]]+TP[[#This Row],[Impuesto UDS]],"Sin Datos")</f>
        <v>1040</v>
      </c>
      <c r="M204" s="29">
        <f>IFERROR(((TP[[#This Row],[Costo Total Pedido USD]]*TP[[#This Row],[DÓLAR]])*$B$3)+(TP[[#This Row],[Costo Total Pedido USD]]*TP[[#This Row],[DÓLAR]]),"Sin Datos")</f>
        <v>12829.215000000002</v>
      </c>
      <c r="N204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21872.760000000002</v>
      </c>
      <c r="O204" s="14">
        <f>IFERROR(TP[[#This Row],[Costo Total Pza. MXN]]*TP[[#This Row],[CANTIDAD]],"Sin Datos")</f>
        <v>2509.9888524590165</v>
      </c>
      <c r="P204" s="14">
        <f>IFERROR((((TP[[#This Row],[Costo Total Pza. UDS]]*TP[[#This Row],[DÓLAR]])*$B$3)+(TP[[#This Row],[Costo Total Pza. UDS]]*TP[[#This Row],[DÓLAR]])),"Sin Datos")</f>
        <v>250.99888524590165</v>
      </c>
      <c r="Q204" s="56">
        <v>1056</v>
      </c>
      <c r="R204" s="14">
        <f>IFERROR((((TP[[#This Row],[Costo Real Unitario USD]]*TP[[#This Row],[DÓLAR]])*$B$3)+(TP[[#This Row],[Costo Real Unitario USD]]*TP[[#This Row],[DÓLAR]]))*TP[[#This Row],[Impuesto MXN]]/TP[[#This Row],[Costo Real Pedido MXN]],"Sin Datos")</f>
        <v>12.118032786885246</v>
      </c>
      <c r="S204" s="14">
        <f>IFERROR(TP[[#This Row],[Costo Total Pza. MXN]]+TP[[#This Row],[Impuesto Unitario MXN]],"Sin Datos")</f>
        <v>263.11691803278688</v>
      </c>
      <c r="T204" s="14">
        <f>IFERROR(TP[[#This Row],[Costo Costo]]*50%+TP[[#This Row],[Costo Costo]],"Sin Datos")</f>
        <v>394.67537704918033</v>
      </c>
      <c r="U204" s="14">
        <f>IFERROR(TP[[#This Row],[Precio de Oficina]]-TP[[#This Row],[Costo Costo]],"Sin Datos")</f>
        <v>131.55845901639344</v>
      </c>
      <c r="V204" s="14">
        <f>IFERROR(TP[[#This Row],[Precio de Oficina]]*14%+TP[[#This Row],[Precio de Oficina]],"Sin Datos")</f>
        <v>449.92992983606558</v>
      </c>
      <c r="W204" s="14">
        <f>IFERROR(TP[[#This Row],[Precio de Oficina]]*20%+TP[[#This Row],[Precio de Oficina]],"Sin Datos")</f>
        <v>473.61045245901641</v>
      </c>
      <c r="X204" s="27">
        <f>IFERROR(TP[[#This Row],[Precio de Wix]]*33.6%+TP[[#This Row],[Precio de Wix]]+100,"Sin Datos")</f>
        <v>732.743564485246</v>
      </c>
      <c r="Z204" s="8" t="s">
        <v>436</v>
      </c>
    </row>
    <row r="205" spans="1:26" x14ac:dyDescent="0.2">
      <c r="A205" s="36" t="s">
        <v>439</v>
      </c>
      <c r="B205" s="49"/>
      <c r="C205" s="49"/>
      <c r="D205" s="53"/>
      <c r="E205" s="52"/>
      <c r="F205" s="53"/>
      <c r="G205" s="28" t="str">
        <f>IFERROR(TP[[#This Row],[Costo Real Unitario USD]]*TP[[#This Row],[Costo de Envio Total UDS]]/TP[[#This Row],[Costo Total Pedido USD]], "Sin Datos")</f>
        <v>Sin Datos</v>
      </c>
      <c r="H205" s="9">
        <f>IFERROR(TP[[#This Row],[Costo Total Pedido USD]]+TP[[#This Row],[Costo de Envio Total UDS]],"Sin Datos")</f>
        <v>0</v>
      </c>
      <c r="I205" s="52"/>
      <c r="J205" s="9" t="str">
        <f>IFERROR((TP[[#This Row],[Costo Real Unitario USD]]*TP[[#This Row],[Impuesto UDS]])/TP[[#This Row],[Costo Total Pedido USD]],"Sin Datos")</f>
        <v>Sin Datos</v>
      </c>
      <c r="K205" s="9" t="str">
        <f>IFERROR(TP[[#This Row],[Costo Real Unitario USD]]+TP[[#This Row],[Costo de Envio Unitario UDS]]+TP[[#This Row],[Impuesto Unitario UDS]],"Sin Datos")</f>
        <v>Sin Datos</v>
      </c>
      <c r="L205" s="9">
        <f>IFERROR(TP[[#This Row],[Costo Total Pedido USD]]+TP[[#This Row],[Costo de Envio Total UDS]]+TP[[#This Row],[Impuesto UDS]],"Sin Datos")</f>
        <v>0</v>
      </c>
      <c r="M205" s="14">
        <f>IFERROR(((TP[[#This Row],[Costo Total Pedido USD]]*TP[[#This Row],[DÓLAR]])*$B$3)+(TP[[#This Row],[Costo Total Pedido USD]]*TP[[#This Row],[DÓLAR]]),"Sin Datos")</f>
        <v>0</v>
      </c>
      <c r="N205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5" s="14" t="str">
        <f>IFERROR(TP[[#This Row],[Costo Total Pza. MXN]]*TP[[#This Row],[CANTIDAD]],"Sin Datos")</f>
        <v>Sin Datos</v>
      </c>
      <c r="P205" s="29" t="str">
        <f>IFERROR((((TP[[#This Row],[Costo Total Pza. UDS]]*TP[[#This Row],[DÓLAR]])*$B$3)+(TP[[#This Row],[Costo Total Pza. UDS]]*TP[[#This Row],[DÓLAR]])),"Sin Datos")</f>
        <v>Sin Datos</v>
      </c>
      <c r="Q205" s="57"/>
      <c r="R205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5" s="29" t="str">
        <f>IFERROR(TP[[#This Row],[Costo Total Pza. MXN]]+TP[[#This Row],[Impuesto Unitario MXN]],"Sin Datos")</f>
        <v>Sin Datos</v>
      </c>
      <c r="T205" s="29" t="str">
        <f>IFERROR(TP[[#This Row],[Costo Costo]]*50%+TP[[#This Row],[Costo Costo]],"Sin Datos")</f>
        <v>Sin Datos</v>
      </c>
      <c r="U205" s="14" t="str">
        <f>IFERROR(TP[[#This Row],[Precio de Oficina]]-TP[[#This Row],[Costo Costo]],"Sin Datos")</f>
        <v>Sin Datos</v>
      </c>
      <c r="V205" s="29" t="str">
        <f>IFERROR(TP[[#This Row],[Precio de Oficina]]*14%+TP[[#This Row],[Precio de Oficina]],"Sin Datos")</f>
        <v>Sin Datos</v>
      </c>
      <c r="W205" s="29" t="str">
        <f>IFERROR(TP[[#This Row],[Precio de Oficina]]*20%+TP[[#This Row],[Precio de Oficina]],"Sin Datos")</f>
        <v>Sin Datos</v>
      </c>
      <c r="X205" s="30" t="str">
        <f>IFERROR(TP[[#This Row],[Precio de Wix]]*33.6%+TP[[#This Row],[Precio de Wix]]+100,"Sin Datos")</f>
        <v>Sin Datos</v>
      </c>
      <c r="Z205" s="5"/>
    </row>
    <row r="206" spans="1:26" x14ac:dyDescent="0.2">
      <c r="A206" s="36" t="s">
        <v>437</v>
      </c>
      <c r="B206" s="49"/>
      <c r="C206" s="49"/>
      <c r="D206" s="53"/>
      <c r="E206" s="52"/>
      <c r="F206" s="53"/>
      <c r="G206" s="28" t="str">
        <f>IFERROR(TP[[#This Row],[Costo Real Unitario USD]]*TP[[#This Row],[Costo de Envio Total UDS]]/TP[[#This Row],[Costo Total Pedido USD]], "Sin Datos")</f>
        <v>Sin Datos</v>
      </c>
      <c r="H206" s="9">
        <f>IFERROR(TP[[#This Row],[Costo Total Pedido USD]]+TP[[#This Row],[Costo de Envio Total UDS]],"Sin Datos")</f>
        <v>0</v>
      </c>
      <c r="I206" s="52"/>
      <c r="J206" s="9" t="str">
        <f>IFERROR((TP[[#This Row],[Costo Real Unitario USD]]*TP[[#This Row],[Impuesto UDS]])/TP[[#This Row],[Costo Total Pedido USD]],"Sin Datos")</f>
        <v>Sin Datos</v>
      </c>
      <c r="K206" s="9" t="str">
        <f>IFERROR(TP[[#This Row],[Costo Real Unitario USD]]+TP[[#This Row],[Costo de Envio Unitario UDS]]+TP[[#This Row],[Impuesto Unitario UDS]],"Sin Datos")</f>
        <v>Sin Datos</v>
      </c>
      <c r="L206" s="9">
        <f>IFERROR(TP[[#This Row],[Costo Total Pedido USD]]+TP[[#This Row],[Costo de Envio Total UDS]]+TP[[#This Row],[Impuesto UDS]],"Sin Datos")</f>
        <v>0</v>
      </c>
      <c r="M206" s="14">
        <f>IFERROR(((TP[[#This Row],[Costo Total Pedido USD]]*TP[[#This Row],[DÓLAR]])*$B$3)+(TP[[#This Row],[Costo Total Pedido USD]]*TP[[#This Row],[DÓLAR]]),"Sin Datos")</f>
        <v>0</v>
      </c>
      <c r="N206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6" s="14" t="str">
        <f>IFERROR(TP[[#This Row],[Costo Total Pza. MXN]]*TP[[#This Row],[CANTIDAD]],"Sin Datos")</f>
        <v>Sin Datos</v>
      </c>
      <c r="P206" s="29" t="str">
        <f>IFERROR((((TP[[#This Row],[Costo Total Pza. UDS]]*TP[[#This Row],[DÓLAR]])*$B$3)+(TP[[#This Row],[Costo Total Pza. UDS]]*TP[[#This Row],[DÓLAR]])),"Sin Datos")</f>
        <v>Sin Datos</v>
      </c>
      <c r="Q206" s="57"/>
      <c r="R206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6" s="29" t="str">
        <f>IFERROR(TP[[#This Row],[Costo Total Pza. MXN]]+TP[[#This Row],[Impuesto Unitario MXN]],"Sin Datos")</f>
        <v>Sin Datos</v>
      </c>
      <c r="T206" s="29" t="str">
        <f>IFERROR(TP[[#This Row],[Costo Costo]]*50%+TP[[#This Row],[Costo Costo]],"Sin Datos")</f>
        <v>Sin Datos</v>
      </c>
      <c r="U206" s="14" t="str">
        <f>IFERROR(TP[[#This Row],[Precio de Oficina]]-TP[[#This Row],[Costo Costo]],"Sin Datos")</f>
        <v>Sin Datos</v>
      </c>
      <c r="V206" s="29" t="str">
        <f>IFERROR(TP[[#This Row],[Precio de Oficina]]*14%+TP[[#This Row],[Precio de Oficina]],"Sin Datos")</f>
        <v>Sin Datos</v>
      </c>
      <c r="W206" s="29" t="str">
        <f>IFERROR(TP[[#This Row],[Precio de Oficina]]*20%+TP[[#This Row],[Precio de Oficina]],"Sin Datos")</f>
        <v>Sin Datos</v>
      </c>
      <c r="X206" s="30" t="str">
        <f>IFERROR(TP[[#This Row],[Precio de Wix]]*33.6%+TP[[#This Row],[Precio de Wix]]+100,"Sin Datos")</f>
        <v>Sin Datos</v>
      </c>
    </row>
    <row r="207" spans="1:26" x14ac:dyDescent="0.2">
      <c r="A207" s="36" t="s">
        <v>443</v>
      </c>
      <c r="B207" s="49"/>
      <c r="C207" s="49"/>
      <c r="D207" s="53"/>
      <c r="E207" s="52"/>
      <c r="F207" s="53"/>
      <c r="G207" s="28" t="str">
        <f>IFERROR(TP[[#This Row],[Costo Real Unitario USD]]*TP[[#This Row],[Costo de Envio Total UDS]]/TP[[#This Row],[Costo Total Pedido USD]], "Sin Datos")</f>
        <v>Sin Datos</v>
      </c>
      <c r="H207" s="9">
        <f>IFERROR(TP[[#This Row],[Costo Total Pedido USD]]+TP[[#This Row],[Costo de Envio Total UDS]],"Sin Datos")</f>
        <v>0</v>
      </c>
      <c r="I207" s="52"/>
      <c r="J207" s="9" t="str">
        <f>IFERROR((TP[[#This Row],[Costo Real Unitario USD]]*TP[[#This Row],[Impuesto UDS]])/TP[[#This Row],[Costo Total Pedido USD]],"Sin Datos")</f>
        <v>Sin Datos</v>
      </c>
      <c r="K207" s="9" t="str">
        <f>IFERROR(TP[[#This Row],[Costo Real Unitario USD]]+TP[[#This Row],[Costo de Envio Unitario UDS]]+TP[[#This Row],[Impuesto Unitario UDS]],"Sin Datos")</f>
        <v>Sin Datos</v>
      </c>
      <c r="L207" s="9">
        <f>IFERROR(TP[[#This Row],[Costo Total Pedido USD]]+TP[[#This Row],[Costo de Envio Total UDS]]+TP[[#This Row],[Impuesto UDS]],"Sin Datos")</f>
        <v>0</v>
      </c>
      <c r="M207" s="14">
        <f>IFERROR(((TP[[#This Row],[Costo Total Pedido USD]]*TP[[#This Row],[DÓLAR]])*$B$3)+(TP[[#This Row],[Costo Total Pedido USD]]*TP[[#This Row],[DÓLAR]]),"Sin Datos")</f>
        <v>0</v>
      </c>
      <c r="N207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7" s="14" t="str">
        <f>IFERROR(TP[[#This Row],[Costo Total Pza. MXN]]*TP[[#This Row],[CANTIDAD]],"Sin Datos")</f>
        <v>Sin Datos</v>
      </c>
      <c r="P207" s="29" t="str">
        <f>IFERROR((((TP[[#This Row],[Costo Total Pza. UDS]]*TP[[#This Row],[DÓLAR]])*$B$3)+(TP[[#This Row],[Costo Total Pza. UDS]]*TP[[#This Row],[DÓLAR]])),"Sin Datos")</f>
        <v>Sin Datos</v>
      </c>
      <c r="Q207" s="57"/>
      <c r="R207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7" s="29" t="str">
        <f>IFERROR(TP[[#This Row],[Costo Total Pza. MXN]]+TP[[#This Row],[Impuesto Unitario MXN]],"Sin Datos")</f>
        <v>Sin Datos</v>
      </c>
      <c r="T207" s="29" t="str">
        <f>IFERROR(TP[[#This Row],[Costo Costo]]*50%+TP[[#This Row],[Costo Costo]],"Sin Datos")</f>
        <v>Sin Datos</v>
      </c>
      <c r="U207" s="14" t="str">
        <f>IFERROR(TP[[#This Row],[Precio de Oficina]]-TP[[#This Row],[Costo Costo]],"Sin Datos")</f>
        <v>Sin Datos</v>
      </c>
      <c r="V207" s="29" t="str">
        <f>IFERROR(TP[[#This Row],[Precio de Oficina]]*14%+TP[[#This Row],[Precio de Oficina]],"Sin Datos")</f>
        <v>Sin Datos</v>
      </c>
      <c r="W207" s="29" t="str">
        <f>IFERROR(TP[[#This Row],[Precio de Oficina]]*20%+TP[[#This Row],[Precio de Oficina]],"Sin Datos")</f>
        <v>Sin Datos</v>
      </c>
      <c r="X207" s="30" t="str">
        <f>IFERROR(TP[[#This Row],[Precio de Wix]]*33.6%+TP[[#This Row],[Precio de Wix]]+100,"Sin Datos")</f>
        <v>Sin Datos</v>
      </c>
    </row>
    <row r="208" spans="1:26" x14ac:dyDescent="0.2">
      <c r="A208" s="36" t="s">
        <v>522</v>
      </c>
      <c r="B208" s="48"/>
      <c r="C208" s="48"/>
      <c r="D208" s="52"/>
      <c r="E208" s="97"/>
      <c r="F208" s="52"/>
      <c r="G208" s="9" t="str">
        <f>IFERROR(TP[[#This Row],[Costo Real Unitario USD]]*TP[[#This Row],[Costo de Envio Total UDS]]/TP[[#This Row],[Costo Total Pedido USD]], "Sin Datos")</f>
        <v>Sin Datos</v>
      </c>
      <c r="H208" s="9">
        <f>IFERROR(TP[[#This Row],[Costo Total Pedido USD]]+TP[[#This Row],[Costo de Envio Total UDS]],"Sin Datos")</f>
        <v>0</v>
      </c>
      <c r="I208" s="52"/>
      <c r="J208" s="98" t="str">
        <f>IFERROR((TP[[#This Row],[Costo Real Unitario USD]]*TP[[#This Row],[Impuesto UDS]])/TP[[#This Row],[Costo Total Pedido USD]],"Sin Datos")</f>
        <v>Sin Datos</v>
      </c>
      <c r="K208" s="9" t="str">
        <f>IFERROR(TP[[#This Row],[Costo Real Unitario USD]]+TP[[#This Row],[Costo de Envio Unitario UDS]]+TP[[#This Row],[Impuesto Unitario UDS]],"Sin Datos")</f>
        <v>Sin Datos</v>
      </c>
      <c r="L208" s="9">
        <f>IFERROR(TP[[#This Row],[Costo Total Pedido USD]]+TP[[#This Row],[Costo de Envio Total UDS]]+TP[[#This Row],[Impuesto UDS]],"Sin Datos")</f>
        <v>0</v>
      </c>
      <c r="M208" s="99">
        <f>IFERROR(((TP[[#This Row],[Costo Total Pedido USD]]*TP[[#This Row],[DÓLAR]])*$B$3)+(TP[[#This Row],[Costo Total Pedido USD]]*TP[[#This Row],[DÓLAR]]),"Sin Datos")</f>
        <v>0</v>
      </c>
      <c r="N208" s="99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8" s="14" t="str">
        <f>IFERROR(TP[[#This Row],[Costo Total Pza. MXN]]*TP[[#This Row],[CANTIDAD]],"Sin Datos")</f>
        <v>Sin Datos</v>
      </c>
      <c r="P208" s="14" t="str">
        <f>IFERROR((((TP[[#This Row],[Costo Total Pza. UDS]]*TP[[#This Row],[DÓLAR]])*$B$3)+(TP[[#This Row],[Costo Total Pza. UDS]]*TP[[#This Row],[DÓLAR]])),"Sin Datos")</f>
        <v>Sin Datos</v>
      </c>
      <c r="Q208" s="56"/>
      <c r="R208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8" s="14" t="str">
        <f>IFERROR(TP[[#This Row],[Costo Total Pza. MXN]]+TP[[#This Row],[Impuesto Unitario MXN]],"Sin Datos")</f>
        <v>Sin Datos</v>
      </c>
      <c r="T208" s="14" t="str">
        <f>IFERROR(TP[[#This Row],[Costo Costo]]*50%+TP[[#This Row],[Costo Costo]],"Sin Datos")</f>
        <v>Sin Datos</v>
      </c>
      <c r="U208" s="14" t="str">
        <f>IFERROR(TP[[#This Row],[Precio de Oficina]]-TP[[#This Row],[Costo Costo]],"Sin Datos")</f>
        <v>Sin Datos</v>
      </c>
      <c r="V208" s="14" t="str">
        <f>IFERROR(TP[[#This Row],[Precio de Oficina]]*14%+TP[[#This Row],[Precio de Oficina]],"Sin Datos")</f>
        <v>Sin Datos</v>
      </c>
      <c r="W208" s="14" t="str">
        <f>IFERROR(TP[[#This Row],[Precio de Oficina]]*20%+TP[[#This Row],[Precio de Oficina]],"Sin Datos")</f>
        <v>Sin Datos</v>
      </c>
      <c r="X208" s="27" t="str">
        <f>IFERROR(TP[[#This Row],[Precio de Wix]]*33.6%+TP[[#This Row],[Precio de Wix]]+100,"Sin Datos")</f>
        <v>Sin Datos</v>
      </c>
    </row>
    <row r="209" spans="1:24" x14ac:dyDescent="0.2">
      <c r="A209" s="49" t="s">
        <v>524</v>
      </c>
      <c r="B209" s="100"/>
      <c r="C209" s="100"/>
      <c r="D209" s="53"/>
      <c r="E209" s="52"/>
      <c r="F209" s="53"/>
      <c r="G209" s="28" t="str">
        <f>IFERROR(TP[[#This Row],[Costo Real Unitario USD]]*TP[[#This Row],[Costo de Envio Total UDS]]/TP[[#This Row],[Costo Total Pedido USD]], "Sin Datos")</f>
        <v>Sin Datos</v>
      </c>
      <c r="H209" s="9">
        <f>IFERROR(TP[[#This Row],[Costo Total Pedido USD]]+TP[[#This Row],[Costo de Envio Total UDS]],"Sin Datos")</f>
        <v>0</v>
      </c>
      <c r="I209" s="52"/>
      <c r="J209" s="9" t="str">
        <f>IFERROR((TP[[#This Row],[Costo Real Unitario USD]]*TP[[#This Row],[Impuesto UDS]])/TP[[#This Row],[Costo Total Pedido USD]],"Sin Datos")</f>
        <v>Sin Datos</v>
      </c>
      <c r="K209" s="9" t="str">
        <f>IFERROR(TP[[#This Row],[Costo Real Unitario USD]]+TP[[#This Row],[Costo de Envio Unitario UDS]]+TP[[#This Row],[Impuesto Unitario UDS]],"Sin Datos")</f>
        <v>Sin Datos</v>
      </c>
      <c r="L209" s="9">
        <f>IFERROR(TP[[#This Row],[Costo Total Pedido USD]]+TP[[#This Row],[Costo de Envio Total UDS]]+TP[[#This Row],[Impuesto UDS]],"Sin Datos")</f>
        <v>0</v>
      </c>
      <c r="M209" s="14">
        <f>IFERROR(((TP[[#This Row],[Costo Total Pedido USD]]*TP[[#This Row],[DÓLAR]])*$B$3)+(TP[[#This Row],[Costo Total Pedido USD]]*TP[[#This Row],[DÓLAR]]),"Sin Datos")</f>
        <v>0</v>
      </c>
      <c r="N209" s="14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09" s="14" t="str">
        <f>IFERROR(TP[[#This Row],[Costo Total Pza. MXN]]*TP[[#This Row],[CANTIDAD]],"Sin Datos")</f>
        <v>Sin Datos</v>
      </c>
      <c r="P209" s="29" t="str">
        <f>IFERROR((((TP[[#This Row],[Costo Total Pza. UDS]]*TP[[#This Row],[DÓLAR]])*$B$3)+(TP[[#This Row],[Costo Total Pza. UDS]]*TP[[#This Row],[DÓLAR]])),"Sin Datos")</f>
        <v>Sin Datos</v>
      </c>
      <c r="Q209" s="57"/>
      <c r="R209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09" s="29" t="str">
        <f>IFERROR(TP[[#This Row],[Costo Total Pza. MXN]]+TP[[#This Row],[Impuesto Unitario MXN]],"Sin Datos")</f>
        <v>Sin Datos</v>
      </c>
      <c r="T209" s="29" t="str">
        <f>IFERROR(TP[[#This Row],[Costo Costo]]*50%+TP[[#This Row],[Costo Costo]],"Sin Datos")</f>
        <v>Sin Datos</v>
      </c>
      <c r="U209" s="14" t="str">
        <f>IFERROR(TP[[#This Row],[Precio de Oficina]]-TP[[#This Row],[Costo Costo]],"Sin Datos")</f>
        <v>Sin Datos</v>
      </c>
      <c r="V209" s="29" t="str">
        <f>IFERROR(TP[[#This Row],[Precio de Oficina]]*14%+TP[[#This Row],[Precio de Oficina]],"Sin Datos")</f>
        <v>Sin Datos</v>
      </c>
      <c r="W209" s="29" t="str">
        <f>IFERROR(TP[[#This Row],[Precio de Oficina]]*20%+TP[[#This Row],[Precio de Oficina]],"Sin Datos")</f>
        <v>Sin Datos</v>
      </c>
      <c r="X209" s="30" t="str">
        <f>IFERROR(TP[[#This Row],[Precio de Wix]]*33.6%+TP[[#This Row],[Precio de Wix]]+100,"Sin Datos")</f>
        <v>Sin Datos</v>
      </c>
    </row>
    <row r="210" spans="1:24" x14ac:dyDescent="0.2">
      <c r="A210" s="49" t="s">
        <v>526</v>
      </c>
      <c r="B210" s="100"/>
      <c r="C210" s="100"/>
      <c r="D210" s="53"/>
      <c r="E210" s="97"/>
      <c r="F210" s="53"/>
      <c r="G210" s="28" t="str">
        <f>IFERROR(TP[[#This Row],[Costo Real Unitario USD]]*TP[[#This Row],[Costo de Envio Total UDS]]/TP[[#This Row],[Costo Total Pedido USD]], "Sin Datos")</f>
        <v>Sin Datos</v>
      </c>
      <c r="H210" s="9">
        <f>IFERROR(TP[[#This Row],[Costo Total Pedido USD]]+TP[[#This Row],[Costo de Envio Total UDS]],"Sin Datos")</f>
        <v>0</v>
      </c>
      <c r="I210" s="52"/>
      <c r="J210" s="98" t="str">
        <f>IFERROR((TP[[#This Row],[Costo Real Unitario USD]]*TP[[#This Row],[Impuesto UDS]])/TP[[#This Row],[Costo Total Pedido USD]],"Sin Datos")</f>
        <v>Sin Datos</v>
      </c>
      <c r="K210" s="9" t="str">
        <f>IFERROR(TP[[#This Row],[Costo Real Unitario USD]]+TP[[#This Row],[Costo de Envio Unitario UDS]]+TP[[#This Row],[Impuesto Unitario UDS]],"Sin Datos")</f>
        <v>Sin Datos</v>
      </c>
      <c r="L210" s="9">
        <f>IFERROR(TP[[#This Row],[Costo Total Pedido USD]]+TP[[#This Row],[Costo de Envio Total UDS]]+TP[[#This Row],[Impuesto UDS]],"Sin Datos")</f>
        <v>0</v>
      </c>
      <c r="M210" s="99">
        <f>IFERROR(((TP[[#This Row],[Costo Total Pedido USD]]*TP[[#This Row],[DÓLAR]])*$B$3)+(TP[[#This Row],[Costo Total Pedido USD]]*TP[[#This Row],[DÓLAR]]),"Sin Datos")</f>
        <v>0</v>
      </c>
      <c r="N210" s="99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10" s="14" t="str">
        <f>IFERROR(TP[[#This Row],[Costo Total Pza. MXN]]*TP[[#This Row],[CANTIDAD]],"Sin Datos")</f>
        <v>Sin Datos</v>
      </c>
      <c r="P210" s="29" t="str">
        <f>IFERROR((((TP[[#This Row],[Costo Total Pza. UDS]]*TP[[#This Row],[DÓLAR]])*$B$3)+(TP[[#This Row],[Costo Total Pza. UDS]]*TP[[#This Row],[DÓLAR]])),"Sin Datos")</f>
        <v>Sin Datos</v>
      </c>
      <c r="Q210" s="57"/>
      <c r="R210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10" s="29" t="str">
        <f>IFERROR(TP[[#This Row],[Costo Total Pza. MXN]]+TP[[#This Row],[Impuesto Unitario MXN]],"Sin Datos")</f>
        <v>Sin Datos</v>
      </c>
      <c r="T210" s="29" t="str">
        <f>IFERROR(TP[[#This Row],[Costo Costo]]*50%+TP[[#This Row],[Costo Costo]],"Sin Datos")</f>
        <v>Sin Datos</v>
      </c>
      <c r="U210" s="14" t="str">
        <f>IFERROR(TP[[#This Row],[Precio de Oficina]]-TP[[#This Row],[Costo Costo]],"Sin Datos")</f>
        <v>Sin Datos</v>
      </c>
      <c r="V210" s="29" t="str">
        <f>IFERROR(TP[[#This Row],[Precio de Oficina]]*14%+TP[[#This Row],[Precio de Oficina]],"Sin Datos")</f>
        <v>Sin Datos</v>
      </c>
      <c r="W210" s="29" t="str">
        <f>IFERROR(TP[[#This Row],[Precio de Oficina]]*20%+TP[[#This Row],[Precio de Oficina]],"Sin Datos")</f>
        <v>Sin Datos</v>
      </c>
      <c r="X210" s="30" t="str">
        <f>IFERROR(TP[[#This Row],[Precio de Wix]]*33.6%+TP[[#This Row],[Precio de Wix]]+100,"Sin Datos")</f>
        <v>Sin Datos</v>
      </c>
    </row>
    <row r="211" spans="1:24" x14ac:dyDescent="0.2">
      <c r="A211" s="49" t="s">
        <v>531</v>
      </c>
      <c r="B211" s="100"/>
      <c r="C211" s="100"/>
      <c r="D211" s="53"/>
      <c r="E211" s="97"/>
      <c r="F211" s="53"/>
      <c r="G211" s="28" t="str">
        <f>IFERROR(TP[[#This Row],[Costo Real Unitario USD]]*TP[[#This Row],[Costo de Envio Total UDS]]/TP[[#This Row],[Costo Total Pedido USD]], "Sin Datos")</f>
        <v>Sin Datos</v>
      </c>
      <c r="H211" s="9">
        <f>IFERROR(TP[[#This Row],[Costo Total Pedido USD]]+TP[[#This Row],[Costo de Envio Total UDS]],"Sin Datos")</f>
        <v>0</v>
      </c>
      <c r="I211" s="52"/>
      <c r="J211" s="98" t="str">
        <f>IFERROR((TP[[#This Row],[Costo Real Unitario USD]]*TP[[#This Row],[Impuesto UDS]])/TP[[#This Row],[Costo Total Pedido USD]],"Sin Datos")</f>
        <v>Sin Datos</v>
      </c>
      <c r="K211" s="9" t="str">
        <f>IFERROR(TP[[#This Row],[Costo Real Unitario USD]]+TP[[#This Row],[Costo de Envio Unitario UDS]]+TP[[#This Row],[Impuesto Unitario UDS]],"Sin Datos")</f>
        <v>Sin Datos</v>
      </c>
      <c r="L211" s="9">
        <f>IFERROR(TP[[#This Row],[Costo Total Pedido USD]]+TP[[#This Row],[Costo de Envio Total UDS]]+TP[[#This Row],[Impuesto UDS]],"Sin Datos")</f>
        <v>0</v>
      </c>
      <c r="M211" s="99">
        <f>IFERROR(((TP[[#This Row],[Costo Total Pedido USD]]*TP[[#This Row],[DÓLAR]])*$B$3)+(TP[[#This Row],[Costo Total Pedido USD]]*TP[[#This Row],[DÓLAR]]),"Sin Datos")</f>
        <v>0</v>
      </c>
      <c r="N211" s="99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11" s="14" t="str">
        <f>IFERROR(TP[[#This Row],[Costo Total Pza. MXN]]*TP[[#This Row],[CANTIDAD]],"Sin Datos")</f>
        <v>Sin Datos</v>
      </c>
      <c r="P211" s="29" t="str">
        <f>IFERROR((((TP[[#This Row],[Costo Total Pza. UDS]]*TP[[#This Row],[DÓLAR]])*$B$3)+(TP[[#This Row],[Costo Total Pza. UDS]]*TP[[#This Row],[DÓLAR]])),"Sin Datos")</f>
        <v>Sin Datos</v>
      </c>
      <c r="Q211" s="57"/>
      <c r="R211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11" s="29" t="str">
        <f>IFERROR(TP[[#This Row],[Costo Total Pza. MXN]]+TP[[#This Row],[Impuesto Unitario MXN]],"Sin Datos")</f>
        <v>Sin Datos</v>
      </c>
      <c r="T211" s="29" t="str">
        <f>IFERROR(TP[[#This Row],[Costo Costo]]*50%+TP[[#This Row],[Costo Costo]],"Sin Datos")</f>
        <v>Sin Datos</v>
      </c>
      <c r="U211" s="14" t="str">
        <f>IFERROR(TP[[#This Row],[Precio de Oficina]]-TP[[#This Row],[Costo Costo]],"Sin Datos")</f>
        <v>Sin Datos</v>
      </c>
      <c r="V211" s="29" t="str">
        <f>IFERROR(TP[[#This Row],[Precio de Oficina]]*14%+TP[[#This Row],[Precio de Oficina]],"Sin Datos")</f>
        <v>Sin Datos</v>
      </c>
      <c r="W211" s="29" t="str">
        <f>IFERROR(TP[[#This Row],[Precio de Oficina]]*20%+TP[[#This Row],[Precio de Oficina]],"Sin Datos")</f>
        <v>Sin Datos</v>
      </c>
      <c r="X211" s="30" t="str">
        <f>IFERROR(TP[[#This Row],[Precio de Wix]]*33.6%+TP[[#This Row],[Precio de Wix]]+100,"Sin Datos")</f>
        <v>Sin Datos</v>
      </c>
    </row>
    <row r="212" spans="1:24" x14ac:dyDescent="0.2">
      <c r="A212" s="49" t="s">
        <v>533</v>
      </c>
      <c r="B212" s="100"/>
      <c r="C212" s="100"/>
      <c r="D212" s="53"/>
      <c r="E212" s="97"/>
      <c r="F212" s="53"/>
      <c r="G212" s="28" t="str">
        <f>IFERROR(TP[[#This Row],[Costo Real Unitario USD]]*TP[[#This Row],[Costo de Envio Total UDS]]/TP[[#This Row],[Costo Total Pedido USD]], "Sin Datos")</f>
        <v>Sin Datos</v>
      </c>
      <c r="H212" s="9">
        <f>IFERROR(TP[[#This Row],[Costo Total Pedido USD]]+TP[[#This Row],[Costo de Envio Total UDS]],"Sin Datos")</f>
        <v>0</v>
      </c>
      <c r="I212" s="52"/>
      <c r="J212" s="98" t="str">
        <f>IFERROR((TP[[#This Row],[Costo Real Unitario USD]]*TP[[#This Row],[Impuesto UDS]])/TP[[#This Row],[Costo Total Pedido USD]],"Sin Datos")</f>
        <v>Sin Datos</v>
      </c>
      <c r="K212" s="9" t="str">
        <f>IFERROR(TP[[#This Row],[Costo Real Unitario USD]]+TP[[#This Row],[Costo de Envio Unitario UDS]]+TP[[#This Row],[Impuesto Unitario UDS]],"Sin Datos")</f>
        <v>Sin Datos</v>
      </c>
      <c r="L212" s="9">
        <f>IFERROR(TP[[#This Row],[Costo Total Pedido USD]]+TP[[#This Row],[Costo de Envio Total UDS]]+TP[[#This Row],[Impuesto UDS]],"Sin Datos")</f>
        <v>0</v>
      </c>
      <c r="M212" s="99">
        <f>IFERROR(((TP[[#This Row],[Costo Total Pedido USD]]*TP[[#This Row],[DÓLAR]])*$B$3)+(TP[[#This Row],[Costo Total Pedido USD]]*TP[[#This Row],[DÓLAR]]),"Sin Datos")</f>
        <v>0</v>
      </c>
      <c r="N212" s="99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12" s="14" t="str">
        <f>IFERROR(TP[[#This Row],[Costo Total Pza. MXN]]*TP[[#This Row],[CANTIDAD]],"Sin Datos")</f>
        <v>Sin Datos</v>
      </c>
      <c r="P212" s="29" t="str">
        <f>IFERROR((((TP[[#This Row],[Costo Total Pza. UDS]]*TP[[#This Row],[DÓLAR]])*$B$3)+(TP[[#This Row],[Costo Total Pza. UDS]]*TP[[#This Row],[DÓLAR]])),"Sin Datos")</f>
        <v>Sin Datos</v>
      </c>
      <c r="Q212" s="57"/>
      <c r="R212" s="29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12" s="29" t="str">
        <f>IFERROR(TP[[#This Row],[Costo Total Pza. MXN]]+TP[[#This Row],[Impuesto Unitario MXN]],"Sin Datos")</f>
        <v>Sin Datos</v>
      </c>
      <c r="T212" s="29" t="str">
        <f>IFERROR(TP[[#This Row],[Costo Costo]]*50%+TP[[#This Row],[Costo Costo]],"Sin Datos")</f>
        <v>Sin Datos</v>
      </c>
      <c r="U212" s="14" t="str">
        <f>IFERROR(TP[[#This Row],[Precio de Oficina]]-TP[[#This Row],[Costo Costo]],"Sin Datos")</f>
        <v>Sin Datos</v>
      </c>
      <c r="V212" s="29" t="str">
        <f>IFERROR(TP[[#This Row],[Precio de Oficina]]*14%+TP[[#This Row],[Precio de Oficina]],"Sin Datos")</f>
        <v>Sin Datos</v>
      </c>
      <c r="W212" s="29" t="str">
        <f>IFERROR(TP[[#This Row],[Precio de Oficina]]*20%+TP[[#This Row],[Precio de Oficina]],"Sin Datos")</f>
        <v>Sin Datos</v>
      </c>
      <c r="X212" s="30" t="str">
        <f>IFERROR(TP[[#This Row],[Precio de Wix]]*33.6%+TP[[#This Row],[Precio de Wix]]+100,"Sin Datos")</f>
        <v>Sin Datos</v>
      </c>
    </row>
    <row r="213" spans="1:24" x14ac:dyDescent="0.2">
      <c r="A213" s="48"/>
      <c r="B213" s="101"/>
      <c r="C213" s="101"/>
      <c r="D213" s="52"/>
      <c r="E213" s="97"/>
      <c r="F213" s="52"/>
      <c r="G213" s="9" t="str">
        <f>IFERROR(TP[[#This Row],[Costo Real Unitario USD]]*TP[[#This Row],[Costo de Envio Total UDS]]/TP[[#This Row],[Costo Total Pedido USD]], "Sin Datos")</f>
        <v>Sin Datos</v>
      </c>
      <c r="H213" s="9">
        <f>IFERROR(TP[[#This Row],[Costo Total Pedido USD]]+TP[[#This Row],[Costo de Envio Total UDS]],"Sin Datos")</f>
        <v>0</v>
      </c>
      <c r="I213" s="52"/>
      <c r="J213" s="98" t="str">
        <f>IFERROR((TP[[#This Row],[Costo Real Unitario USD]]*TP[[#This Row],[Impuesto UDS]])/TP[[#This Row],[Costo Total Pedido USD]],"Sin Datos")</f>
        <v>Sin Datos</v>
      </c>
      <c r="K213" s="9" t="str">
        <f>IFERROR(TP[[#This Row],[Costo Real Unitario USD]]+TP[[#This Row],[Costo de Envio Unitario UDS]]+TP[[#This Row],[Impuesto Unitario UDS]],"Sin Datos")</f>
        <v>Sin Datos</v>
      </c>
      <c r="L213" s="9">
        <f>IFERROR(TP[[#This Row],[Costo Total Pedido USD]]+TP[[#This Row],[Costo de Envio Total UDS]]+TP[[#This Row],[Impuesto UDS]],"Sin Datos")</f>
        <v>0</v>
      </c>
      <c r="M213" s="99">
        <f>IFERROR(((TP[[#This Row],[Costo Total Pedido USD]]*TP[[#This Row],[DÓLAR]])*$B$3)+(TP[[#This Row],[Costo Total Pedido USD]]*TP[[#This Row],[DÓLAR]]),"Sin Datos")</f>
        <v>0</v>
      </c>
      <c r="N213" s="99">
        <f>IFERROR((((TP[[#This Row],[Costo Total Pedido USD]]+TP[[#This Row],[Costo de Envio Total UDS]]+TP[[#This Row],[Impuesto UDS]])*TP[[#This Row],[DÓLAR]])*$B$3)+((TP[[#This Row],[Costo Total Pedido USD]]+TP[[#This Row],[Costo de Envio Total UDS]]+TP[[#This Row],[Impuesto UDS]])*TP[[#This Row],[DÓLAR]]),"Sin Datos")</f>
        <v>0</v>
      </c>
      <c r="O213" s="14" t="str">
        <f>IFERROR(TP[[#This Row],[Costo Total Pza. MXN]]*TP[[#This Row],[CANTIDAD]],"Sin Datos")</f>
        <v>Sin Datos</v>
      </c>
      <c r="P213" s="14" t="str">
        <f>IFERROR((((TP[[#This Row],[Costo Total Pza. UDS]]*TP[[#This Row],[DÓLAR]])*$B$3)+(TP[[#This Row],[Costo Total Pza. UDS]]*TP[[#This Row],[DÓLAR]])),"Sin Datos")</f>
        <v>Sin Datos</v>
      </c>
      <c r="Q213" s="56"/>
      <c r="R213" s="14" t="str">
        <f>IFERROR((((TP[[#This Row],[Costo Real Unitario USD]]*TP[[#This Row],[DÓLAR]])*$B$3)+(TP[[#This Row],[Costo Real Unitario USD]]*TP[[#This Row],[DÓLAR]]))*TP[[#This Row],[Impuesto MXN]]/TP[[#This Row],[Costo Real Pedido MXN]],"Sin Datos")</f>
        <v>Sin Datos</v>
      </c>
      <c r="S213" s="14" t="str">
        <f>IFERROR(TP[[#This Row],[Costo Total Pza. MXN]]+TP[[#This Row],[Impuesto Unitario MXN]],"Sin Datos")</f>
        <v>Sin Datos</v>
      </c>
      <c r="T213" s="14" t="str">
        <f>IFERROR(TP[[#This Row],[Costo Costo]]*50%+TP[[#This Row],[Costo Costo]],"Sin Datos")</f>
        <v>Sin Datos</v>
      </c>
      <c r="U213" s="14" t="str">
        <f>IFERROR(TP[[#This Row],[Precio de Oficina]]-TP[[#This Row],[Costo Costo]],"Sin Datos")</f>
        <v>Sin Datos</v>
      </c>
      <c r="V213" s="14" t="str">
        <f>IFERROR(TP[[#This Row],[Precio de Oficina]]*14%+TP[[#This Row],[Precio de Oficina]],"Sin Datos")</f>
        <v>Sin Datos</v>
      </c>
      <c r="W213" s="14" t="str">
        <f>IFERROR(TP[[#This Row],[Precio de Oficina]]*20%+TP[[#This Row],[Precio de Oficina]],"Sin Datos")</f>
        <v>Sin Datos</v>
      </c>
      <c r="X213" s="27" t="str">
        <f>IFERROR(TP[[#This Row],[Precio de Wix]]*33.6%+TP[[#This Row],[Precio de Wix]]+100,"Sin Datos")</f>
        <v>Sin Datos</v>
      </c>
    </row>
  </sheetData>
  <phoneticPr fontId="8" type="noConversion"/>
  <pageMargins left="0.7" right="0.7" top="0.75" bottom="0.75" header="0.3" footer="0.3"/>
  <pageSetup paperSize="9" orientation="portrait" horizontalDpi="360" verticalDpi="36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3B2F-4724-4190-A14A-05A2B2FBD505}">
  <sheetPr codeName="Hoja2">
    <tabColor rgb="FF0070C0"/>
  </sheetPr>
  <dimension ref="A1:M199"/>
  <sheetViews>
    <sheetView topLeftCell="A163" zoomScaleNormal="100" workbookViewId="0">
      <selection activeCell="A1048576" sqref="A1048576"/>
    </sheetView>
  </sheetViews>
  <sheetFormatPr baseColWidth="10" defaultRowHeight="14.25" x14ac:dyDescent="0.2"/>
  <cols>
    <col min="1" max="1" width="58.375" style="4" customWidth="1"/>
    <col min="2" max="2" width="5" style="4" customWidth="1"/>
    <col min="3" max="3" width="12.25" style="4" customWidth="1"/>
    <col min="4" max="4" width="11.75" style="4" customWidth="1"/>
    <col min="5" max="5" width="10.125" style="4" customWidth="1"/>
    <col min="6" max="6" width="11" style="4"/>
    <col min="7" max="7" width="9.5" style="4" customWidth="1"/>
    <col min="8" max="11" width="11" style="4"/>
    <col min="12" max="12" width="91.5" style="4" customWidth="1"/>
  </cols>
  <sheetData>
    <row r="1" spans="1:13" ht="30" x14ac:dyDescent="0.2">
      <c r="A1" s="31" t="s">
        <v>199</v>
      </c>
      <c r="B1" s="31" t="s">
        <v>200</v>
      </c>
      <c r="C1" s="31" t="s">
        <v>201</v>
      </c>
      <c r="D1" s="31" t="s">
        <v>202</v>
      </c>
      <c r="E1" s="31" t="s">
        <v>203</v>
      </c>
      <c r="F1" s="31" t="s">
        <v>204</v>
      </c>
      <c r="G1" s="31" t="s">
        <v>205</v>
      </c>
      <c r="H1" s="31" t="s">
        <v>206</v>
      </c>
      <c r="I1" s="31" t="s">
        <v>207</v>
      </c>
      <c r="J1" s="31" t="s">
        <v>208</v>
      </c>
      <c r="K1" s="31" t="s">
        <v>209</v>
      </c>
      <c r="L1" s="31" t="s">
        <v>210</v>
      </c>
      <c r="M1" s="31" t="s">
        <v>401</v>
      </c>
    </row>
    <row r="2" spans="1:13" x14ac:dyDescent="0.2">
      <c r="A2" s="32"/>
      <c r="B2" s="5">
        <f>ROW(B1)</f>
        <v>1</v>
      </c>
      <c r="C2" s="33"/>
      <c r="D2" s="33"/>
      <c r="E2" s="33"/>
      <c r="F2" s="33"/>
      <c r="G2" s="33"/>
      <c r="H2" s="33"/>
      <c r="I2" s="34"/>
      <c r="J2" s="34"/>
      <c r="K2" s="34"/>
      <c r="L2" s="34"/>
      <c r="M2" s="34"/>
    </row>
    <row r="3" spans="1:13" x14ac:dyDescent="0.2">
      <c r="A3" s="35" t="s">
        <v>31</v>
      </c>
      <c r="B3" s="7">
        <f t="shared" ref="B3:B66" si="0">ROW(B2)</f>
        <v>2</v>
      </c>
      <c r="C3" s="36" t="s">
        <v>211</v>
      </c>
      <c r="D3" s="36" t="s">
        <v>212</v>
      </c>
      <c r="E3" s="36" t="s">
        <v>213</v>
      </c>
      <c r="F3" s="36" t="s">
        <v>214</v>
      </c>
      <c r="G3" s="36">
        <v>3</v>
      </c>
      <c r="H3" s="36" t="s">
        <v>215</v>
      </c>
      <c r="I3" s="37">
        <f>'[1]Tabla de Precios'!K2</f>
        <v>499.16666731558331</v>
      </c>
      <c r="J3" s="37">
        <f>'[1]Tabla de Precios'!L2</f>
        <v>900.26400104034326</v>
      </c>
      <c r="K3" s="37">
        <f>'[1]Tabla de Precios'!M2</f>
        <v>599.00000077870004</v>
      </c>
      <c r="L3" s="37" t="s">
        <v>444</v>
      </c>
      <c r="M3" s="37"/>
    </row>
    <row r="4" spans="1:13" x14ac:dyDescent="0.2">
      <c r="A4" s="35" t="s">
        <v>32</v>
      </c>
      <c r="B4" s="7">
        <v>3</v>
      </c>
      <c r="C4" s="36" t="s">
        <v>216</v>
      </c>
      <c r="D4" s="36" t="s">
        <v>212</v>
      </c>
      <c r="E4" s="36" t="s">
        <v>217</v>
      </c>
      <c r="F4" s="36" t="s">
        <v>214</v>
      </c>
      <c r="G4" s="36">
        <v>1</v>
      </c>
      <c r="H4" s="36" t="s">
        <v>215</v>
      </c>
      <c r="I4" s="37">
        <f>'[1]Tabla de Precios'!K3</f>
        <v>1040.8333346864165</v>
      </c>
      <c r="J4" s="37">
        <f>'[1]Tabla de Precios'!L3</f>
        <v>1768.6640021692629</v>
      </c>
      <c r="K4" s="37">
        <f>'[1]Tabla de Precios'!M3</f>
        <v>1249.0000016236997</v>
      </c>
      <c r="L4" s="37" t="s">
        <v>445</v>
      </c>
      <c r="M4" s="37"/>
    </row>
    <row r="5" spans="1:13" x14ac:dyDescent="0.2">
      <c r="A5" s="35" t="s">
        <v>33</v>
      </c>
      <c r="B5" s="7">
        <f t="shared" si="0"/>
        <v>4</v>
      </c>
      <c r="C5" s="36" t="s">
        <v>218</v>
      </c>
      <c r="D5" s="36" t="s">
        <v>212</v>
      </c>
      <c r="E5" s="36" t="s">
        <v>219</v>
      </c>
      <c r="F5" s="36" t="s">
        <v>214</v>
      </c>
      <c r="G5" s="36">
        <v>0</v>
      </c>
      <c r="H5" s="36" t="s">
        <v>220</v>
      </c>
      <c r="I5" s="37">
        <f>'[1]Tabla de Precios'!K4</f>
        <v>1666.6583354999852</v>
      </c>
      <c r="J5" s="37">
        <f>'[1]Tabla de Precios'!L4</f>
        <v>2771.9866434735764</v>
      </c>
      <c r="K5" s="37">
        <f>'[1]Tabla de Precios'!M4</f>
        <v>1999.9900025999823</v>
      </c>
      <c r="L5" s="37" t="s">
        <v>446</v>
      </c>
      <c r="M5" s="37"/>
    </row>
    <row r="6" spans="1:13" x14ac:dyDescent="0.2">
      <c r="A6" s="35" t="s">
        <v>34</v>
      </c>
      <c r="B6" s="7">
        <f t="shared" si="0"/>
        <v>5</v>
      </c>
      <c r="C6" s="36" t="s">
        <v>221</v>
      </c>
      <c r="D6" s="36" t="s">
        <v>212</v>
      </c>
      <c r="E6" s="36" t="s">
        <v>222</v>
      </c>
      <c r="F6" s="36" t="s">
        <v>214</v>
      </c>
      <c r="G6" s="36">
        <v>1</v>
      </c>
      <c r="H6" s="36" t="s">
        <v>215</v>
      </c>
      <c r="I6" s="37">
        <f>'[1]Tabla de Precios'!K5</f>
        <v>1666.6583354999893</v>
      </c>
      <c r="J6" s="37">
        <f>'[1]Tabla de Precios'!L5</f>
        <v>2771.9866434735832</v>
      </c>
      <c r="K6" s="37">
        <f>'[1]Tabla de Precios'!M5</f>
        <v>1999.9900025999873</v>
      </c>
      <c r="L6" s="37" t="s">
        <v>447</v>
      </c>
      <c r="M6" s="37"/>
    </row>
    <row r="7" spans="1:13" x14ac:dyDescent="0.2">
      <c r="A7" s="35" t="s">
        <v>35</v>
      </c>
      <c r="B7" s="7">
        <f t="shared" si="0"/>
        <v>6</v>
      </c>
      <c r="C7" s="36" t="s">
        <v>223</v>
      </c>
      <c r="D7" s="36" t="s">
        <v>212</v>
      </c>
      <c r="E7" s="36" t="s">
        <v>213</v>
      </c>
      <c r="F7" s="36" t="s">
        <v>214</v>
      </c>
      <c r="G7" s="36">
        <v>0</v>
      </c>
      <c r="H7" s="36" t="s">
        <v>215</v>
      </c>
      <c r="I7" s="37">
        <f>'[1]Tabla de Precios'!K6</f>
        <v>458.33333392916671</v>
      </c>
      <c r="J7" s="37">
        <f>'[1]Tabla de Precios'!L6</f>
        <v>834.80000095524008</v>
      </c>
      <c r="K7" s="37">
        <f>'[1]Tabla de Precios'!M6</f>
        <v>550.00000071500006</v>
      </c>
      <c r="L7" s="37"/>
      <c r="M7" s="37"/>
    </row>
    <row r="8" spans="1:13" x14ac:dyDescent="0.2">
      <c r="A8" s="35" t="s">
        <v>36</v>
      </c>
      <c r="B8" s="7">
        <f t="shared" si="0"/>
        <v>7</v>
      </c>
      <c r="C8" s="36" t="s">
        <v>224</v>
      </c>
      <c r="D8" s="36" t="s">
        <v>212</v>
      </c>
      <c r="E8" s="36"/>
      <c r="F8" s="36" t="s">
        <v>214</v>
      </c>
      <c r="G8" s="36">
        <v>0</v>
      </c>
      <c r="H8" s="36" t="s">
        <v>215</v>
      </c>
      <c r="I8" s="37">
        <f>'[1]Tabla de Precios'!K7</f>
        <v>287.29000014364499</v>
      </c>
      <c r="J8" s="37">
        <f>'[1]Tabla de Precios'!L7</f>
        <v>560.58332823029161</v>
      </c>
      <c r="K8" s="37">
        <f>'[1]Tabla de Precios'!M7</f>
        <v>344.74800017237396</v>
      </c>
      <c r="L8" s="37"/>
      <c r="M8" s="37"/>
    </row>
    <row r="9" spans="1:13" x14ac:dyDescent="0.2">
      <c r="A9" s="35" t="s">
        <v>37</v>
      </c>
      <c r="B9" s="7">
        <f t="shared" si="0"/>
        <v>8</v>
      </c>
      <c r="C9" s="36" t="s">
        <v>225</v>
      </c>
      <c r="D9" s="36" t="s">
        <v>212</v>
      </c>
      <c r="E9" s="36" t="s">
        <v>213</v>
      </c>
      <c r="F9" s="36" t="s">
        <v>214</v>
      </c>
      <c r="G9" s="36">
        <v>0</v>
      </c>
      <c r="H9" s="36" t="s">
        <v>215</v>
      </c>
      <c r="I9" s="37">
        <f>'[1]Tabla de Precios'!K8</f>
        <v>458.33333379166675</v>
      </c>
      <c r="J9" s="37">
        <f>'[1]Tabla de Precios'!L8</f>
        <v>834.80000073480016</v>
      </c>
      <c r="K9" s="37">
        <f>'[1]Tabla de Precios'!M8</f>
        <v>550.0000005500001</v>
      </c>
      <c r="L9" s="37"/>
      <c r="M9" s="37"/>
    </row>
    <row r="10" spans="1:13" x14ac:dyDescent="0.2">
      <c r="A10" s="35" t="s">
        <v>38</v>
      </c>
      <c r="B10" s="7">
        <f t="shared" si="0"/>
        <v>9</v>
      </c>
      <c r="C10" s="36" t="s">
        <v>226</v>
      </c>
      <c r="D10" s="36" t="s">
        <v>212</v>
      </c>
      <c r="E10" s="36" t="s">
        <v>213</v>
      </c>
      <c r="F10" s="36" t="s">
        <v>214</v>
      </c>
      <c r="G10" s="36">
        <v>0</v>
      </c>
      <c r="H10" s="36" t="s">
        <v>215</v>
      </c>
      <c r="I10" s="37">
        <f>'[1]Tabla de Precios'!K9</f>
        <v>517.52000025876009</v>
      </c>
      <c r="J10" s="37">
        <f>'[1]Tabla de Precios'!L9</f>
        <v>929.68806441484412</v>
      </c>
      <c r="K10" s="37">
        <f>'[1]Tabla de Precios'!M9</f>
        <v>621.02400031051206</v>
      </c>
      <c r="L10" s="37"/>
      <c r="M10" s="37"/>
    </row>
    <row r="11" spans="1:13" x14ac:dyDescent="0.2">
      <c r="A11" s="35" t="s">
        <v>39</v>
      </c>
      <c r="B11" s="7">
        <f t="shared" si="0"/>
        <v>10</v>
      </c>
      <c r="C11" s="36" t="s">
        <v>227</v>
      </c>
      <c r="D11" s="36" t="s">
        <v>212</v>
      </c>
      <c r="E11" s="36" t="s">
        <v>213</v>
      </c>
      <c r="F11" s="36" t="s">
        <v>214</v>
      </c>
      <c r="G11" s="36">
        <v>0</v>
      </c>
      <c r="H11" s="36" t="s">
        <v>215</v>
      </c>
      <c r="I11" s="37">
        <f>'[1]Tabla de Precios'!K10</f>
        <v>517.52000025876009</v>
      </c>
      <c r="J11" s="37">
        <f>'[1]Tabla de Precios'!L10</f>
        <v>929.68806441484412</v>
      </c>
      <c r="K11" s="37">
        <f>'[1]Tabla de Precios'!M10</f>
        <v>1242.0480006210241</v>
      </c>
      <c r="L11" s="37"/>
      <c r="M11" s="37"/>
    </row>
    <row r="12" spans="1:13" ht="28.5" x14ac:dyDescent="0.2">
      <c r="A12" s="35" t="s">
        <v>40</v>
      </c>
      <c r="B12" s="7">
        <f t="shared" si="0"/>
        <v>11</v>
      </c>
      <c r="C12" s="36" t="s">
        <v>228</v>
      </c>
      <c r="D12" s="36" t="s">
        <v>212</v>
      </c>
      <c r="E12" s="36" t="s">
        <v>222</v>
      </c>
      <c r="F12" s="36" t="s">
        <v>214</v>
      </c>
      <c r="G12" s="36">
        <v>4</v>
      </c>
      <c r="H12" s="36" t="s">
        <v>215</v>
      </c>
      <c r="I12" s="37">
        <f>'[1]Tabla de Precios'!K11</f>
        <v>417.11000020855499</v>
      </c>
      <c r="J12" s="37">
        <f>'[1]Tabla de Precios'!L11</f>
        <v>768.71075233435533</v>
      </c>
      <c r="K12" s="37">
        <f>'[1]Tabla de Precios'!M11</f>
        <v>500.53200025026598</v>
      </c>
      <c r="L12" s="37"/>
      <c r="M12" s="37"/>
    </row>
    <row r="13" spans="1:13" ht="28.5" x14ac:dyDescent="0.2">
      <c r="A13" s="35" t="s">
        <v>41</v>
      </c>
      <c r="B13" s="7">
        <f t="shared" si="0"/>
        <v>12</v>
      </c>
      <c r="C13" s="36" t="s">
        <v>229</v>
      </c>
      <c r="D13" s="36" t="s">
        <v>212</v>
      </c>
      <c r="E13" s="36" t="s">
        <v>222</v>
      </c>
      <c r="F13" s="36" t="s">
        <v>214</v>
      </c>
      <c r="G13" s="36">
        <v>6</v>
      </c>
      <c r="H13" s="36" t="s">
        <v>215</v>
      </c>
      <c r="I13" s="37">
        <f>'[1]Tabla de Precios'!K12</f>
        <v>417.11000020855499</v>
      </c>
      <c r="J13" s="37">
        <f>'[1]Tabla de Precios'!L12</f>
        <v>768.71075233435533</v>
      </c>
      <c r="K13" s="37">
        <f>'[1]Tabla de Precios'!M12</f>
        <v>500.53200025026598</v>
      </c>
      <c r="L13" s="37"/>
      <c r="M13" s="37"/>
    </row>
    <row r="14" spans="1:13" x14ac:dyDescent="0.2">
      <c r="A14" s="35" t="s">
        <v>42</v>
      </c>
      <c r="B14" s="7">
        <f t="shared" si="0"/>
        <v>13</v>
      </c>
      <c r="C14" s="36" t="s">
        <v>230</v>
      </c>
      <c r="D14" s="36" t="s">
        <v>212</v>
      </c>
      <c r="E14" s="36" t="s">
        <v>213</v>
      </c>
      <c r="F14" s="36" t="s">
        <v>214</v>
      </c>
      <c r="G14" s="36">
        <v>2</v>
      </c>
      <c r="H14" s="36" t="s">
        <v>215</v>
      </c>
      <c r="I14" s="37">
        <f>'[1]Tabla de Precios'!K13</f>
        <v>417.11000020855499</v>
      </c>
      <c r="J14" s="37">
        <f>'[1]Tabla de Precios'!L13</f>
        <v>768.71075233435533</v>
      </c>
      <c r="K14" s="37">
        <f>'[1]Tabla de Precios'!M13</f>
        <v>500.53200025026598</v>
      </c>
      <c r="L14" s="37"/>
      <c r="M14" s="37"/>
    </row>
    <row r="15" spans="1:13" x14ac:dyDescent="0.2">
      <c r="A15" s="35" t="s">
        <v>43</v>
      </c>
      <c r="B15" s="7">
        <f t="shared" si="0"/>
        <v>14</v>
      </c>
      <c r="C15" s="36" t="s">
        <v>231</v>
      </c>
      <c r="D15" s="36" t="s">
        <v>212</v>
      </c>
      <c r="E15" s="36" t="s">
        <v>222</v>
      </c>
      <c r="F15" s="36" t="s">
        <v>214</v>
      </c>
      <c r="G15" s="36">
        <v>12</v>
      </c>
      <c r="H15" s="36" t="s">
        <v>215</v>
      </c>
      <c r="I15" s="37">
        <f>'[1]Tabla de Precios'!K14</f>
        <v>417.11000020855499</v>
      </c>
      <c r="J15" s="37">
        <f>'[1]Tabla de Precios'!L14</f>
        <v>768.71075233435533</v>
      </c>
      <c r="K15" s="37">
        <f>'[1]Tabla de Precios'!M14</f>
        <v>500.53200025026598</v>
      </c>
      <c r="L15" s="37"/>
      <c r="M15" s="37"/>
    </row>
    <row r="16" spans="1:13" x14ac:dyDescent="0.2">
      <c r="A16" s="35" t="s">
        <v>44</v>
      </c>
      <c r="B16" s="7">
        <f t="shared" si="0"/>
        <v>15</v>
      </c>
      <c r="C16" s="36" t="s">
        <v>232</v>
      </c>
      <c r="D16" s="36" t="s">
        <v>212</v>
      </c>
      <c r="E16" s="36" t="s">
        <v>213</v>
      </c>
      <c r="F16" s="36" t="s">
        <v>214</v>
      </c>
      <c r="G16" s="36">
        <v>2</v>
      </c>
      <c r="H16" s="36" t="s">
        <v>215</v>
      </c>
      <c r="I16" s="37">
        <f>'[1]Tabla de Precios'!K15</f>
        <v>539.51000026975498</v>
      </c>
      <c r="J16" s="37">
        <f>'[1]Tabla de Precios'!L15</f>
        <v>964.94243243247126</v>
      </c>
      <c r="K16" s="37">
        <f>'[1]Tabla de Precios'!M15</f>
        <v>647.41200032370602</v>
      </c>
      <c r="L16" s="37"/>
      <c r="M16" s="37"/>
    </row>
    <row r="17" spans="1:13" ht="28.5" x14ac:dyDescent="0.2">
      <c r="A17" s="35" t="s">
        <v>45</v>
      </c>
      <c r="B17" s="7">
        <f t="shared" si="0"/>
        <v>16</v>
      </c>
      <c r="C17" s="36" t="s">
        <v>233</v>
      </c>
      <c r="D17" s="36" t="s">
        <v>212</v>
      </c>
      <c r="E17" s="36" t="s">
        <v>213</v>
      </c>
      <c r="F17" s="36" t="s">
        <v>214</v>
      </c>
      <c r="G17" s="36">
        <v>0</v>
      </c>
      <c r="H17" s="36" t="s">
        <v>215</v>
      </c>
      <c r="I17" s="37">
        <f>'[1]Tabla de Precios'!K16</f>
        <v>433.33333333896667</v>
      </c>
      <c r="J17" s="37">
        <f>'[1]Tabla de Precios'!L16</f>
        <v>794.72000000903142</v>
      </c>
      <c r="K17" s="37">
        <f>'[1]Tabla de Precios'!M16</f>
        <v>520.00000000676005</v>
      </c>
      <c r="L17" s="37"/>
      <c r="M17" s="37"/>
    </row>
    <row r="18" spans="1:13" ht="28.5" x14ac:dyDescent="0.2">
      <c r="A18" s="35" t="s">
        <v>46</v>
      </c>
      <c r="B18" s="7">
        <f t="shared" si="0"/>
        <v>17</v>
      </c>
      <c r="C18" s="36" t="s">
        <v>234</v>
      </c>
      <c r="D18" s="36" t="s">
        <v>212</v>
      </c>
      <c r="E18" s="36" t="s">
        <v>222</v>
      </c>
      <c r="F18" s="36" t="s">
        <v>214</v>
      </c>
      <c r="G18" s="36">
        <v>6</v>
      </c>
      <c r="H18" s="36" t="s">
        <v>215</v>
      </c>
      <c r="I18" s="37">
        <f>'[1]Tabla de Precios'!K17</f>
        <v>433.33333333896667</v>
      </c>
      <c r="J18" s="37">
        <f>'[1]Tabla de Precios'!L17</f>
        <v>794.72000000903142</v>
      </c>
      <c r="K18" s="37">
        <f>'[1]Tabla de Precios'!M17</f>
        <v>520.00000000676005</v>
      </c>
      <c r="L18" s="37"/>
      <c r="M18" s="37"/>
    </row>
    <row r="19" spans="1:13" x14ac:dyDescent="0.2">
      <c r="A19" s="35" t="s">
        <v>47</v>
      </c>
      <c r="B19" s="7">
        <f t="shared" si="0"/>
        <v>18</v>
      </c>
      <c r="C19" s="36" t="s">
        <v>235</v>
      </c>
      <c r="D19" s="36" t="s">
        <v>212</v>
      </c>
      <c r="E19" s="36" t="s">
        <v>213</v>
      </c>
      <c r="F19" s="36" t="s">
        <v>214</v>
      </c>
      <c r="G19" s="36">
        <v>1</v>
      </c>
      <c r="H19" s="36" t="s">
        <v>215</v>
      </c>
      <c r="I19" s="37">
        <f>'[1]Tabla de Precios'!K18</f>
        <v>433.33333333896667</v>
      </c>
      <c r="J19" s="37">
        <f>'[1]Tabla de Precios'!L18</f>
        <v>794.72000000903142</v>
      </c>
      <c r="K19" s="37">
        <f>'[1]Tabla de Precios'!M18</f>
        <v>520.00000000676005</v>
      </c>
      <c r="L19" s="37"/>
      <c r="M19" s="37"/>
    </row>
    <row r="20" spans="1:13" x14ac:dyDescent="0.2">
      <c r="A20" s="35" t="s">
        <v>48</v>
      </c>
      <c r="B20" s="7">
        <f t="shared" si="0"/>
        <v>19</v>
      </c>
      <c r="C20" s="36" t="s">
        <v>236</v>
      </c>
      <c r="D20" s="36" t="s">
        <v>212</v>
      </c>
      <c r="E20" s="36" t="s">
        <v>222</v>
      </c>
      <c r="F20" s="36" t="s">
        <v>214</v>
      </c>
      <c r="G20" s="36">
        <v>6</v>
      </c>
      <c r="H20" s="36" t="s">
        <v>215</v>
      </c>
      <c r="I20" s="37">
        <f>'[1]Tabla de Precios'!K19</f>
        <v>433.33333333896667</v>
      </c>
      <c r="J20" s="37">
        <f>'[1]Tabla de Precios'!L19</f>
        <v>794.72000000903142</v>
      </c>
      <c r="K20" s="37">
        <f>'[1]Tabla de Precios'!M19</f>
        <v>520.00000000676005</v>
      </c>
      <c r="L20" s="37"/>
      <c r="M20" s="37"/>
    </row>
    <row r="21" spans="1:13" x14ac:dyDescent="0.2">
      <c r="A21" s="35" t="s">
        <v>49</v>
      </c>
      <c r="B21" s="7">
        <f t="shared" si="0"/>
        <v>20</v>
      </c>
      <c r="C21" s="36" t="s">
        <v>237</v>
      </c>
      <c r="D21" s="36" t="s">
        <v>212</v>
      </c>
      <c r="E21" s="36" t="s">
        <v>213</v>
      </c>
      <c r="F21" s="36" t="s">
        <v>214</v>
      </c>
      <c r="G21" s="36">
        <v>5</v>
      </c>
      <c r="H21" s="36" t="s">
        <v>215</v>
      </c>
      <c r="I21" s="37">
        <f>'[1]Tabla de Precios'!K20</f>
        <v>565.18000028258984</v>
      </c>
      <c r="J21" s="37">
        <f>'[1]Tabla de Precios'!L20</f>
        <v>1006.0965764530481</v>
      </c>
      <c r="K21" s="37">
        <f>'[1]Tabla de Precios'!M20</f>
        <v>678.21600033910784</v>
      </c>
      <c r="L21" s="37"/>
      <c r="M21" s="37"/>
    </row>
    <row r="22" spans="1:13" ht="28.5" x14ac:dyDescent="0.2">
      <c r="A22" s="35" t="s">
        <v>50</v>
      </c>
      <c r="B22" s="7">
        <f t="shared" si="0"/>
        <v>21</v>
      </c>
      <c r="C22" s="36" t="s">
        <v>238</v>
      </c>
      <c r="D22" s="36" t="s">
        <v>212</v>
      </c>
      <c r="E22" s="36" t="s">
        <v>213</v>
      </c>
      <c r="F22" s="36" t="s">
        <v>214</v>
      </c>
      <c r="G22" s="36">
        <v>0</v>
      </c>
      <c r="H22" s="36" t="s">
        <v>215</v>
      </c>
      <c r="I22" s="37">
        <f>'[1]Tabla de Precios'!K21</f>
        <v>454.1666672570833</v>
      </c>
      <c r="J22" s="37">
        <f>'[1]Tabla de Precios'!L21</f>
        <v>828.12000094655605</v>
      </c>
      <c r="K22" s="37">
        <f>'[1]Tabla de Precios'!M21</f>
        <v>545.00000070850001</v>
      </c>
      <c r="L22" s="37"/>
      <c r="M22" s="37"/>
    </row>
    <row r="23" spans="1:13" ht="28.5" x14ac:dyDescent="0.2">
      <c r="A23" s="35" t="s">
        <v>51</v>
      </c>
      <c r="B23" s="7">
        <f t="shared" si="0"/>
        <v>22</v>
      </c>
      <c r="C23" s="36" t="s">
        <v>239</v>
      </c>
      <c r="D23" s="36" t="s">
        <v>212</v>
      </c>
      <c r="E23" s="36" t="s">
        <v>222</v>
      </c>
      <c r="F23" s="36" t="s">
        <v>214</v>
      </c>
      <c r="G23" s="36">
        <v>2</v>
      </c>
      <c r="H23" s="36" t="s">
        <v>215</v>
      </c>
      <c r="I23" s="37">
        <f>'[1]Tabla de Precios'!K22</f>
        <v>454.16666725708353</v>
      </c>
      <c r="J23" s="37">
        <f>'[1]Tabla de Precios'!L22</f>
        <v>828.12000094655627</v>
      </c>
      <c r="K23" s="37">
        <f>'[1]Tabla de Precios'!M22</f>
        <v>545.00000070850024</v>
      </c>
      <c r="L23" s="37"/>
      <c r="M23" s="37"/>
    </row>
    <row r="24" spans="1:13" x14ac:dyDescent="0.2">
      <c r="A24" s="35" t="s">
        <v>52</v>
      </c>
      <c r="B24" s="7">
        <f t="shared" si="0"/>
        <v>23</v>
      </c>
      <c r="C24" s="36" t="s">
        <v>240</v>
      </c>
      <c r="D24" s="36" t="s">
        <v>212</v>
      </c>
      <c r="E24" s="36" t="s">
        <v>213</v>
      </c>
      <c r="F24" s="36" t="s">
        <v>214</v>
      </c>
      <c r="G24" s="36">
        <v>4</v>
      </c>
      <c r="H24" s="36" t="s">
        <v>215</v>
      </c>
      <c r="I24" s="37">
        <f>'[1]Tabla de Precios'!K23</f>
        <v>454.16666725708353</v>
      </c>
      <c r="J24" s="37">
        <f>'[1]Tabla de Precios'!L23</f>
        <v>828.12000094655627</v>
      </c>
      <c r="K24" s="37">
        <f>'[1]Tabla de Precios'!M23</f>
        <v>545.00000070850024</v>
      </c>
      <c r="L24" s="37"/>
      <c r="M24" s="37"/>
    </row>
    <row r="25" spans="1:13" x14ac:dyDescent="0.2">
      <c r="A25" s="35" t="s">
        <v>53</v>
      </c>
      <c r="B25" s="7">
        <f t="shared" si="0"/>
        <v>24</v>
      </c>
      <c r="C25" s="36" t="s">
        <v>241</v>
      </c>
      <c r="D25" s="36" t="s">
        <v>212</v>
      </c>
      <c r="E25" s="36" t="s">
        <v>222</v>
      </c>
      <c r="F25" s="36" t="s">
        <v>214</v>
      </c>
      <c r="G25" s="36">
        <v>3</v>
      </c>
      <c r="H25" s="36" t="s">
        <v>242</v>
      </c>
      <c r="I25" s="37">
        <f>'[1]Tabla de Precios'!K24</f>
        <v>454.16666725708353</v>
      </c>
      <c r="J25" s="37">
        <f>'[1]Tabla de Precios'!L24</f>
        <v>828.12000094655627</v>
      </c>
      <c r="K25" s="37">
        <f>'[1]Tabla de Precios'!M24</f>
        <v>545.00000070850024</v>
      </c>
      <c r="L25" s="37"/>
      <c r="M25" s="37"/>
    </row>
    <row r="26" spans="1:13" x14ac:dyDescent="0.2">
      <c r="A26" s="35" t="s">
        <v>448</v>
      </c>
      <c r="B26" s="7">
        <f t="shared" si="0"/>
        <v>25</v>
      </c>
      <c r="C26" s="36" t="s">
        <v>243</v>
      </c>
      <c r="D26" s="36" t="s">
        <v>212</v>
      </c>
      <c r="E26" s="36" t="s">
        <v>213</v>
      </c>
      <c r="F26" s="36" t="s">
        <v>214</v>
      </c>
      <c r="G26" s="36">
        <v>9</v>
      </c>
      <c r="H26" s="36" t="s">
        <v>215</v>
      </c>
      <c r="I26" s="37">
        <f>'[1]Tabla de Precios'!K25</f>
        <v>483.62500000628711</v>
      </c>
      <c r="J26" s="37">
        <f>'[1]Tabla de Precios'!L25</f>
        <v>875.34760001007953</v>
      </c>
      <c r="K26" s="37">
        <f>'[1]Tabla de Precios'!M25</f>
        <v>580.35000000754451</v>
      </c>
      <c r="L26" s="37"/>
      <c r="M26" s="37"/>
    </row>
    <row r="27" spans="1:13" x14ac:dyDescent="0.2">
      <c r="A27" s="35" t="s">
        <v>54</v>
      </c>
      <c r="B27" s="7">
        <f t="shared" si="0"/>
        <v>26</v>
      </c>
      <c r="C27" s="36" t="s">
        <v>244</v>
      </c>
      <c r="D27" s="36" t="s">
        <v>212</v>
      </c>
      <c r="E27" s="36" t="s">
        <v>213</v>
      </c>
      <c r="F27" s="36" t="s">
        <v>214</v>
      </c>
      <c r="G27" s="36">
        <v>9</v>
      </c>
      <c r="H27" s="36" t="s">
        <v>215</v>
      </c>
      <c r="I27" s="37">
        <f>'[1]Tabla de Precios'!K26</f>
        <v>549.90000027495</v>
      </c>
      <c r="J27" s="37">
        <f>'[1]Tabla de Precios'!L26</f>
        <v>981.59968044079983</v>
      </c>
      <c r="K27" s="37">
        <f>'[1]Tabla de Precios'!M26</f>
        <v>659.88000032994</v>
      </c>
      <c r="L27" s="37"/>
      <c r="M27" s="37"/>
    </row>
    <row r="28" spans="1:13" x14ac:dyDescent="0.2">
      <c r="A28" s="35" t="s">
        <v>55</v>
      </c>
      <c r="B28" s="7">
        <f t="shared" si="0"/>
        <v>27</v>
      </c>
      <c r="C28" s="36" t="s">
        <v>245</v>
      </c>
      <c r="D28" s="36" t="s">
        <v>212</v>
      </c>
      <c r="E28" s="36"/>
      <c r="F28" s="36" t="s">
        <v>214</v>
      </c>
      <c r="G28" s="36">
        <v>11</v>
      </c>
      <c r="H28" s="36" t="s">
        <v>220</v>
      </c>
      <c r="I28" s="37">
        <f>'[1]Tabla de Precios'!K27</f>
        <v>158.33333353916666</v>
      </c>
      <c r="J28" s="37">
        <f>'[1]Tabla de Precios'!L27</f>
        <v>353.84000032999199</v>
      </c>
      <c r="K28" s="37">
        <f>'[1]Tabla de Precios'!M27</f>
        <v>190.000000247</v>
      </c>
      <c r="L28" s="37" t="s">
        <v>449</v>
      </c>
      <c r="M28" s="37"/>
    </row>
    <row r="29" spans="1:13" x14ac:dyDescent="0.2">
      <c r="A29" s="35" t="s">
        <v>450</v>
      </c>
      <c r="B29" s="7">
        <f t="shared" si="0"/>
        <v>28</v>
      </c>
      <c r="C29" s="36" t="s">
        <v>246</v>
      </c>
      <c r="D29" s="36" t="s">
        <v>212</v>
      </c>
      <c r="E29" s="36"/>
      <c r="F29" s="36" t="s">
        <v>451</v>
      </c>
      <c r="G29" s="36">
        <v>67</v>
      </c>
      <c r="H29" s="36" t="s">
        <v>220</v>
      </c>
      <c r="I29" s="37">
        <f>'[1]Tabla de Precios'!K28</f>
        <v>91.666666785833314</v>
      </c>
      <c r="J29" s="37">
        <f>'[1]Tabla de Precios'!L28</f>
        <v>246.96000019104798</v>
      </c>
      <c r="K29" s="37">
        <f>'[1]Tabla de Precios'!M28</f>
        <v>110.00000014299998</v>
      </c>
      <c r="L29" s="37"/>
      <c r="M29" s="37"/>
    </row>
    <row r="30" spans="1:13" x14ac:dyDescent="0.2">
      <c r="A30" s="35" t="s">
        <v>56</v>
      </c>
      <c r="B30" s="7">
        <f t="shared" si="0"/>
        <v>29</v>
      </c>
      <c r="C30" s="36" t="s">
        <v>247</v>
      </c>
      <c r="D30" s="36" t="s">
        <v>212</v>
      </c>
      <c r="E30" s="36"/>
      <c r="F30" s="36" t="s">
        <v>214</v>
      </c>
      <c r="G30" s="36">
        <v>2</v>
      </c>
      <c r="H30" s="36" t="s">
        <v>215</v>
      </c>
      <c r="I30" s="37">
        <f>'[1]Tabla de Precios'!K29</f>
        <v>625.54166747987074</v>
      </c>
      <c r="J30" s="37">
        <f>'[1]Tabla de Precios'!L29</f>
        <v>1102.8684013037289</v>
      </c>
      <c r="K30" s="37">
        <f>'[1]Tabla de Precios'!M29</f>
        <v>750.65000097584493</v>
      </c>
      <c r="L30" s="37"/>
      <c r="M30" s="37"/>
    </row>
    <row r="31" spans="1:13" x14ac:dyDescent="0.2">
      <c r="A31" s="35" t="s">
        <v>57</v>
      </c>
      <c r="B31" s="7">
        <f t="shared" si="0"/>
        <v>30</v>
      </c>
      <c r="C31" s="36" t="s">
        <v>248</v>
      </c>
      <c r="D31" s="36" t="s">
        <v>212</v>
      </c>
      <c r="E31" s="36"/>
      <c r="F31" s="36" t="s">
        <v>214</v>
      </c>
      <c r="G31" s="36">
        <v>3</v>
      </c>
      <c r="H31" s="36" t="s">
        <v>215</v>
      </c>
      <c r="I31" s="37">
        <f>'[1]Tabla de Precios'!K30</f>
        <v>133.83333350731667</v>
      </c>
      <c r="J31" s="37">
        <f>'[1]Tabla de Precios'!L30</f>
        <v>314.56160027893009</v>
      </c>
      <c r="K31" s="37">
        <f>'[1]Tabla de Precios'!M30</f>
        <v>160.60000020877999</v>
      </c>
      <c r="L31" s="37"/>
      <c r="M31" s="37"/>
    </row>
    <row r="32" spans="1:13" x14ac:dyDescent="0.2">
      <c r="A32" s="35" t="s">
        <v>58</v>
      </c>
      <c r="B32" s="7">
        <f t="shared" si="0"/>
        <v>31</v>
      </c>
      <c r="C32" s="36" t="s">
        <v>249</v>
      </c>
      <c r="D32" s="36" t="s">
        <v>212</v>
      </c>
      <c r="E32" s="36"/>
      <c r="F32" s="36" t="s">
        <v>214</v>
      </c>
      <c r="G32" s="36">
        <v>0</v>
      </c>
      <c r="H32" s="36" t="s">
        <v>215</v>
      </c>
      <c r="I32" s="37">
        <f>'[1]Tabla de Precios'!K31</f>
        <v>134.34000006717</v>
      </c>
      <c r="J32" s="37">
        <f>'[1]Tabla de Precios'!L31</f>
        <v>315.37388810768692</v>
      </c>
      <c r="K32" s="37">
        <f>'[1]Tabla de Precios'!M31</f>
        <v>161.20800008060399</v>
      </c>
      <c r="L32" s="37"/>
      <c r="M32" s="37"/>
    </row>
    <row r="33" spans="1:13" x14ac:dyDescent="0.2">
      <c r="A33" s="35" t="s">
        <v>59</v>
      </c>
      <c r="B33" s="7">
        <f t="shared" si="0"/>
        <v>32</v>
      </c>
      <c r="C33" s="36" t="s">
        <v>250</v>
      </c>
      <c r="D33" s="36" t="s">
        <v>212</v>
      </c>
      <c r="E33" s="36"/>
      <c r="F33" s="36" t="s">
        <v>214</v>
      </c>
      <c r="G33" s="36">
        <v>1</v>
      </c>
      <c r="H33" s="36" t="s">
        <v>220</v>
      </c>
      <c r="I33" s="37">
        <f>'[1]Tabla de Precios'!K32</f>
        <v>541.66666737083335</v>
      </c>
      <c r="J33" s="37">
        <f>'[1]Tabla de Precios'!L32</f>
        <v>968.40000112892005</v>
      </c>
      <c r="K33" s="37">
        <f>'[1]Tabla de Precios'!M32</f>
        <v>650.00000084500005</v>
      </c>
      <c r="L33" s="37"/>
      <c r="M33" s="37"/>
    </row>
    <row r="34" spans="1:13" x14ac:dyDescent="0.2">
      <c r="A34" s="35" t="s">
        <v>60</v>
      </c>
      <c r="B34" s="7">
        <f t="shared" si="0"/>
        <v>33</v>
      </c>
      <c r="C34" s="36" t="s">
        <v>251</v>
      </c>
      <c r="D34" s="36" t="s">
        <v>212</v>
      </c>
      <c r="E34" s="36"/>
      <c r="F34" s="36" t="s">
        <v>214</v>
      </c>
      <c r="G34" s="36">
        <v>1</v>
      </c>
      <c r="H34" s="36" t="s">
        <v>215</v>
      </c>
      <c r="I34" s="37">
        <f>'[1]Tabla de Precios'!K33</f>
        <v>1586.2500007931249</v>
      </c>
      <c r="J34" s="37">
        <f>'[1]Tabla de Precios'!L33</f>
        <v>2643.0760012715377</v>
      </c>
      <c r="K34" s="37">
        <f>'[1]Tabla de Precios'!M33</f>
        <v>1903.5000009517498</v>
      </c>
      <c r="L34" s="37" t="s">
        <v>452</v>
      </c>
      <c r="M34" s="37"/>
    </row>
    <row r="35" spans="1:13" x14ac:dyDescent="0.2">
      <c r="A35" s="35" t="s">
        <v>61</v>
      </c>
      <c r="B35" s="7">
        <f t="shared" si="0"/>
        <v>34</v>
      </c>
      <c r="C35" s="36" t="s">
        <v>252</v>
      </c>
      <c r="D35" s="36" t="s">
        <v>212</v>
      </c>
      <c r="E35" s="36"/>
      <c r="F35" s="36" t="s">
        <v>214</v>
      </c>
      <c r="G35" s="36">
        <v>1</v>
      </c>
      <c r="H35" s="36" t="s">
        <v>215</v>
      </c>
      <c r="I35" s="37">
        <f>'[1]Tabla de Precios'!K34</f>
        <v>275.000000003575</v>
      </c>
      <c r="J35" s="37">
        <f>'[1]Tabla de Precios'!L34</f>
        <v>540.8800000057314</v>
      </c>
      <c r="K35" s="37">
        <f>'[1]Tabla de Precios'!M34</f>
        <v>330.00000000428997</v>
      </c>
      <c r="L35" s="37" t="s">
        <v>453</v>
      </c>
      <c r="M35" s="37"/>
    </row>
    <row r="36" spans="1:13" x14ac:dyDescent="0.2">
      <c r="A36" s="35" t="s">
        <v>62</v>
      </c>
      <c r="B36" s="7">
        <f t="shared" si="0"/>
        <v>35</v>
      </c>
      <c r="C36" s="36" t="s">
        <v>253</v>
      </c>
      <c r="D36" s="36" t="s">
        <v>212</v>
      </c>
      <c r="E36" s="36"/>
      <c r="F36" s="36" t="s">
        <v>214</v>
      </c>
      <c r="G36" s="36">
        <v>24</v>
      </c>
      <c r="H36" s="36" t="s">
        <v>215</v>
      </c>
      <c r="I36" s="37">
        <f>'[1]Tabla de Precios'!K35</f>
        <v>260.85000013042497</v>
      </c>
      <c r="J36" s="37">
        <f>'[1]Tabla de Precios'!L35</f>
        <v>518.19472020909734</v>
      </c>
      <c r="K36" s="37">
        <f>'[1]Tabla de Precios'!M35</f>
        <v>313.02000015650998</v>
      </c>
      <c r="L36" s="37" t="s">
        <v>454</v>
      </c>
      <c r="M36" s="37"/>
    </row>
    <row r="37" spans="1:13" x14ac:dyDescent="0.2">
      <c r="A37" s="35" t="s">
        <v>63</v>
      </c>
      <c r="B37" s="7">
        <f t="shared" si="0"/>
        <v>36</v>
      </c>
      <c r="C37" s="36" t="s">
        <v>254</v>
      </c>
      <c r="D37" s="36" t="s">
        <v>212</v>
      </c>
      <c r="E37" s="36"/>
      <c r="F37" s="36" t="s">
        <v>214</v>
      </c>
      <c r="G37" s="36">
        <v>18</v>
      </c>
      <c r="H37" s="36" t="s">
        <v>215</v>
      </c>
      <c r="I37" s="37">
        <f>'[1]Tabla de Precios'!K36</f>
        <v>100.00000000130001</v>
      </c>
      <c r="J37" s="37">
        <f>'[1]Tabla de Precios'!L36</f>
        <v>260.32000000208416</v>
      </c>
      <c r="K37" s="37">
        <f>'[1]Tabla de Precios'!M36</f>
        <v>120.00000000156001</v>
      </c>
      <c r="L37" s="37" t="s">
        <v>455</v>
      </c>
      <c r="M37" s="37"/>
    </row>
    <row r="38" spans="1:13" x14ac:dyDescent="0.2">
      <c r="A38" s="35" t="s">
        <v>64</v>
      </c>
      <c r="B38" s="7">
        <f t="shared" si="0"/>
        <v>37</v>
      </c>
      <c r="C38" s="36" t="s">
        <v>255</v>
      </c>
      <c r="D38" s="36" t="s">
        <v>212</v>
      </c>
      <c r="E38" s="36"/>
      <c r="F38" s="36" t="s">
        <v>214</v>
      </c>
      <c r="G38" s="36">
        <v>3</v>
      </c>
      <c r="H38" s="36" t="s">
        <v>215</v>
      </c>
      <c r="I38" s="37">
        <f>'[1]Tabla de Precios'!K37</f>
        <v>583.33333409166653</v>
      </c>
      <c r="J38" s="37">
        <f>'[1]Tabla de Precios'!L37</f>
        <v>1035.2000012157598</v>
      </c>
      <c r="K38" s="37">
        <f>'[1]Tabla de Precios'!M37</f>
        <v>700.00000090999981</v>
      </c>
      <c r="L38" s="37"/>
      <c r="M38" s="37"/>
    </row>
    <row r="39" spans="1:13" ht="28.5" x14ac:dyDescent="0.2">
      <c r="A39" s="35" t="s">
        <v>65</v>
      </c>
      <c r="B39" s="7">
        <f t="shared" si="0"/>
        <v>38</v>
      </c>
      <c r="C39" s="36" t="s">
        <v>256</v>
      </c>
      <c r="D39" s="36" t="s">
        <v>212</v>
      </c>
      <c r="E39" s="36"/>
      <c r="F39" s="36" t="s">
        <v>214</v>
      </c>
      <c r="G39" s="36">
        <v>20</v>
      </c>
      <c r="H39" s="36" t="s">
        <v>220</v>
      </c>
      <c r="I39" s="37">
        <f>'[1]Tabla de Precios'!K38</f>
        <v>625.00000081250005</v>
      </c>
      <c r="J39" s="37">
        <f>'[1]Tabla de Precios'!L38</f>
        <v>1102.0000013026001</v>
      </c>
      <c r="K39" s="37">
        <f>'[1]Tabla de Precios'!M38</f>
        <v>750.00000097500003</v>
      </c>
      <c r="L39" s="37"/>
      <c r="M39" s="37"/>
    </row>
    <row r="40" spans="1:13" x14ac:dyDescent="0.2">
      <c r="A40" s="35" t="s">
        <v>66</v>
      </c>
      <c r="B40" s="7">
        <f t="shared" si="0"/>
        <v>39</v>
      </c>
      <c r="C40" s="36" t="s">
        <v>257</v>
      </c>
      <c r="D40" s="36" t="s">
        <v>212</v>
      </c>
      <c r="E40" s="36"/>
      <c r="F40" s="36" t="s">
        <v>214</v>
      </c>
      <c r="G40" s="36">
        <v>0</v>
      </c>
      <c r="H40" s="36" t="s">
        <v>220</v>
      </c>
      <c r="I40" s="37">
        <f>'[1]Tabla de Precios'!K39</f>
        <v>1083.3333347416667</v>
      </c>
      <c r="J40" s="37">
        <f>'[1]Tabla de Precios'!L39</f>
        <v>1836.8000022578401</v>
      </c>
      <c r="K40" s="37">
        <f>'[1]Tabla de Precios'!M39</f>
        <v>1300.0000016900001</v>
      </c>
      <c r="L40" s="37"/>
      <c r="M40" s="37"/>
    </row>
    <row r="41" spans="1:13" x14ac:dyDescent="0.2">
      <c r="A41" s="35" t="s">
        <v>67</v>
      </c>
      <c r="B41" s="7">
        <f t="shared" si="0"/>
        <v>40</v>
      </c>
      <c r="C41" s="36" t="s">
        <v>258</v>
      </c>
      <c r="D41" s="36" t="s">
        <v>212</v>
      </c>
      <c r="E41" s="36"/>
      <c r="F41" s="36" t="s">
        <v>214</v>
      </c>
      <c r="G41" s="36">
        <v>2</v>
      </c>
      <c r="H41" s="36" t="s">
        <v>215</v>
      </c>
      <c r="I41" s="37">
        <f>'[1]Tabla de Precios'!K40</f>
        <v>625.00000081250005</v>
      </c>
      <c r="J41" s="37">
        <f>'[1]Tabla de Precios'!L40</f>
        <v>1102.0000013026001</v>
      </c>
      <c r="K41" s="37">
        <f>'[1]Tabla de Precios'!M40</f>
        <v>750.00000097500003</v>
      </c>
      <c r="L41" s="37"/>
      <c r="M41" s="37"/>
    </row>
    <row r="42" spans="1:13" x14ac:dyDescent="0.2">
      <c r="A42" s="35" t="s">
        <v>68</v>
      </c>
      <c r="B42" s="7">
        <f t="shared" si="0"/>
        <v>41</v>
      </c>
      <c r="C42" s="36" t="s">
        <v>259</v>
      </c>
      <c r="D42" s="36" t="s">
        <v>212</v>
      </c>
      <c r="E42" s="36"/>
      <c r="F42" s="36" t="s">
        <v>214</v>
      </c>
      <c r="G42" s="36">
        <v>13</v>
      </c>
      <c r="H42" s="36" t="s">
        <v>215</v>
      </c>
      <c r="I42" s="37">
        <f>'[1]Tabla de Precios'!K41</f>
        <v>574.16666741308336</v>
      </c>
      <c r="J42" s="37">
        <f>'[1]Tabla de Precios'!L41</f>
        <v>1020.5040011966553</v>
      </c>
      <c r="K42" s="37">
        <f>'[1]Tabla de Precios'!M41</f>
        <v>689.00000089570005</v>
      </c>
      <c r="L42" s="37"/>
      <c r="M42" s="37"/>
    </row>
    <row r="43" spans="1:13" x14ac:dyDescent="0.2">
      <c r="A43" s="35" t="s">
        <v>69</v>
      </c>
      <c r="B43" s="7">
        <f t="shared" si="0"/>
        <v>42</v>
      </c>
      <c r="C43" s="36" t="s">
        <v>260</v>
      </c>
      <c r="D43" s="36" t="s">
        <v>212</v>
      </c>
      <c r="E43" s="36"/>
      <c r="F43" s="36" t="s">
        <v>214</v>
      </c>
      <c r="G43" s="36">
        <v>0</v>
      </c>
      <c r="H43" s="36" t="s">
        <v>215</v>
      </c>
      <c r="I43" s="37">
        <f>'[1]Tabla de Precios'!K42</f>
        <v>541.66666737083335</v>
      </c>
      <c r="J43" s="37">
        <f>'[1]Tabla de Precios'!L42</f>
        <v>968.40000112892005</v>
      </c>
      <c r="K43" s="37">
        <f>'[1]Tabla de Precios'!M42</f>
        <v>650.00000084500005</v>
      </c>
      <c r="L43" s="37"/>
      <c r="M43" s="37"/>
    </row>
    <row r="44" spans="1:13" x14ac:dyDescent="0.2">
      <c r="A44" s="35" t="s">
        <v>70</v>
      </c>
      <c r="B44" s="7">
        <f t="shared" si="0"/>
        <v>43</v>
      </c>
      <c r="C44" s="36" t="s">
        <v>261</v>
      </c>
      <c r="D44" s="36" t="s">
        <v>212</v>
      </c>
      <c r="E44" s="36"/>
      <c r="F44" s="36" t="s">
        <v>214</v>
      </c>
      <c r="G44" s="36">
        <v>0</v>
      </c>
      <c r="H44" s="36" t="s">
        <v>215</v>
      </c>
      <c r="I44" s="37">
        <f>'[1]Tabla de Precios'!K43</f>
        <v>1069.98000053499</v>
      </c>
      <c r="J44" s="37">
        <f>'[1]Tabla de Precios'!L43</f>
        <v>1815.3919368576962</v>
      </c>
      <c r="K44" s="37">
        <f>'[1]Tabla de Precios'!M43</f>
        <v>1283.9760006419881</v>
      </c>
      <c r="L44" s="37" t="s">
        <v>456</v>
      </c>
      <c r="M44" s="37"/>
    </row>
    <row r="45" spans="1:13" x14ac:dyDescent="0.2">
      <c r="A45" s="35" t="s">
        <v>457</v>
      </c>
      <c r="B45" s="7">
        <f t="shared" si="0"/>
        <v>44</v>
      </c>
      <c r="C45" s="36" t="s">
        <v>262</v>
      </c>
      <c r="D45" s="36" t="s">
        <v>212</v>
      </c>
      <c r="E45" s="36"/>
      <c r="F45" s="36" t="s">
        <v>214</v>
      </c>
      <c r="G45" s="36">
        <v>1</v>
      </c>
      <c r="H45" s="36" t="s">
        <v>220</v>
      </c>
      <c r="I45" s="37">
        <f>'[1]Tabla de Precios'!K44</f>
        <v>20383.372035398228</v>
      </c>
      <c r="J45" s="37">
        <f>'[1]Tabla de Precios'!L44</f>
        <v>32778.622047150435</v>
      </c>
      <c r="K45" s="37">
        <f>'[1]Tabla de Precios'!M44</f>
        <v>24460.046442477873</v>
      </c>
      <c r="L45" s="37"/>
      <c r="M45" s="37"/>
    </row>
    <row r="46" spans="1:13" x14ac:dyDescent="0.2">
      <c r="A46" s="35" t="s">
        <v>427</v>
      </c>
      <c r="B46" s="7">
        <f t="shared" si="0"/>
        <v>45</v>
      </c>
      <c r="C46" s="36" t="s">
        <v>263</v>
      </c>
      <c r="D46" s="36" t="s">
        <v>212</v>
      </c>
      <c r="E46" s="36"/>
      <c r="F46" s="36" t="s">
        <v>214</v>
      </c>
      <c r="G46" s="36">
        <v>1</v>
      </c>
      <c r="H46" s="36" t="s">
        <v>220</v>
      </c>
      <c r="I46" s="37">
        <f>'[1]Tabla de Precios'!K45</f>
        <v>0</v>
      </c>
      <c r="J46" s="37">
        <f>'[1]Tabla de Precios'!L45</f>
        <v>100</v>
      </c>
      <c r="K46" s="37">
        <f>'[1]Tabla de Precios'!M45</f>
        <v>0</v>
      </c>
      <c r="L46" s="37" t="s">
        <v>458</v>
      </c>
      <c r="M46" s="37"/>
    </row>
    <row r="47" spans="1:13" x14ac:dyDescent="0.2">
      <c r="A47" s="35" t="s">
        <v>71</v>
      </c>
      <c r="B47" s="7">
        <f t="shared" si="0"/>
        <v>46</v>
      </c>
      <c r="C47" s="36" t="s">
        <v>264</v>
      </c>
      <c r="D47" s="36" t="s">
        <v>212</v>
      </c>
      <c r="E47" s="36"/>
      <c r="F47" s="36" t="s">
        <v>214</v>
      </c>
      <c r="G47" s="36">
        <v>16</v>
      </c>
      <c r="H47" s="36" t="s">
        <v>215</v>
      </c>
      <c r="I47" s="37">
        <f>'[1]Tabla de Precios'!K46</f>
        <v>341.87000017093499</v>
      </c>
      <c r="J47" s="37">
        <f>'[1]Tabla de Precios'!L46</f>
        <v>648.08598427404297</v>
      </c>
      <c r="K47" s="37">
        <f>'[1]Tabla de Precios'!M46</f>
        <v>410.24400020512201</v>
      </c>
      <c r="L47" s="37" t="s">
        <v>459</v>
      </c>
      <c r="M47" s="37"/>
    </row>
    <row r="48" spans="1:13" x14ac:dyDescent="0.2">
      <c r="A48" s="35" t="s">
        <v>72</v>
      </c>
      <c r="B48" s="7">
        <f t="shared" si="0"/>
        <v>47</v>
      </c>
      <c r="C48" s="36" t="s">
        <v>265</v>
      </c>
      <c r="D48" s="36" t="s">
        <v>212</v>
      </c>
      <c r="E48" s="36"/>
      <c r="F48" s="36" t="s">
        <v>214</v>
      </c>
      <c r="G48" s="36">
        <v>0</v>
      </c>
      <c r="H48" s="36" t="s">
        <v>215</v>
      </c>
      <c r="I48" s="37">
        <f>'[1]Tabla de Precios'!K47</f>
        <v>78.210000000000008</v>
      </c>
      <c r="J48" s="37">
        <f>'[1]Tabla de Precios'!L47</f>
        <v>225.38627200000002</v>
      </c>
      <c r="K48" s="37">
        <f>'[1]Tabla de Precios'!M47</f>
        <v>93.852000000000004</v>
      </c>
      <c r="L48" s="37"/>
      <c r="M48" s="37"/>
    </row>
    <row r="49" spans="1:13" x14ac:dyDescent="0.2">
      <c r="A49" s="35" t="s">
        <v>73</v>
      </c>
      <c r="B49" s="7">
        <f t="shared" si="0"/>
        <v>48</v>
      </c>
      <c r="C49" s="36" t="s">
        <v>266</v>
      </c>
      <c r="D49" s="36" t="s">
        <v>212</v>
      </c>
      <c r="E49" s="36"/>
      <c r="F49" s="36" t="s">
        <v>214</v>
      </c>
      <c r="G49" s="36">
        <v>4</v>
      </c>
      <c r="H49" s="36" t="s">
        <v>242</v>
      </c>
      <c r="I49" s="37">
        <f>'[1]Tabla de Precios'!K48</f>
        <v>587.27000029363501</v>
      </c>
      <c r="J49" s="37">
        <f>'[1]Tabla de Precios'!L48</f>
        <v>1041.5112644707556</v>
      </c>
      <c r="K49" s="37">
        <f>'[1]Tabla de Precios'!M48</f>
        <v>704.72400035236205</v>
      </c>
      <c r="L49" s="37"/>
      <c r="M49" s="37"/>
    </row>
    <row r="50" spans="1:13" x14ac:dyDescent="0.2">
      <c r="A50" s="35" t="s">
        <v>74</v>
      </c>
      <c r="B50" s="7">
        <f t="shared" si="0"/>
        <v>49</v>
      </c>
      <c r="C50" s="36" t="s">
        <v>267</v>
      </c>
      <c r="D50" s="36" t="s">
        <v>212</v>
      </c>
      <c r="E50" s="36"/>
      <c r="F50" s="36" t="s">
        <v>214</v>
      </c>
      <c r="G50" s="36">
        <v>44</v>
      </c>
      <c r="H50" s="36" t="s">
        <v>220</v>
      </c>
      <c r="I50" s="37">
        <f>'[1]Tabla de Precios'!K49</f>
        <v>151.785</v>
      </c>
      <c r="J50" s="37">
        <f>'[1]Tabla de Precios'!L49</f>
        <v>343.34171200000003</v>
      </c>
      <c r="K50" s="37">
        <f>'[1]Tabla de Precios'!M49</f>
        <v>182.142</v>
      </c>
      <c r="L50" s="37"/>
      <c r="M50" s="37"/>
    </row>
    <row r="51" spans="1:13" x14ac:dyDescent="0.2">
      <c r="A51" s="35" t="s">
        <v>75</v>
      </c>
      <c r="B51" s="7">
        <f t="shared" si="0"/>
        <v>50</v>
      </c>
      <c r="C51" s="36" t="s">
        <v>268</v>
      </c>
      <c r="D51" s="36" t="s">
        <v>212</v>
      </c>
      <c r="E51" s="36"/>
      <c r="F51" s="36" t="s">
        <v>214</v>
      </c>
      <c r="G51" s="36">
        <v>0</v>
      </c>
      <c r="H51" s="36" t="s">
        <v>215</v>
      </c>
      <c r="I51" s="37">
        <f>'[1]Tabla de Precios'!K50</f>
        <v>1083.3250014083224</v>
      </c>
      <c r="J51" s="37">
        <f>'[1]Tabla de Precios'!L50</f>
        <v>1836.7866422578227</v>
      </c>
      <c r="K51" s="37">
        <f>'[1]Tabla de Precios'!M50</f>
        <v>1299.9900016899869</v>
      </c>
      <c r="L51" s="37" t="s">
        <v>460</v>
      </c>
      <c r="M51" s="37"/>
    </row>
    <row r="52" spans="1:13" x14ac:dyDescent="0.2">
      <c r="A52" s="35" t="s">
        <v>76</v>
      </c>
      <c r="B52" s="7">
        <f t="shared" si="0"/>
        <v>51</v>
      </c>
      <c r="C52" s="36" t="s">
        <v>269</v>
      </c>
      <c r="D52" s="36" t="s">
        <v>212</v>
      </c>
      <c r="E52" s="36"/>
      <c r="F52" s="36" t="s">
        <v>214</v>
      </c>
      <c r="G52" s="36">
        <v>1</v>
      </c>
      <c r="H52" s="36" t="s">
        <v>215</v>
      </c>
      <c r="I52" s="37">
        <f>'[1]Tabla de Precios'!K51</f>
        <v>306.95999999999998</v>
      </c>
      <c r="J52" s="37">
        <f>'[1]Tabla de Precios'!L51</f>
        <v>592.11827199999993</v>
      </c>
      <c r="K52" s="37">
        <f>'[1]Tabla de Precios'!M51</f>
        <v>368.35199999999998</v>
      </c>
      <c r="L52" s="37"/>
      <c r="M52" s="37"/>
    </row>
    <row r="53" spans="1:13" x14ac:dyDescent="0.2">
      <c r="A53" s="35" t="s">
        <v>77</v>
      </c>
      <c r="B53" s="7">
        <f t="shared" si="0"/>
        <v>52</v>
      </c>
      <c r="C53" s="36" t="s">
        <v>270</v>
      </c>
      <c r="D53" s="36" t="s">
        <v>212</v>
      </c>
      <c r="E53" s="36"/>
      <c r="F53" s="36" t="s">
        <v>214</v>
      </c>
      <c r="G53" s="36">
        <v>4</v>
      </c>
      <c r="H53" s="36" t="s">
        <v>215</v>
      </c>
      <c r="I53" s="37">
        <f>'[1]Tabla de Precios'!K52</f>
        <v>600.00000078000005</v>
      </c>
      <c r="J53" s="37">
        <f>'[1]Tabla de Precios'!L52</f>
        <v>1061.9200012504962</v>
      </c>
      <c r="K53" s="37">
        <f>'[1]Tabla de Precios'!M52</f>
        <v>720.00000093600011</v>
      </c>
      <c r="L53" s="37" t="s">
        <v>461</v>
      </c>
      <c r="M53" s="37"/>
    </row>
    <row r="54" spans="1:13" x14ac:dyDescent="0.2">
      <c r="A54" s="35" t="s">
        <v>78</v>
      </c>
      <c r="B54" s="7">
        <f t="shared" si="0"/>
        <v>53</v>
      </c>
      <c r="C54" s="36" t="s">
        <v>271</v>
      </c>
      <c r="D54" s="36" t="s">
        <v>212</v>
      </c>
      <c r="E54" s="36"/>
      <c r="F54" s="36" t="s">
        <v>214</v>
      </c>
      <c r="G54" s="36">
        <v>3</v>
      </c>
      <c r="H54" s="36" t="s">
        <v>215</v>
      </c>
      <c r="I54" s="37">
        <f>'[1]Tabla de Precios'!K53</f>
        <v>432.46500000000003</v>
      </c>
      <c r="J54" s="37">
        <f>'[1]Tabla de Precios'!L53</f>
        <v>793.32788800000014</v>
      </c>
      <c r="K54" s="37">
        <f>'[1]Tabla de Precios'!M53</f>
        <v>518.95800000000008</v>
      </c>
      <c r="L54" s="37" t="s">
        <v>461</v>
      </c>
      <c r="M54" s="37"/>
    </row>
    <row r="55" spans="1:13" x14ac:dyDescent="0.2">
      <c r="A55" s="35" t="s">
        <v>79</v>
      </c>
      <c r="B55" s="7">
        <f t="shared" si="0"/>
        <v>54</v>
      </c>
      <c r="C55" s="36" t="s">
        <v>272</v>
      </c>
      <c r="D55" s="36" t="s">
        <v>212</v>
      </c>
      <c r="E55" s="36"/>
      <c r="F55" s="36" t="s">
        <v>214</v>
      </c>
      <c r="G55" s="36">
        <v>3</v>
      </c>
      <c r="H55" s="36" t="s">
        <v>220</v>
      </c>
      <c r="I55" s="37">
        <f>'[1]Tabla de Precios'!K54</f>
        <v>2358.3333363991669</v>
      </c>
      <c r="J55" s="37">
        <f>'[1]Tabla de Precios'!L54</f>
        <v>3880.8800049151441</v>
      </c>
      <c r="K55" s="37">
        <f>'[1]Tabla de Precios'!M54</f>
        <v>2830.0000036790002</v>
      </c>
      <c r="L55" s="37" t="s">
        <v>462</v>
      </c>
      <c r="M55" s="37"/>
    </row>
    <row r="56" spans="1:13" x14ac:dyDescent="0.2">
      <c r="A56" s="35" t="s">
        <v>80</v>
      </c>
      <c r="B56" s="7">
        <f t="shared" si="0"/>
        <v>55</v>
      </c>
      <c r="C56" s="36" t="s">
        <v>273</v>
      </c>
      <c r="D56" s="36" t="s">
        <v>212</v>
      </c>
      <c r="E56" s="36"/>
      <c r="F56" s="36" t="s">
        <v>214</v>
      </c>
      <c r="G56" s="36">
        <v>1</v>
      </c>
      <c r="H56" s="36" t="s">
        <v>220</v>
      </c>
      <c r="I56" s="37">
        <f>'[1]Tabla de Precios'!K55</f>
        <v>2583.3333366916668</v>
      </c>
      <c r="J56" s="37">
        <f>'[1]Tabla de Precios'!L55</f>
        <v>4241.6000053840799</v>
      </c>
      <c r="K56" s="37">
        <f>'[1]Tabla de Precios'!M55</f>
        <v>3100.0000040300001</v>
      </c>
      <c r="L56" s="37" t="s">
        <v>462</v>
      </c>
      <c r="M56" s="37"/>
    </row>
    <row r="57" spans="1:13" x14ac:dyDescent="0.2">
      <c r="A57" s="35" t="s">
        <v>81</v>
      </c>
      <c r="B57" s="7">
        <f t="shared" si="0"/>
        <v>56</v>
      </c>
      <c r="C57" s="36" t="s">
        <v>274</v>
      </c>
      <c r="D57" s="36" t="s">
        <v>212</v>
      </c>
      <c r="E57" s="36"/>
      <c r="F57" s="36" t="s">
        <v>214</v>
      </c>
      <c r="G57" s="36">
        <v>4</v>
      </c>
      <c r="H57" s="36" t="s">
        <v>215</v>
      </c>
      <c r="I57" s="37">
        <f>'[1]Tabla de Precios'!K56</f>
        <v>676.80000033839997</v>
      </c>
      <c r="J57" s="37">
        <f>'[1]Tabla de Precios'!L56</f>
        <v>1185.0457605425227</v>
      </c>
      <c r="K57" s="37">
        <f>'[1]Tabla de Precios'!M56</f>
        <v>812.16000040607992</v>
      </c>
      <c r="L57" s="37" t="s">
        <v>463</v>
      </c>
      <c r="M57" s="37"/>
    </row>
    <row r="58" spans="1:13" x14ac:dyDescent="0.2">
      <c r="A58" s="35" t="s">
        <v>82</v>
      </c>
      <c r="B58" s="7">
        <f t="shared" si="0"/>
        <v>57</v>
      </c>
      <c r="C58" s="36" t="s">
        <v>275</v>
      </c>
      <c r="D58" s="36" t="s">
        <v>212</v>
      </c>
      <c r="E58" s="36"/>
      <c r="F58" s="36" t="s">
        <v>214</v>
      </c>
      <c r="G58" s="36">
        <v>1</v>
      </c>
      <c r="H58" s="36" t="s">
        <v>215</v>
      </c>
      <c r="I58" s="37">
        <f>'[1]Tabla de Precios'!K57</f>
        <v>676.80000033839997</v>
      </c>
      <c r="J58" s="37">
        <f>'[1]Tabla de Precios'!L57</f>
        <v>1185.0457605425227</v>
      </c>
      <c r="K58" s="37">
        <f>'[1]Tabla de Precios'!M57</f>
        <v>812.16000040607992</v>
      </c>
      <c r="L58" s="37" t="s">
        <v>464</v>
      </c>
      <c r="M58" s="37"/>
    </row>
    <row r="59" spans="1:13" x14ac:dyDescent="0.2">
      <c r="A59" s="35" t="s">
        <v>83</v>
      </c>
      <c r="B59" s="7">
        <f t="shared" si="0"/>
        <v>58</v>
      </c>
      <c r="C59" s="36" t="s">
        <v>276</v>
      </c>
      <c r="D59" s="36" t="s">
        <v>212</v>
      </c>
      <c r="E59" s="36"/>
      <c r="F59" s="36" t="s">
        <v>214</v>
      </c>
      <c r="G59" s="36">
        <v>0</v>
      </c>
      <c r="H59" s="36" t="s">
        <v>215</v>
      </c>
      <c r="I59" s="37">
        <f>'[1]Tabla de Precios'!K58</f>
        <v>3300.0000016500003</v>
      </c>
      <c r="J59" s="37">
        <f>'[1]Tabla de Precios'!L58</f>
        <v>5390.5600026452812</v>
      </c>
      <c r="K59" s="37">
        <f>'[1]Tabla de Precios'!M58</f>
        <v>3960.0000019800004</v>
      </c>
      <c r="L59" s="37" t="s">
        <v>465</v>
      </c>
      <c r="M59" s="37"/>
    </row>
    <row r="60" spans="1:13" ht="28.5" x14ac:dyDescent="0.2">
      <c r="A60" s="35" t="s">
        <v>84</v>
      </c>
      <c r="B60" s="7">
        <f t="shared" si="0"/>
        <v>59</v>
      </c>
      <c r="C60" s="36" t="s">
        <v>277</v>
      </c>
      <c r="D60" s="36" t="s">
        <v>212</v>
      </c>
      <c r="E60" s="36"/>
      <c r="F60" s="36" t="s">
        <v>214</v>
      </c>
      <c r="G60" s="36">
        <v>0</v>
      </c>
      <c r="H60" s="36" t="s">
        <v>215</v>
      </c>
      <c r="I60" s="37">
        <f>'[1]Tabla de Precios'!K59</f>
        <v>564.56999999999994</v>
      </c>
      <c r="J60" s="37">
        <f>'[1]Tabla de Precios'!L59</f>
        <v>1005.118624</v>
      </c>
      <c r="K60" s="37">
        <f>'[1]Tabla de Precios'!M59</f>
        <v>677.48399999999992</v>
      </c>
      <c r="L60" s="37" t="s">
        <v>466</v>
      </c>
      <c r="M60" s="37"/>
    </row>
    <row r="61" spans="1:13" x14ac:dyDescent="0.2">
      <c r="A61" s="35" t="s">
        <v>85</v>
      </c>
      <c r="B61" s="7">
        <f t="shared" si="0"/>
        <v>60</v>
      </c>
      <c r="C61" s="36" t="s">
        <v>278</v>
      </c>
      <c r="D61" s="36" t="s">
        <v>212</v>
      </c>
      <c r="E61" s="36"/>
      <c r="F61" s="36" t="s">
        <v>214</v>
      </c>
      <c r="G61" s="36">
        <v>0</v>
      </c>
      <c r="H61" s="36" t="s">
        <v>215</v>
      </c>
      <c r="I61" s="37">
        <f>'[1]Tabla de Precios'!K60</f>
        <v>410.25641066666662</v>
      </c>
      <c r="J61" s="37">
        <f>'[1]Tabla de Precios'!L60</f>
        <v>757.7230775807999</v>
      </c>
      <c r="K61" s="37">
        <f>'[1]Tabla de Precios'!M60</f>
        <v>492.30769279999993</v>
      </c>
      <c r="L61" s="37"/>
      <c r="M61" s="37"/>
    </row>
    <row r="62" spans="1:13" x14ac:dyDescent="0.2">
      <c r="A62" s="35" t="s">
        <v>86</v>
      </c>
      <c r="B62" s="7">
        <f t="shared" si="0"/>
        <v>61</v>
      </c>
      <c r="C62" s="36" t="s">
        <v>279</v>
      </c>
      <c r="D62" s="36" t="s">
        <v>212</v>
      </c>
      <c r="E62" s="36"/>
      <c r="F62" s="36" t="s">
        <v>214</v>
      </c>
      <c r="G62" s="36">
        <v>4</v>
      </c>
      <c r="H62" s="36" t="s">
        <v>215</v>
      </c>
      <c r="I62" s="37">
        <f>'[1]Tabla de Precios'!K61</f>
        <v>141.27000000000001</v>
      </c>
      <c r="J62" s="37">
        <f>'[1]Tabla de Precios'!L61</f>
        <v>326.48406399999999</v>
      </c>
      <c r="K62" s="37">
        <f>'[1]Tabla de Precios'!M61</f>
        <v>169.524</v>
      </c>
      <c r="L62" s="37"/>
      <c r="M62" s="37"/>
    </row>
    <row r="63" spans="1:13" ht="28.5" x14ac:dyDescent="0.2">
      <c r="A63" s="35" t="s">
        <v>87</v>
      </c>
      <c r="B63" s="7">
        <f t="shared" si="0"/>
        <v>62</v>
      </c>
      <c r="C63" s="36" t="s">
        <v>280</v>
      </c>
      <c r="D63" s="36" t="s">
        <v>212</v>
      </c>
      <c r="E63" s="36"/>
      <c r="F63" s="36" t="s">
        <v>214</v>
      </c>
      <c r="G63" s="36">
        <v>2</v>
      </c>
      <c r="H63" s="36" t="s">
        <v>242</v>
      </c>
      <c r="I63" s="37">
        <f>'[1]Tabla de Precios'!K62</f>
        <v>719.45000035972498</v>
      </c>
      <c r="J63" s="37">
        <f>'[1]Tabla de Precios'!L62</f>
        <v>1253.4222405767111</v>
      </c>
      <c r="K63" s="37">
        <f>'[1]Tabla de Precios'!M62</f>
        <v>863.34000043166998</v>
      </c>
      <c r="L63" s="37" t="s">
        <v>467</v>
      </c>
      <c r="M63" s="37"/>
    </row>
    <row r="64" spans="1:13" x14ac:dyDescent="0.2">
      <c r="A64" s="35" t="s">
        <v>88</v>
      </c>
      <c r="B64" s="7">
        <f t="shared" si="0"/>
        <v>63</v>
      </c>
      <c r="C64" s="36" t="s">
        <v>281</v>
      </c>
      <c r="D64" s="36" t="s">
        <v>212</v>
      </c>
      <c r="E64" s="36"/>
      <c r="F64" s="36" t="s">
        <v>214</v>
      </c>
      <c r="G64" s="36">
        <v>1</v>
      </c>
      <c r="H64" s="36" t="s">
        <v>215</v>
      </c>
      <c r="I64" s="37">
        <f>'[1]Tabla de Precios'!K63</f>
        <v>476.98500000000001</v>
      </c>
      <c r="J64" s="37">
        <f>'[1]Tabla de Precios'!L63</f>
        <v>864.70235200000013</v>
      </c>
      <c r="K64" s="37">
        <f>'[1]Tabla de Precios'!M63</f>
        <v>572.38200000000006</v>
      </c>
      <c r="L64" s="37"/>
      <c r="M64" s="37"/>
    </row>
    <row r="65" spans="1:13" x14ac:dyDescent="0.2">
      <c r="A65" s="35" t="s">
        <v>89</v>
      </c>
      <c r="B65" s="7">
        <f t="shared" si="0"/>
        <v>64</v>
      </c>
      <c r="C65" s="36" t="s">
        <v>282</v>
      </c>
      <c r="D65" s="36" t="s">
        <v>212</v>
      </c>
      <c r="E65" s="36"/>
      <c r="F65" s="36" t="s">
        <v>214</v>
      </c>
      <c r="G65" s="36">
        <v>0</v>
      </c>
      <c r="H65" s="36" t="s">
        <v>220</v>
      </c>
      <c r="I65" s="37">
        <f>'[1]Tabla de Precios'!K64</f>
        <v>0</v>
      </c>
      <c r="J65" s="37">
        <f>'[1]Tabla de Precios'!L64</f>
        <v>100</v>
      </c>
      <c r="K65" s="37">
        <f>'[1]Tabla de Precios'!M64</f>
        <v>0</v>
      </c>
      <c r="L65" s="37"/>
      <c r="M65" s="37"/>
    </row>
    <row r="66" spans="1:13" x14ac:dyDescent="0.2">
      <c r="A66" s="35" t="s">
        <v>90</v>
      </c>
      <c r="B66" s="7">
        <f t="shared" si="0"/>
        <v>65</v>
      </c>
      <c r="C66" s="36" t="s">
        <v>283</v>
      </c>
      <c r="D66" s="36" t="s">
        <v>212</v>
      </c>
      <c r="E66" s="36"/>
      <c r="F66" s="36" t="s">
        <v>214</v>
      </c>
      <c r="G66" s="36">
        <v>0</v>
      </c>
      <c r="H66" s="36" t="s">
        <v>220</v>
      </c>
      <c r="I66" s="37">
        <f>'[1]Tabla de Precios'!K65</f>
        <v>0</v>
      </c>
      <c r="J66" s="37">
        <f>'[1]Tabla de Precios'!L65</f>
        <v>100</v>
      </c>
      <c r="K66" s="37">
        <f>'[1]Tabla de Precios'!M65</f>
        <v>0</v>
      </c>
      <c r="L66" s="37"/>
      <c r="M66" s="37"/>
    </row>
    <row r="67" spans="1:13" x14ac:dyDescent="0.2">
      <c r="A67" s="35" t="s">
        <v>91</v>
      </c>
      <c r="B67" s="7">
        <f t="shared" ref="B67:B130" si="1">ROW(B66)</f>
        <v>66</v>
      </c>
      <c r="C67" s="36" t="s">
        <v>284</v>
      </c>
      <c r="D67" s="36" t="s">
        <v>212</v>
      </c>
      <c r="E67" s="36"/>
      <c r="F67" s="36" t="s">
        <v>214</v>
      </c>
      <c r="G67" s="36">
        <v>3</v>
      </c>
      <c r="H67" s="36" t="s">
        <v>215</v>
      </c>
      <c r="I67" s="37">
        <f>'[1]Tabla de Precios'!K66</f>
        <v>408.33333333864169</v>
      </c>
      <c r="J67" s="37">
        <f>'[1]Tabla de Precios'!L66</f>
        <v>754.64000000851036</v>
      </c>
      <c r="K67" s="37">
        <f>'[1]Tabla de Precios'!M66</f>
        <v>490.00000000637004</v>
      </c>
      <c r="L67" s="37" t="s">
        <v>468</v>
      </c>
      <c r="M67" s="37"/>
    </row>
    <row r="68" spans="1:13" x14ac:dyDescent="0.2">
      <c r="A68" s="35" t="s">
        <v>92</v>
      </c>
      <c r="B68" s="7">
        <f t="shared" si="1"/>
        <v>67</v>
      </c>
      <c r="C68" s="36" t="s">
        <v>285</v>
      </c>
      <c r="D68" s="36" t="s">
        <v>212</v>
      </c>
      <c r="E68" s="36"/>
      <c r="F68" s="36" t="s">
        <v>214</v>
      </c>
      <c r="G68" s="36">
        <v>0</v>
      </c>
      <c r="H68" s="36" t="s">
        <v>215</v>
      </c>
      <c r="I68" s="37">
        <f>'[1]Tabla de Precios'!K67</f>
        <v>879.4900004397449</v>
      </c>
      <c r="J68" s="37">
        <f>'[1]Tabla de Precios'!L67</f>
        <v>1509.9983687049992</v>
      </c>
      <c r="K68" s="37">
        <f>'[1]Tabla de Precios'!M67</f>
        <v>1055.388000527694</v>
      </c>
      <c r="L68" s="37" t="s">
        <v>469</v>
      </c>
      <c r="M68" s="37"/>
    </row>
    <row r="69" spans="1:13" x14ac:dyDescent="0.2">
      <c r="A69" s="35" t="s">
        <v>93</v>
      </c>
      <c r="B69" s="7">
        <f t="shared" si="1"/>
        <v>68</v>
      </c>
      <c r="C69" s="36" t="s">
        <v>286</v>
      </c>
      <c r="D69" s="36" t="s">
        <v>212</v>
      </c>
      <c r="E69" s="36"/>
      <c r="F69" s="36" t="s">
        <v>214</v>
      </c>
      <c r="G69" s="36">
        <v>14</v>
      </c>
      <c r="H69" s="36" t="s">
        <v>215</v>
      </c>
      <c r="I69" s="37">
        <f>'[1]Tabla de Precios'!K68</f>
        <v>421.65668663023553</v>
      </c>
      <c r="J69" s="37">
        <f>'[1]Tabla de Precios'!L68</f>
        <v>776.00000000559362</v>
      </c>
      <c r="K69" s="37">
        <f>'[1]Tabla de Precios'!M68</f>
        <v>505.98802395628263</v>
      </c>
      <c r="L69" s="37" t="s">
        <v>470</v>
      </c>
      <c r="M69" s="37"/>
    </row>
    <row r="70" spans="1:13" ht="28.5" x14ac:dyDescent="0.2">
      <c r="A70" s="35" t="s">
        <v>94</v>
      </c>
      <c r="B70" s="7">
        <f t="shared" si="1"/>
        <v>69</v>
      </c>
      <c r="C70" s="36" t="s">
        <v>287</v>
      </c>
      <c r="D70" s="36" t="s">
        <v>212</v>
      </c>
      <c r="E70" s="36"/>
      <c r="F70" s="36" t="s">
        <v>214</v>
      </c>
      <c r="G70" s="36">
        <v>12</v>
      </c>
      <c r="H70" s="36" t="s">
        <v>215</v>
      </c>
      <c r="I70" s="37">
        <f>'[1]Tabla de Precios'!K69</f>
        <v>598.78499999999997</v>
      </c>
      <c r="J70" s="37">
        <f>'[1]Tabla de Precios'!L69</f>
        <v>1059.9721119999999</v>
      </c>
      <c r="K70" s="37">
        <f>'[1]Tabla de Precios'!M69</f>
        <v>718.54199999999992</v>
      </c>
      <c r="L70" s="37"/>
      <c r="M70" s="37"/>
    </row>
    <row r="71" spans="1:13" x14ac:dyDescent="0.2">
      <c r="A71" s="35" t="s">
        <v>95</v>
      </c>
      <c r="B71" s="7">
        <f t="shared" si="1"/>
        <v>70</v>
      </c>
      <c r="C71" s="36" t="s">
        <v>288</v>
      </c>
      <c r="D71" s="36" t="s">
        <v>212</v>
      </c>
      <c r="E71" s="36"/>
      <c r="F71" s="36" t="s">
        <v>214</v>
      </c>
      <c r="G71" s="36">
        <v>0</v>
      </c>
      <c r="H71" s="36" t="s">
        <v>242</v>
      </c>
      <c r="I71" s="37">
        <f>'[1]Tabla de Precios'!K70</f>
        <v>208.33333333604165</v>
      </c>
      <c r="J71" s="37">
        <f>'[1]Tabla de Precios'!L70</f>
        <v>434.00000000434193</v>
      </c>
      <c r="K71" s="37">
        <f>'[1]Tabla de Precios'!M70</f>
        <v>250.00000000324997</v>
      </c>
      <c r="L71" s="37" t="s">
        <v>471</v>
      </c>
      <c r="M71" s="37"/>
    </row>
    <row r="72" spans="1:13" x14ac:dyDescent="0.2">
      <c r="A72" s="35" t="s">
        <v>96</v>
      </c>
      <c r="B72" s="7">
        <f t="shared" si="1"/>
        <v>71</v>
      </c>
      <c r="C72" s="36" t="s">
        <v>289</v>
      </c>
      <c r="D72" s="36" t="s">
        <v>212</v>
      </c>
      <c r="E72" s="36"/>
      <c r="F72" s="36" t="s">
        <v>214</v>
      </c>
      <c r="G72" s="36">
        <v>14</v>
      </c>
      <c r="H72" s="36" t="s">
        <v>215</v>
      </c>
      <c r="I72" s="37">
        <f>'[1]Tabla de Precios'!K71</f>
        <v>208.33333333604165</v>
      </c>
      <c r="J72" s="37">
        <f>'[1]Tabla de Precios'!L71</f>
        <v>434.00000000434193</v>
      </c>
      <c r="K72" s="37">
        <f>'[1]Tabla de Precios'!M71</f>
        <v>250.00000000324997</v>
      </c>
      <c r="L72" s="37"/>
      <c r="M72" s="37"/>
    </row>
    <row r="73" spans="1:13" x14ac:dyDescent="0.2">
      <c r="A73" s="35" t="s">
        <v>97</v>
      </c>
      <c r="B73" s="7">
        <f t="shared" si="1"/>
        <v>72</v>
      </c>
      <c r="C73" s="36" t="s">
        <v>290</v>
      </c>
      <c r="D73" s="36" t="s">
        <v>212</v>
      </c>
      <c r="E73" s="36"/>
      <c r="F73" s="36" t="s">
        <v>214</v>
      </c>
      <c r="G73" s="36">
        <v>2</v>
      </c>
      <c r="H73" s="36" t="s">
        <v>215</v>
      </c>
      <c r="I73" s="37">
        <f>'[1]Tabla de Precios'!K72</f>
        <v>533.530000266765</v>
      </c>
      <c r="J73" s="37">
        <f>'[1]Tabla de Precios'!L72</f>
        <v>955.35529642767767</v>
      </c>
      <c r="K73" s="37">
        <f>'[1]Tabla de Precios'!M72</f>
        <v>640.23600032011802</v>
      </c>
      <c r="L73" s="37"/>
      <c r="M73" s="37"/>
    </row>
    <row r="74" spans="1:13" x14ac:dyDescent="0.2">
      <c r="A74" s="35" t="s">
        <v>98</v>
      </c>
      <c r="B74" s="7">
        <f t="shared" si="1"/>
        <v>73</v>
      </c>
      <c r="C74" s="36" t="s">
        <v>291</v>
      </c>
      <c r="D74" s="36" t="s">
        <v>212</v>
      </c>
      <c r="E74" s="36"/>
      <c r="F74" s="36" t="s">
        <v>214</v>
      </c>
      <c r="G74" s="36">
        <v>2</v>
      </c>
      <c r="H74" s="36" t="s">
        <v>215</v>
      </c>
      <c r="I74" s="37">
        <f>'[1]Tabla de Precios'!K73</f>
        <v>192</v>
      </c>
      <c r="J74" s="37">
        <f>'[1]Tabla de Precios'!L73</f>
        <v>407.81439999999998</v>
      </c>
      <c r="K74" s="37">
        <f>'[1]Tabla de Precios'!M73</f>
        <v>230.4</v>
      </c>
      <c r="L74" s="37" t="s">
        <v>472</v>
      </c>
      <c r="M74" s="37"/>
    </row>
    <row r="75" spans="1:13" x14ac:dyDescent="0.2">
      <c r="A75" s="35" t="s">
        <v>99</v>
      </c>
      <c r="B75" s="7">
        <f t="shared" si="1"/>
        <v>74</v>
      </c>
      <c r="C75" s="36" t="s">
        <v>292</v>
      </c>
      <c r="D75" s="36" t="s">
        <v>212</v>
      </c>
      <c r="E75" s="36"/>
      <c r="F75" s="36" t="s">
        <v>214</v>
      </c>
      <c r="G75" s="36">
        <v>1</v>
      </c>
      <c r="H75" s="36" t="s">
        <v>215</v>
      </c>
      <c r="I75" s="37">
        <f>'[1]Tabla de Precios'!K74</f>
        <v>227.52</v>
      </c>
      <c r="J75" s="37">
        <f>'[1]Tabla de Precios'!L74</f>
        <v>464.760064</v>
      </c>
      <c r="K75" s="37">
        <f>'[1]Tabla de Precios'!M74</f>
        <v>273.024</v>
      </c>
      <c r="L75" s="37"/>
      <c r="M75" s="37"/>
    </row>
    <row r="76" spans="1:13" x14ac:dyDescent="0.2">
      <c r="A76" s="35" t="s">
        <v>100</v>
      </c>
      <c r="B76" s="7">
        <f t="shared" si="1"/>
        <v>75</v>
      </c>
      <c r="C76" s="36" t="s">
        <v>293</v>
      </c>
      <c r="D76" s="36" t="s">
        <v>212</v>
      </c>
      <c r="E76" s="36"/>
      <c r="F76" s="36" t="s">
        <v>214</v>
      </c>
      <c r="G76" s="36">
        <v>0</v>
      </c>
      <c r="H76" s="36" t="s">
        <v>215</v>
      </c>
      <c r="I76" s="37">
        <f>'[1]Tabla de Precios'!K75</f>
        <v>173.73</v>
      </c>
      <c r="J76" s="37">
        <f>'[1]Tabla de Precios'!L75</f>
        <v>378.52393599999999</v>
      </c>
      <c r="K76" s="37">
        <f>'[1]Tabla de Precios'!M75</f>
        <v>208.476</v>
      </c>
      <c r="L76" s="37"/>
      <c r="M76" s="37"/>
    </row>
    <row r="77" spans="1:13" x14ac:dyDescent="0.2">
      <c r="A77" s="35" t="s">
        <v>101</v>
      </c>
      <c r="B77" s="7">
        <f t="shared" si="1"/>
        <v>76</v>
      </c>
      <c r="C77" s="36" t="s">
        <v>294</v>
      </c>
      <c r="D77" s="36" t="s">
        <v>212</v>
      </c>
      <c r="E77" s="36"/>
      <c r="F77" s="36" t="s">
        <v>214</v>
      </c>
      <c r="G77" s="36">
        <v>0</v>
      </c>
      <c r="H77" s="36" t="s">
        <v>215</v>
      </c>
      <c r="I77" s="37">
        <f>'[1]Tabla de Precios'!K76</f>
        <v>500.00000065</v>
      </c>
      <c r="J77" s="37">
        <f>'[1]Tabla de Precios'!L76</f>
        <v>901.60000104208007</v>
      </c>
      <c r="K77" s="37">
        <f>'[1]Tabla de Precios'!M76</f>
        <v>600.00000078000005</v>
      </c>
      <c r="L77" s="37"/>
      <c r="M77" s="37"/>
    </row>
    <row r="78" spans="1:13" x14ac:dyDescent="0.2">
      <c r="A78" s="35" t="s">
        <v>102</v>
      </c>
      <c r="B78" s="7">
        <f t="shared" si="1"/>
        <v>77</v>
      </c>
      <c r="C78" s="36" t="s">
        <v>295</v>
      </c>
      <c r="D78" s="36" t="s">
        <v>212</v>
      </c>
      <c r="E78" s="36"/>
      <c r="F78" s="36" t="s">
        <v>214</v>
      </c>
      <c r="G78" s="36">
        <v>3</v>
      </c>
      <c r="H78" s="36" t="s">
        <v>215</v>
      </c>
      <c r="I78" s="37">
        <f>'[1]Tabla de Precios'!K77</f>
        <v>541.66666737083335</v>
      </c>
      <c r="J78" s="37">
        <f>'[1]Tabla de Precios'!L77</f>
        <v>968.40000112892005</v>
      </c>
      <c r="K78" s="37">
        <f>'[1]Tabla de Precios'!M77</f>
        <v>650.00000084500005</v>
      </c>
      <c r="L78" s="37"/>
      <c r="M78" s="37"/>
    </row>
    <row r="79" spans="1:13" ht="28.5" x14ac:dyDescent="0.2">
      <c r="A79" s="35" t="s">
        <v>103</v>
      </c>
      <c r="B79" s="7">
        <f t="shared" si="1"/>
        <v>78</v>
      </c>
      <c r="C79" s="36" t="s">
        <v>296</v>
      </c>
      <c r="D79" s="36" t="s">
        <v>212</v>
      </c>
      <c r="E79" s="36"/>
      <c r="F79" s="36" t="s">
        <v>214</v>
      </c>
      <c r="G79" s="36">
        <v>0</v>
      </c>
      <c r="H79" s="36" t="s">
        <v>215</v>
      </c>
      <c r="I79" s="37">
        <f>'[1]Tabla de Precios'!K78</f>
        <v>678.84615452499997</v>
      </c>
      <c r="J79" s="37">
        <f>'[1]Tabla de Precios'!L78</f>
        <v>1188.32615493448</v>
      </c>
      <c r="K79" s="37">
        <f>'[1]Tabla de Precios'!M78</f>
        <v>814.61538542999995</v>
      </c>
      <c r="L79" s="37"/>
      <c r="M79" s="37"/>
    </row>
    <row r="80" spans="1:13" x14ac:dyDescent="0.2">
      <c r="A80" s="35" t="s">
        <v>104</v>
      </c>
      <c r="B80" s="7">
        <f t="shared" si="1"/>
        <v>79</v>
      </c>
      <c r="C80" s="36" t="s">
        <v>297</v>
      </c>
      <c r="D80" s="36" t="s">
        <v>212</v>
      </c>
      <c r="E80" s="36"/>
      <c r="F80" s="36" t="s">
        <v>214</v>
      </c>
      <c r="G80" s="36">
        <v>8</v>
      </c>
      <c r="H80" s="36" t="s">
        <v>215</v>
      </c>
      <c r="I80" s="37">
        <f>'[1]Tabla de Precios'!K79</f>
        <v>875.61000043780507</v>
      </c>
      <c r="J80" s="37">
        <f>'[1]Tabla de Precios'!L79</f>
        <v>1503.7779527018893</v>
      </c>
      <c r="K80" s="37">
        <f>'[1]Tabla de Precios'!M79</f>
        <v>1050.7320005253662</v>
      </c>
      <c r="L80" s="37"/>
      <c r="M80" s="37"/>
    </row>
    <row r="81" spans="1:13" x14ac:dyDescent="0.2">
      <c r="A81" s="35" t="s">
        <v>105</v>
      </c>
      <c r="B81" s="7">
        <f t="shared" si="1"/>
        <v>80</v>
      </c>
      <c r="C81" s="36" t="s">
        <v>298</v>
      </c>
      <c r="D81" s="36" t="s">
        <v>212</v>
      </c>
      <c r="E81" s="36"/>
      <c r="F81" s="36" t="s">
        <v>214</v>
      </c>
      <c r="G81" s="36">
        <v>0</v>
      </c>
      <c r="H81" s="36" t="s">
        <v>215</v>
      </c>
      <c r="I81" s="37">
        <f>'[1]Tabla de Precios'!K80</f>
        <v>243.58974383333398</v>
      </c>
      <c r="J81" s="37">
        <f>'[1]Tabla de Precios'!L80</f>
        <v>490.52307731360105</v>
      </c>
      <c r="K81" s="37">
        <f>'[1]Tabla de Precios'!M80</f>
        <v>292.30769260000079</v>
      </c>
      <c r="L81" s="37"/>
      <c r="M81" s="37"/>
    </row>
    <row r="82" spans="1:13" x14ac:dyDescent="0.2">
      <c r="A82" s="35" t="s">
        <v>106</v>
      </c>
      <c r="B82" s="7">
        <f t="shared" si="1"/>
        <v>81</v>
      </c>
      <c r="C82" s="36" t="s">
        <v>299</v>
      </c>
      <c r="D82" s="36" t="s">
        <v>212</v>
      </c>
      <c r="E82" s="36"/>
      <c r="F82" s="36" t="s">
        <v>214</v>
      </c>
      <c r="G82" s="36">
        <v>0</v>
      </c>
      <c r="H82" s="36" t="s">
        <v>215</v>
      </c>
      <c r="I82" s="37">
        <f>'[1]Tabla de Precios'!K81</f>
        <v>256.4102566666665</v>
      </c>
      <c r="J82" s="37">
        <f>'[1]Tabla de Precios'!L81</f>
        <v>511.07692348799975</v>
      </c>
      <c r="K82" s="37">
        <f>'[1]Tabla de Precios'!M81</f>
        <v>307.6923079999998</v>
      </c>
      <c r="L82" s="37"/>
      <c r="M82" s="37"/>
    </row>
    <row r="83" spans="1:13" x14ac:dyDescent="0.2">
      <c r="A83" s="35" t="s">
        <v>107</v>
      </c>
      <c r="B83" s="7">
        <f t="shared" si="1"/>
        <v>82</v>
      </c>
      <c r="C83" s="36" t="s">
        <v>300</v>
      </c>
      <c r="D83" s="36" t="s">
        <v>212</v>
      </c>
      <c r="E83" s="36" t="s">
        <v>222</v>
      </c>
      <c r="F83" s="36" t="s">
        <v>214</v>
      </c>
      <c r="G83" s="36">
        <v>0</v>
      </c>
      <c r="H83" s="36" t="s">
        <v>215</v>
      </c>
      <c r="I83" s="37">
        <f>'[1]Tabla de Precios'!K82</f>
        <v>605.09999999999991</v>
      </c>
      <c r="J83" s="37">
        <f>'[1]Tabla de Precios'!L82</f>
        <v>1070.0963199999999</v>
      </c>
      <c r="K83" s="37">
        <f>'[1]Tabla de Precios'!M82</f>
        <v>726.11999999999989</v>
      </c>
      <c r="L83" s="37"/>
      <c r="M83" s="37"/>
    </row>
    <row r="84" spans="1:13" x14ac:dyDescent="0.2">
      <c r="A84" s="35" t="s">
        <v>108</v>
      </c>
      <c r="B84" s="7">
        <f t="shared" si="1"/>
        <v>83</v>
      </c>
      <c r="C84" s="36" t="s">
        <v>301</v>
      </c>
      <c r="D84" s="36" t="s">
        <v>212</v>
      </c>
      <c r="E84" s="36"/>
      <c r="F84" s="36" t="s">
        <v>214</v>
      </c>
      <c r="G84" s="36">
        <v>1</v>
      </c>
      <c r="H84" s="36" t="s">
        <v>215</v>
      </c>
      <c r="I84" s="37">
        <f>'[1]Tabla de Precios'!K83</f>
        <v>605.10000030254992</v>
      </c>
      <c r="J84" s="37">
        <f>'[1]Tabla de Precios'!L83</f>
        <v>1070.0963204850482</v>
      </c>
      <c r="K84" s="37">
        <f>'[1]Tabla de Precios'!M83</f>
        <v>726.12000036305994</v>
      </c>
      <c r="L84" s="37" t="s">
        <v>473</v>
      </c>
      <c r="M84" s="37"/>
    </row>
    <row r="85" spans="1:13" x14ac:dyDescent="0.2">
      <c r="A85" s="35" t="s">
        <v>109</v>
      </c>
      <c r="B85" s="7">
        <f t="shared" si="1"/>
        <v>84</v>
      </c>
      <c r="C85" s="36" t="s">
        <v>302</v>
      </c>
      <c r="D85" s="36" t="s">
        <v>212</v>
      </c>
      <c r="E85" s="36"/>
      <c r="F85" s="36" t="s">
        <v>214</v>
      </c>
      <c r="G85" s="36">
        <v>38</v>
      </c>
      <c r="H85" s="36" t="s">
        <v>215</v>
      </c>
      <c r="I85" s="37">
        <f>'[1]Tabla de Precios'!K84</f>
        <v>240</v>
      </c>
      <c r="J85" s="37">
        <f>'[1]Tabla de Precios'!L84</f>
        <v>484.76800000000003</v>
      </c>
      <c r="K85" s="37">
        <f>'[1]Tabla de Precios'!M84</f>
        <v>288</v>
      </c>
      <c r="L85" s="37" t="s">
        <v>474</v>
      </c>
      <c r="M85" s="37"/>
    </row>
    <row r="86" spans="1:13" x14ac:dyDescent="0.2">
      <c r="A86" s="35" t="s">
        <v>110</v>
      </c>
      <c r="B86" s="7">
        <f t="shared" si="1"/>
        <v>85</v>
      </c>
      <c r="C86" s="36" t="s">
        <v>303</v>
      </c>
      <c r="D86" s="36" t="s">
        <v>212</v>
      </c>
      <c r="E86" s="36"/>
      <c r="F86" s="36" t="s">
        <v>214</v>
      </c>
      <c r="G86" s="36">
        <v>20</v>
      </c>
      <c r="H86" s="36" t="s">
        <v>215</v>
      </c>
      <c r="I86" s="37">
        <f>'[1]Tabla de Precios'!K85</f>
        <v>133.33333350666666</v>
      </c>
      <c r="J86" s="37">
        <f>'[1]Tabla de Precios'!L85</f>
        <v>313.76000027788803</v>
      </c>
      <c r="K86" s="37">
        <f>'[1]Tabla de Precios'!M85</f>
        <v>160.00000020799999</v>
      </c>
      <c r="L86" s="37" t="s">
        <v>475</v>
      </c>
      <c r="M86" s="37"/>
    </row>
    <row r="87" spans="1:13" x14ac:dyDescent="0.2">
      <c r="A87" s="35" t="s">
        <v>111</v>
      </c>
      <c r="B87" s="7">
        <f t="shared" si="1"/>
        <v>86</v>
      </c>
      <c r="C87" s="36" t="s">
        <v>304</v>
      </c>
      <c r="D87" s="36" t="s">
        <v>212</v>
      </c>
      <c r="E87" s="36"/>
      <c r="F87" s="36" t="s">
        <v>214</v>
      </c>
      <c r="G87" s="36">
        <v>0</v>
      </c>
      <c r="H87" s="36" t="s">
        <v>215</v>
      </c>
      <c r="I87" s="37">
        <f>'[1]Tabla de Precios'!K86</f>
        <v>96.076923172999983</v>
      </c>
      <c r="J87" s="37">
        <f>'[1]Tabla de Precios'!L86</f>
        <v>254.03052323095358</v>
      </c>
      <c r="K87" s="37">
        <f>'[1]Tabla de Precios'!M86</f>
        <v>115.29230780759998</v>
      </c>
      <c r="L87" s="37"/>
      <c r="M87" s="37"/>
    </row>
    <row r="88" spans="1:13" x14ac:dyDescent="0.2">
      <c r="A88" s="35" t="s">
        <v>112</v>
      </c>
      <c r="B88" s="7">
        <f t="shared" si="1"/>
        <v>87</v>
      </c>
      <c r="C88" s="36" t="s">
        <v>305</v>
      </c>
      <c r="D88" s="36" t="s">
        <v>212</v>
      </c>
      <c r="E88" s="36"/>
      <c r="F88" s="36" t="s">
        <v>214</v>
      </c>
      <c r="G88" s="36">
        <v>1</v>
      </c>
      <c r="H88" s="36" t="s">
        <v>215</v>
      </c>
      <c r="I88" s="37">
        <f>'[1]Tabla de Precios'!K87</f>
        <v>407.69166719666589</v>
      </c>
      <c r="J88" s="37">
        <f>'[1]Tabla de Precios'!L87</f>
        <v>753.61128084969482</v>
      </c>
      <c r="K88" s="37">
        <f>'[1]Tabla de Precios'!M87</f>
        <v>489.23000063599909</v>
      </c>
      <c r="L88" s="37" t="s">
        <v>476</v>
      </c>
      <c r="M88" s="37"/>
    </row>
    <row r="89" spans="1:13" x14ac:dyDescent="0.2">
      <c r="A89" s="35" t="s">
        <v>113</v>
      </c>
      <c r="B89" s="7">
        <f t="shared" si="1"/>
        <v>88</v>
      </c>
      <c r="C89" s="36" t="s">
        <v>306</v>
      </c>
      <c r="D89" s="36" t="s">
        <v>212</v>
      </c>
      <c r="E89" s="36"/>
      <c r="F89" s="36" t="s">
        <v>214</v>
      </c>
      <c r="G89" s="36">
        <v>0</v>
      </c>
      <c r="H89" s="36" t="s">
        <v>215</v>
      </c>
      <c r="I89" s="37">
        <f>'[1]Tabla de Precios'!K88</f>
        <v>336.53846187500005</v>
      </c>
      <c r="J89" s="37">
        <f>'[1]Tabla de Precios'!L88</f>
        <v>639.53846207800007</v>
      </c>
      <c r="K89" s="37">
        <f>'[1]Tabla de Precios'!M88</f>
        <v>403.84615425000004</v>
      </c>
      <c r="L89" s="37"/>
      <c r="M89" s="37"/>
    </row>
    <row r="90" spans="1:13" x14ac:dyDescent="0.2">
      <c r="A90" s="35" t="s">
        <v>114</v>
      </c>
      <c r="B90" s="7">
        <f t="shared" si="1"/>
        <v>89</v>
      </c>
      <c r="C90" s="36" t="s">
        <v>307</v>
      </c>
      <c r="D90" s="36" t="s">
        <v>212</v>
      </c>
      <c r="E90" s="36"/>
      <c r="F90" s="36" t="s">
        <v>214</v>
      </c>
      <c r="G90" s="36">
        <v>0</v>
      </c>
      <c r="H90" s="36" t="s">
        <v>215</v>
      </c>
      <c r="I90" s="37">
        <f>'[1]Tabla de Precios'!K89</f>
        <v>527.34000026366994</v>
      </c>
      <c r="J90" s="37">
        <f>'[1]Tabla de Precios'!L89</f>
        <v>945.43148842271557</v>
      </c>
      <c r="K90" s="37">
        <f>'[1]Tabla de Precios'!M89</f>
        <v>632.80800031640388</v>
      </c>
      <c r="L90" s="37"/>
      <c r="M90" s="37"/>
    </row>
    <row r="91" spans="1:13" x14ac:dyDescent="0.2">
      <c r="A91" s="35" t="s">
        <v>115</v>
      </c>
      <c r="B91" s="7">
        <f t="shared" si="1"/>
        <v>90</v>
      </c>
      <c r="C91" s="36" t="s">
        <v>308</v>
      </c>
      <c r="D91" s="36" t="s">
        <v>212</v>
      </c>
      <c r="E91" s="36"/>
      <c r="F91" s="36" t="s">
        <v>214</v>
      </c>
      <c r="G91" s="36">
        <v>0</v>
      </c>
      <c r="H91" s="36" t="s">
        <v>215</v>
      </c>
      <c r="I91" s="37">
        <f>'[1]Tabla de Precios'!K90</f>
        <v>650.00000084499993</v>
      </c>
      <c r="J91" s="37">
        <f>'[1]Tabla de Precios'!L90</f>
        <v>1142.0800013547041</v>
      </c>
      <c r="K91" s="37">
        <f>'[1]Tabla de Precios'!M90</f>
        <v>780.00000101399996</v>
      </c>
      <c r="L91" s="37" t="s">
        <v>477</v>
      </c>
      <c r="M91" s="37"/>
    </row>
    <row r="92" spans="1:13" x14ac:dyDescent="0.2">
      <c r="A92" s="35" t="s">
        <v>412</v>
      </c>
      <c r="B92" s="7">
        <f t="shared" si="1"/>
        <v>91</v>
      </c>
      <c r="C92" s="36" t="s">
        <v>309</v>
      </c>
      <c r="D92" s="36" t="s">
        <v>212</v>
      </c>
      <c r="E92" s="36"/>
      <c r="F92" s="36" t="s">
        <v>214</v>
      </c>
      <c r="G92" s="36">
        <v>24</v>
      </c>
      <c r="H92" s="36" t="s">
        <v>215</v>
      </c>
      <c r="I92" s="37">
        <f>'[1]Tabla de Precios'!K91</f>
        <v>263.25</v>
      </c>
      <c r="J92" s="37">
        <f>'[1]Tabla de Precios'!L91</f>
        <v>522.04240000000004</v>
      </c>
      <c r="K92" s="37">
        <f>'[1]Tabla de Precios'!M91</f>
        <v>315.89999999999998</v>
      </c>
      <c r="L92" s="37"/>
      <c r="M92" s="37"/>
    </row>
    <row r="93" spans="1:13" x14ac:dyDescent="0.2">
      <c r="A93" s="35" t="s">
        <v>116</v>
      </c>
      <c r="B93" s="7">
        <f t="shared" si="1"/>
        <v>92</v>
      </c>
      <c r="C93" s="36" t="s">
        <v>310</v>
      </c>
      <c r="D93" s="36" t="s">
        <v>212</v>
      </c>
      <c r="E93" s="36"/>
      <c r="F93" s="36" t="s">
        <v>214</v>
      </c>
      <c r="G93" s="36">
        <v>8</v>
      </c>
      <c r="H93" s="36" t="s">
        <v>215</v>
      </c>
      <c r="I93" s="37">
        <f>'[1]Tabla de Precios'!K92</f>
        <v>1083.3333347416667</v>
      </c>
      <c r="J93" s="37">
        <f>'[1]Tabla de Precios'!L92</f>
        <v>1836.8000022578401</v>
      </c>
      <c r="K93" s="37">
        <f>'[1]Tabla de Precios'!M92</f>
        <v>1300.0000016900001</v>
      </c>
      <c r="L93" s="37" t="s">
        <v>478</v>
      </c>
      <c r="M93" s="37"/>
    </row>
    <row r="94" spans="1:13" x14ac:dyDescent="0.2">
      <c r="A94" s="35" t="s">
        <v>117</v>
      </c>
      <c r="B94" s="7">
        <f t="shared" si="1"/>
        <v>93</v>
      </c>
      <c r="C94" s="36" t="s">
        <v>311</v>
      </c>
      <c r="D94" s="36" t="s">
        <v>212</v>
      </c>
      <c r="E94" s="36"/>
      <c r="F94" s="36" t="s">
        <v>214</v>
      </c>
      <c r="G94" s="36">
        <v>0</v>
      </c>
      <c r="H94" s="36" t="s">
        <v>215</v>
      </c>
      <c r="I94" s="37">
        <f>'[1]Tabla de Precios'!K93</f>
        <v>990.13000049506491</v>
      </c>
      <c r="J94" s="37">
        <f>'[1]Tabla de Precios'!L93</f>
        <v>1687.3764167936879</v>
      </c>
      <c r="K94" s="37">
        <f>'[1]Tabla de Precios'!M93</f>
        <v>1188.1560005940778</v>
      </c>
      <c r="L94" s="37" t="s">
        <v>479</v>
      </c>
      <c r="M94" s="37"/>
    </row>
    <row r="95" spans="1:13" x14ac:dyDescent="0.2">
      <c r="A95" s="35" t="s">
        <v>118</v>
      </c>
      <c r="B95" s="7">
        <f t="shared" si="1"/>
        <v>94</v>
      </c>
      <c r="C95" s="36" t="s">
        <v>312</v>
      </c>
      <c r="D95" s="36" t="s">
        <v>212</v>
      </c>
      <c r="E95" s="36"/>
      <c r="F95" s="36" t="s">
        <v>214</v>
      </c>
      <c r="G95" s="36">
        <v>3</v>
      </c>
      <c r="H95" s="36" t="s">
        <v>215</v>
      </c>
      <c r="I95" s="37">
        <f>'[1]Tabla de Precios'!K94</f>
        <v>658.33333418916675</v>
      </c>
      <c r="J95" s="37">
        <f>'[1]Tabla de Precios'!L94</f>
        <v>1155.4400013720719</v>
      </c>
      <c r="K95" s="37">
        <f>'[1]Tabla de Precios'!M94</f>
        <v>790.00000102700005</v>
      </c>
      <c r="L95" s="37"/>
      <c r="M95" s="37"/>
    </row>
    <row r="96" spans="1:13" x14ac:dyDescent="0.2">
      <c r="A96" s="35" t="s">
        <v>119</v>
      </c>
      <c r="B96" s="7">
        <f t="shared" si="1"/>
        <v>95</v>
      </c>
      <c r="C96" s="36" t="s">
        <v>313</v>
      </c>
      <c r="D96" s="36" t="s">
        <v>212</v>
      </c>
      <c r="E96" s="36" t="s">
        <v>222</v>
      </c>
      <c r="F96" s="36" t="s">
        <v>214</v>
      </c>
      <c r="G96" s="36">
        <v>2</v>
      </c>
      <c r="H96" s="36" t="s">
        <v>215</v>
      </c>
      <c r="I96" s="37">
        <f>'[1]Tabla de Precios'!K95</f>
        <v>428.76</v>
      </c>
      <c r="J96" s="37">
        <f>'[1]Tabla de Precios'!L95</f>
        <v>787.38803199999995</v>
      </c>
      <c r="K96" s="37">
        <f>'[1]Tabla de Precios'!M95</f>
        <v>514.51199999999994</v>
      </c>
      <c r="L96" s="37"/>
      <c r="M96" s="37"/>
    </row>
    <row r="97" spans="1:13" x14ac:dyDescent="0.2">
      <c r="A97" s="35" t="s">
        <v>120</v>
      </c>
      <c r="B97" s="7">
        <f t="shared" si="1"/>
        <v>96</v>
      </c>
      <c r="C97" s="36" t="s">
        <v>314</v>
      </c>
      <c r="D97" s="36" t="s">
        <v>212</v>
      </c>
      <c r="E97" s="36"/>
      <c r="F97" s="36" t="s">
        <v>214</v>
      </c>
      <c r="G97" s="36">
        <v>7</v>
      </c>
      <c r="H97" s="36" t="s">
        <v>215</v>
      </c>
      <c r="I97" s="37">
        <f>'[1]Tabla de Precios'!K96</f>
        <v>746.33000037316492</v>
      </c>
      <c r="J97" s="37">
        <f>'[1]Tabla de Precios'!L96</f>
        <v>1296.516256598258</v>
      </c>
      <c r="K97" s="37">
        <f>'[1]Tabla de Precios'!M96</f>
        <v>895.59600044779791</v>
      </c>
      <c r="L97" s="37"/>
      <c r="M97" s="37"/>
    </row>
    <row r="98" spans="1:13" x14ac:dyDescent="0.2">
      <c r="A98" s="35" t="s">
        <v>121</v>
      </c>
      <c r="B98" s="7">
        <f t="shared" si="1"/>
        <v>97</v>
      </c>
      <c r="C98" s="36" t="s">
        <v>315</v>
      </c>
      <c r="D98" s="36" t="s">
        <v>212</v>
      </c>
      <c r="E98" s="36"/>
      <c r="F98" s="36" t="s">
        <v>214</v>
      </c>
      <c r="G98" s="36">
        <v>1</v>
      </c>
      <c r="H98" s="36" t="s">
        <v>215</v>
      </c>
      <c r="I98" s="37">
        <f>'[1]Tabla de Precios'!K97</f>
        <v>379.16666715958331</v>
      </c>
      <c r="J98" s="37">
        <f>'[1]Tabla de Precios'!L97</f>
        <v>707.88000079024403</v>
      </c>
      <c r="K98" s="37">
        <f>'[1]Tabla de Precios'!M97</f>
        <v>455.0000005915</v>
      </c>
      <c r="L98" s="37" t="s">
        <v>480</v>
      </c>
      <c r="M98" s="37"/>
    </row>
    <row r="99" spans="1:13" x14ac:dyDescent="0.2">
      <c r="A99" s="35" t="s">
        <v>122</v>
      </c>
      <c r="B99" s="7">
        <f t="shared" si="1"/>
        <v>98</v>
      </c>
      <c r="C99" s="36" t="s">
        <v>316</v>
      </c>
      <c r="D99" s="36" t="s">
        <v>212</v>
      </c>
      <c r="E99" s="36"/>
      <c r="F99" s="36" t="s">
        <v>214</v>
      </c>
      <c r="G99" s="36">
        <v>0</v>
      </c>
      <c r="H99" s="36" t="s">
        <v>215</v>
      </c>
      <c r="I99" s="37">
        <f>'[1]Tabla de Precios'!K98</f>
        <v>375.06000018753002</v>
      </c>
      <c r="J99" s="37">
        <f>'[1]Tabla de Precios'!L98</f>
        <v>701.29619230064816</v>
      </c>
      <c r="K99" s="37">
        <f>'[1]Tabla de Precios'!M98</f>
        <v>450.07200022503605</v>
      </c>
      <c r="L99" s="37"/>
      <c r="M99" s="37"/>
    </row>
    <row r="100" spans="1:13" x14ac:dyDescent="0.2">
      <c r="A100" s="35" t="s">
        <v>123</v>
      </c>
      <c r="B100" s="7">
        <f t="shared" si="1"/>
        <v>99</v>
      </c>
      <c r="C100" s="36" t="s">
        <v>317</v>
      </c>
      <c r="D100" s="36" t="s">
        <v>212</v>
      </c>
      <c r="E100" s="36"/>
      <c r="F100" s="36" t="s">
        <v>214</v>
      </c>
      <c r="G100" s="36">
        <v>0</v>
      </c>
      <c r="H100" s="36" t="s">
        <v>215</v>
      </c>
      <c r="I100" s="37">
        <f>'[1]Tabla de Precios'!K99</f>
        <v>419.48000020974007</v>
      </c>
      <c r="J100" s="37">
        <f>'[1]Tabla de Precios'!L99</f>
        <v>772.51033633625525</v>
      </c>
      <c r="K100" s="37">
        <f>'[1]Tabla de Precios'!M99</f>
        <v>503.37600025168808</v>
      </c>
      <c r="L100" s="37"/>
      <c r="M100" s="37"/>
    </row>
    <row r="101" spans="1:13" x14ac:dyDescent="0.2">
      <c r="A101" s="35" t="s">
        <v>124</v>
      </c>
      <c r="B101" s="7">
        <f t="shared" si="1"/>
        <v>100</v>
      </c>
      <c r="C101" s="36" t="s">
        <v>318</v>
      </c>
      <c r="D101" s="36" t="s">
        <v>212</v>
      </c>
      <c r="E101" s="36"/>
      <c r="F101" s="36" t="s">
        <v>214</v>
      </c>
      <c r="G101" s="36">
        <v>7</v>
      </c>
      <c r="H101" s="36" t="s">
        <v>215</v>
      </c>
      <c r="I101" s="37">
        <f>'[1]Tabla de Precios'!K100</f>
        <v>201.18000010059001</v>
      </c>
      <c r="J101" s="37">
        <f>'[1]Tabla de Precios'!L100</f>
        <v>422.53177616126595</v>
      </c>
      <c r="K101" s="37">
        <f>'[1]Tabla de Precios'!M100</f>
        <v>241.41600012070802</v>
      </c>
      <c r="L101" s="37"/>
      <c r="M101" s="37"/>
    </row>
    <row r="102" spans="1:13" x14ac:dyDescent="0.2">
      <c r="A102" s="35" t="s">
        <v>125</v>
      </c>
      <c r="B102" s="7">
        <f t="shared" si="1"/>
        <v>101</v>
      </c>
      <c r="C102" s="36" t="s">
        <v>319</v>
      </c>
      <c r="D102" s="36" t="s">
        <v>212</v>
      </c>
      <c r="E102" s="36"/>
      <c r="F102" s="36" t="s">
        <v>214</v>
      </c>
      <c r="G102" s="36">
        <v>0</v>
      </c>
      <c r="H102" s="36" t="s">
        <v>215</v>
      </c>
      <c r="I102" s="37">
        <f>'[1]Tabla de Precios'!K101</f>
        <v>0</v>
      </c>
      <c r="J102" s="37">
        <f>'[1]Tabla de Precios'!L101</f>
        <v>100</v>
      </c>
      <c r="K102" s="37">
        <f>'[1]Tabla de Precios'!M101</f>
        <v>0</v>
      </c>
      <c r="L102" s="37"/>
      <c r="M102" s="37"/>
    </row>
    <row r="103" spans="1:13" ht="28.5" x14ac:dyDescent="0.2">
      <c r="A103" s="35" t="s">
        <v>126</v>
      </c>
      <c r="B103" s="7">
        <f t="shared" si="1"/>
        <v>102</v>
      </c>
      <c r="C103" s="36" t="s">
        <v>320</v>
      </c>
      <c r="D103" s="36" t="s">
        <v>212</v>
      </c>
      <c r="E103" s="36"/>
      <c r="F103" s="36" t="s">
        <v>214</v>
      </c>
      <c r="G103" s="36">
        <v>4</v>
      </c>
      <c r="H103" s="36" t="s">
        <v>215</v>
      </c>
      <c r="I103" s="37">
        <f>'[1]Tabla de Precios'!K102</f>
        <v>0</v>
      </c>
      <c r="J103" s="37">
        <f>'[1]Tabla de Precios'!L102</f>
        <v>100</v>
      </c>
      <c r="K103" s="37">
        <f>'[1]Tabla de Precios'!M102</f>
        <v>0</v>
      </c>
      <c r="L103" s="37"/>
      <c r="M103" s="37"/>
    </row>
    <row r="104" spans="1:13" x14ac:dyDescent="0.2">
      <c r="A104" s="35" t="s">
        <v>127</v>
      </c>
      <c r="B104" s="7">
        <f t="shared" si="1"/>
        <v>103</v>
      </c>
      <c r="C104" s="36" t="s">
        <v>321</v>
      </c>
      <c r="D104" s="36" t="s">
        <v>212</v>
      </c>
      <c r="E104" s="36"/>
      <c r="F104" s="36" t="s">
        <v>214</v>
      </c>
      <c r="G104" s="36">
        <v>2</v>
      </c>
      <c r="H104" s="36" t="s">
        <v>215</v>
      </c>
      <c r="I104" s="37">
        <f>'[1]Tabla de Precios'!K103</f>
        <v>1985.28000099264</v>
      </c>
      <c r="J104" s="37">
        <f>'[1]Tabla de Precios'!L103</f>
        <v>3282.8008975914008</v>
      </c>
      <c r="K104" s="37">
        <f>'[1]Tabla de Precios'!M103</f>
        <v>2382.3360011911682</v>
      </c>
      <c r="L104" s="37" t="s">
        <v>481</v>
      </c>
      <c r="M104" s="37"/>
    </row>
    <row r="105" spans="1:13" x14ac:dyDescent="0.2">
      <c r="A105" s="35" t="s">
        <v>128</v>
      </c>
      <c r="B105" s="7">
        <f t="shared" si="1"/>
        <v>104</v>
      </c>
      <c r="C105" s="36" t="s">
        <v>322</v>
      </c>
      <c r="D105" s="36" t="s">
        <v>212</v>
      </c>
      <c r="E105" s="36"/>
      <c r="F105" s="36" t="s">
        <v>214</v>
      </c>
      <c r="G105" s="36">
        <v>0</v>
      </c>
      <c r="H105" s="36" t="s">
        <v>215</v>
      </c>
      <c r="I105" s="37">
        <f>'[1]Tabla de Precios'!K104</f>
        <v>0</v>
      </c>
      <c r="J105" s="37">
        <f>'[1]Tabla de Precios'!L104</f>
        <v>100</v>
      </c>
      <c r="K105" s="37">
        <f>'[1]Tabla de Precios'!M104</f>
        <v>0</v>
      </c>
      <c r="L105" s="37"/>
      <c r="M105" s="37"/>
    </row>
    <row r="106" spans="1:13" x14ac:dyDescent="0.2">
      <c r="A106" s="35" t="s">
        <v>129</v>
      </c>
      <c r="B106" s="7">
        <f t="shared" si="1"/>
        <v>105</v>
      </c>
      <c r="C106" s="36" t="s">
        <v>323</v>
      </c>
      <c r="D106" s="36" t="s">
        <v>212</v>
      </c>
      <c r="E106" s="36"/>
      <c r="F106" s="36" t="s">
        <v>214</v>
      </c>
      <c r="G106" s="36">
        <v>0</v>
      </c>
      <c r="H106" s="36" t="s">
        <v>215</v>
      </c>
      <c r="I106" s="37">
        <f>'[1]Tabla de Precios'!K105</f>
        <v>0</v>
      </c>
      <c r="J106" s="37">
        <f>'[1]Tabla de Precios'!L105</f>
        <v>100</v>
      </c>
      <c r="K106" s="37">
        <f>'[1]Tabla de Precios'!M105</f>
        <v>0</v>
      </c>
      <c r="L106" s="37"/>
      <c r="M106" s="37"/>
    </row>
    <row r="107" spans="1:13" x14ac:dyDescent="0.2">
      <c r="A107" s="35" t="s">
        <v>130</v>
      </c>
      <c r="B107" s="7">
        <f t="shared" si="1"/>
        <v>106</v>
      </c>
      <c r="C107" s="36" t="s">
        <v>324</v>
      </c>
      <c r="D107" s="36" t="s">
        <v>212</v>
      </c>
      <c r="E107" s="36"/>
      <c r="F107" s="36" t="s">
        <v>214</v>
      </c>
      <c r="G107" s="36">
        <v>1</v>
      </c>
      <c r="H107" s="36" t="s">
        <v>215</v>
      </c>
      <c r="I107" s="37">
        <f>'[1]Tabla de Precios'!K106</f>
        <v>144.06</v>
      </c>
      <c r="J107" s="37">
        <f>'[1]Tabla de Precios'!L106</f>
        <v>330.95699200000001</v>
      </c>
      <c r="K107" s="37">
        <f>'[1]Tabla de Precios'!M106</f>
        <v>172.87200000000001</v>
      </c>
      <c r="L107" s="37"/>
      <c r="M107" s="37"/>
    </row>
    <row r="108" spans="1:13" x14ac:dyDescent="0.2">
      <c r="A108" s="35" t="s">
        <v>131</v>
      </c>
      <c r="B108" s="7">
        <f t="shared" si="1"/>
        <v>107</v>
      </c>
      <c r="C108" s="36" t="s">
        <v>325</v>
      </c>
      <c r="D108" s="36" t="s">
        <v>212</v>
      </c>
      <c r="E108" s="36"/>
      <c r="F108" s="36" t="s">
        <v>214</v>
      </c>
      <c r="G108" s="36">
        <v>9</v>
      </c>
      <c r="H108" s="36" t="s">
        <v>215</v>
      </c>
      <c r="I108" s="37">
        <f>'[1]Tabla de Precios'!K107</f>
        <v>117.2250001523925</v>
      </c>
      <c r="J108" s="37">
        <f>'[1]Tabla de Precios'!L107</f>
        <v>287.93512024431567</v>
      </c>
      <c r="K108" s="37">
        <f>'[1]Tabla de Precios'!M107</f>
        <v>140.67000018287101</v>
      </c>
      <c r="L108" s="37"/>
      <c r="M108" s="37"/>
    </row>
    <row r="109" spans="1:13" x14ac:dyDescent="0.2">
      <c r="A109" s="35" t="s">
        <v>132</v>
      </c>
      <c r="B109" s="7">
        <f t="shared" si="1"/>
        <v>108</v>
      </c>
      <c r="C109" s="36" t="s">
        <v>326</v>
      </c>
      <c r="D109" s="36" t="s">
        <v>212</v>
      </c>
      <c r="E109" s="36"/>
      <c r="F109" s="36" t="s">
        <v>214</v>
      </c>
      <c r="G109" s="36">
        <v>0</v>
      </c>
      <c r="H109" s="36" t="s">
        <v>215</v>
      </c>
      <c r="I109" s="37">
        <f>'[1]Tabla de Precios'!K108</f>
        <v>437.66000021883002</v>
      </c>
      <c r="J109" s="37">
        <f>'[1]Tabla de Precios'!L108</f>
        <v>801.65651235082828</v>
      </c>
      <c r="K109" s="37">
        <f>'[1]Tabla de Precios'!M108</f>
        <v>525.19200026259603</v>
      </c>
      <c r="L109" s="37" t="s">
        <v>482</v>
      </c>
      <c r="M109" s="37"/>
    </row>
    <row r="110" spans="1:13" x14ac:dyDescent="0.2">
      <c r="A110" s="35" t="s">
        <v>133</v>
      </c>
      <c r="B110" s="7">
        <f t="shared" si="1"/>
        <v>109</v>
      </c>
      <c r="C110" s="36" t="s">
        <v>327</v>
      </c>
      <c r="D110" s="36" t="s">
        <v>212</v>
      </c>
      <c r="E110" s="36"/>
      <c r="F110" s="36" t="s">
        <v>214</v>
      </c>
      <c r="G110" s="36">
        <v>0</v>
      </c>
      <c r="H110" s="36" t="s">
        <v>215</v>
      </c>
      <c r="I110" s="37">
        <f>'[1]Tabla de Precios'!K109</f>
        <v>309.85000015492506</v>
      </c>
      <c r="J110" s="37">
        <f>'[1]Tabla de Precios'!L109</f>
        <v>596.75152024837587</v>
      </c>
      <c r="K110" s="37">
        <f>'[1]Tabla de Precios'!M109</f>
        <v>371.82000018591009</v>
      </c>
      <c r="L110" s="37" t="s">
        <v>483</v>
      </c>
      <c r="M110" s="37"/>
    </row>
    <row r="111" spans="1:13" x14ac:dyDescent="0.2">
      <c r="A111" s="35" t="s">
        <v>134</v>
      </c>
      <c r="B111" s="7">
        <f t="shared" si="1"/>
        <v>110</v>
      </c>
      <c r="C111" s="36" t="s">
        <v>328</v>
      </c>
      <c r="D111" s="36" t="s">
        <v>212</v>
      </c>
      <c r="E111" s="36"/>
      <c r="F111" s="36" t="s">
        <v>214</v>
      </c>
      <c r="G111" s="36">
        <v>19</v>
      </c>
      <c r="H111" s="36" t="s">
        <v>215</v>
      </c>
      <c r="I111" s="37">
        <f>'[1]Tabla de Precios'!K110</f>
        <v>358.630000179315</v>
      </c>
      <c r="J111" s="37">
        <f>'[1]Tabla de Precios'!L110</f>
        <v>674.95561628747782</v>
      </c>
      <c r="K111" s="37">
        <f>'[1]Tabla de Precios'!M110</f>
        <v>430.35600021517803</v>
      </c>
      <c r="L111" s="37" t="s">
        <v>484</v>
      </c>
      <c r="M111" s="37"/>
    </row>
    <row r="112" spans="1:13" x14ac:dyDescent="0.2">
      <c r="A112" s="35" t="s">
        <v>135</v>
      </c>
      <c r="B112" s="7">
        <f t="shared" si="1"/>
        <v>111</v>
      </c>
      <c r="C112" s="36" t="s">
        <v>329</v>
      </c>
      <c r="D112" s="36" t="s">
        <v>212</v>
      </c>
      <c r="E112" s="36"/>
      <c r="F112" s="36" t="s">
        <v>214</v>
      </c>
      <c r="G112" s="36">
        <v>19</v>
      </c>
      <c r="H112" s="36" t="s">
        <v>215</v>
      </c>
      <c r="I112" s="37">
        <f>'[1]Tabla de Precios'!K111</f>
        <v>416.66666720833337</v>
      </c>
      <c r="J112" s="37">
        <f>'[1]Tabla de Precios'!L111</f>
        <v>768.00000086840009</v>
      </c>
      <c r="K112" s="37">
        <f>'[1]Tabla de Precios'!M111</f>
        <v>500.00000065000006</v>
      </c>
      <c r="L112" s="37"/>
      <c r="M112" s="37"/>
    </row>
    <row r="113" spans="1:13" x14ac:dyDescent="0.2">
      <c r="A113" s="35" t="s">
        <v>136</v>
      </c>
      <c r="B113" s="7">
        <f t="shared" si="1"/>
        <v>112</v>
      </c>
      <c r="C113" s="36" t="s">
        <v>330</v>
      </c>
      <c r="D113" s="36" t="s">
        <v>212</v>
      </c>
      <c r="E113" s="36"/>
      <c r="F113" s="36" t="s">
        <v>214</v>
      </c>
      <c r="G113" s="36">
        <v>3</v>
      </c>
      <c r="H113" s="36" t="s">
        <v>215</v>
      </c>
      <c r="I113" s="37">
        <f>'[1]Tabla de Precios'!K112</f>
        <v>375.00000048750002</v>
      </c>
      <c r="J113" s="37">
        <f>'[1]Tabla de Precios'!L112</f>
        <v>701.20000078155999</v>
      </c>
      <c r="K113" s="37">
        <f>'[1]Tabla de Precios'!M112</f>
        <v>450.00000058500001</v>
      </c>
      <c r="L113" s="37"/>
      <c r="M113" s="37"/>
    </row>
    <row r="114" spans="1:13" x14ac:dyDescent="0.2">
      <c r="A114" s="35" t="s">
        <v>137</v>
      </c>
      <c r="B114" s="7">
        <f t="shared" si="1"/>
        <v>113</v>
      </c>
      <c r="C114" s="36" t="s">
        <v>331</v>
      </c>
      <c r="D114" s="36" t="s">
        <v>212</v>
      </c>
      <c r="E114" s="36"/>
      <c r="F114" s="36" t="s">
        <v>214</v>
      </c>
      <c r="G114" s="36">
        <v>4</v>
      </c>
      <c r="H114" s="36" t="s">
        <v>215</v>
      </c>
      <c r="I114" s="37">
        <f>'[1]Tabla de Precios'!K113</f>
        <v>375.00000048750002</v>
      </c>
      <c r="J114" s="37">
        <f>'[1]Tabla de Precios'!L113</f>
        <v>701.20000078155999</v>
      </c>
      <c r="K114" s="37">
        <f>'[1]Tabla de Precios'!M113</f>
        <v>450.00000058500001</v>
      </c>
      <c r="L114" s="37"/>
      <c r="M114" s="37"/>
    </row>
    <row r="115" spans="1:13" x14ac:dyDescent="0.2">
      <c r="A115" s="35" t="s">
        <v>441</v>
      </c>
      <c r="B115" s="7">
        <f t="shared" si="1"/>
        <v>114</v>
      </c>
      <c r="C115" s="36" t="s">
        <v>332</v>
      </c>
      <c r="D115" s="36" t="s">
        <v>212</v>
      </c>
      <c r="E115" s="36"/>
      <c r="F115" s="36" t="s">
        <v>214</v>
      </c>
      <c r="G115" s="36">
        <v>1</v>
      </c>
      <c r="H115" s="36" t="s">
        <v>220</v>
      </c>
      <c r="I115" s="37">
        <f>'[1]Tabla de Precios'!K114</f>
        <v>1749.1666689405836</v>
      </c>
      <c r="J115" s="37">
        <f>'[1]Tabla de Precios'!L114</f>
        <v>2904.2640036455441</v>
      </c>
      <c r="K115" s="37">
        <f>'[1]Tabla de Precios'!M114</f>
        <v>2099.0000027287006</v>
      </c>
      <c r="L115" s="37"/>
      <c r="M115" s="37"/>
    </row>
    <row r="116" spans="1:13" x14ac:dyDescent="0.2">
      <c r="A116" s="35" t="s">
        <v>138</v>
      </c>
      <c r="B116" s="7">
        <f t="shared" si="1"/>
        <v>115</v>
      </c>
      <c r="C116" s="36" t="s">
        <v>333</v>
      </c>
      <c r="D116" s="36" t="s">
        <v>212</v>
      </c>
      <c r="E116" s="36"/>
      <c r="F116" s="36" t="s">
        <v>214</v>
      </c>
      <c r="G116" s="36">
        <v>1</v>
      </c>
      <c r="H116" s="36" t="s">
        <v>220</v>
      </c>
      <c r="I116" s="37">
        <f>'[1]Tabla de Precios'!K115</f>
        <v>2004.6700010023351</v>
      </c>
      <c r="J116" s="37">
        <f>'[1]Tabla de Precios'!L115</f>
        <v>3313.8869456069433</v>
      </c>
      <c r="K116" s="37">
        <f>'[1]Tabla de Precios'!M115</f>
        <v>2405.604001202802</v>
      </c>
      <c r="L116" s="37" t="s">
        <v>485</v>
      </c>
      <c r="M116" s="37"/>
    </row>
    <row r="117" spans="1:13" x14ac:dyDescent="0.2">
      <c r="A117" s="35" t="s">
        <v>139</v>
      </c>
      <c r="B117" s="7">
        <f t="shared" si="1"/>
        <v>116</v>
      </c>
      <c r="C117" s="36" t="s">
        <v>334</v>
      </c>
      <c r="D117" s="36" t="s">
        <v>212</v>
      </c>
      <c r="E117" s="36"/>
      <c r="F117" s="36" t="s">
        <v>214</v>
      </c>
      <c r="G117" s="36">
        <v>3</v>
      </c>
      <c r="H117" s="36" t="s">
        <v>220</v>
      </c>
      <c r="I117" s="37">
        <f>'[1]Tabla de Precios'!K116</f>
        <v>2004.6700010023351</v>
      </c>
      <c r="J117" s="37">
        <f>'[1]Tabla de Precios'!L116</f>
        <v>3313.8869456069433</v>
      </c>
      <c r="K117" s="37">
        <f>'[1]Tabla de Precios'!M116</f>
        <v>2405.604001202802</v>
      </c>
      <c r="L117" s="37" t="s">
        <v>485</v>
      </c>
      <c r="M117" s="37"/>
    </row>
    <row r="118" spans="1:13" x14ac:dyDescent="0.2">
      <c r="A118" s="35" t="s">
        <v>140</v>
      </c>
      <c r="B118" s="7">
        <f t="shared" si="1"/>
        <v>117</v>
      </c>
      <c r="C118" s="36" t="s">
        <v>335</v>
      </c>
      <c r="D118" s="36" t="s">
        <v>212</v>
      </c>
      <c r="E118" s="36"/>
      <c r="F118" s="36" t="s">
        <v>214</v>
      </c>
      <c r="G118" s="36">
        <v>11</v>
      </c>
      <c r="H118" s="36" t="s">
        <v>220</v>
      </c>
      <c r="I118" s="37">
        <f>'[1]Tabla de Precios'!K117</f>
        <v>2004.6700010023351</v>
      </c>
      <c r="J118" s="37">
        <f>'[1]Tabla de Precios'!L117</f>
        <v>3313.8869456069433</v>
      </c>
      <c r="K118" s="37">
        <f>'[1]Tabla de Precios'!M117</f>
        <v>2405.604001202802</v>
      </c>
      <c r="L118" s="37" t="s">
        <v>485</v>
      </c>
      <c r="M118" s="37"/>
    </row>
    <row r="119" spans="1:13" x14ac:dyDescent="0.2">
      <c r="A119" s="35" t="s">
        <v>141</v>
      </c>
      <c r="B119" s="7">
        <f t="shared" si="1"/>
        <v>118</v>
      </c>
      <c r="C119" s="36" t="s">
        <v>336</v>
      </c>
      <c r="D119" s="36" t="s">
        <v>212</v>
      </c>
      <c r="E119" s="36"/>
      <c r="F119" s="36" t="s">
        <v>214</v>
      </c>
      <c r="G119" s="36">
        <v>4</v>
      </c>
      <c r="H119" s="36" t="s">
        <v>220</v>
      </c>
      <c r="I119" s="37">
        <f>'[1]Tabla de Precios'!K118</f>
        <v>10416.670005208336</v>
      </c>
      <c r="J119" s="37">
        <f>'[1]Tabla de Precios'!L118</f>
        <v>16800.005352350003</v>
      </c>
      <c r="K119" s="37">
        <f>'[1]Tabla de Precios'!M118</f>
        <v>12500.004006250003</v>
      </c>
      <c r="L119" s="37" t="s">
        <v>486</v>
      </c>
      <c r="M119" s="37"/>
    </row>
    <row r="120" spans="1:13" x14ac:dyDescent="0.2">
      <c r="A120" s="35" t="s">
        <v>142</v>
      </c>
      <c r="B120" s="7">
        <f t="shared" si="1"/>
        <v>119</v>
      </c>
      <c r="C120" s="36" t="s">
        <v>337</v>
      </c>
      <c r="D120" s="36" t="s">
        <v>212</v>
      </c>
      <c r="E120" s="36"/>
      <c r="F120" s="36" t="s">
        <v>214</v>
      </c>
      <c r="G120" s="36">
        <v>2</v>
      </c>
      <c r="H120" s="36" t="s">
        <v>220</v>
      </c>
      <c r="I120" s="37">
        <f>'[1]Tabla de Precios'!K119</f>
        <v>4000.0000052</v>
      </c>
      <c r="J120" s="37">
        <f>'[1]Tabla de Precios'!L119</f>
        <v>6512.8000083366405</v>
      </c>
      <c r="K120" s="37">
        <f>'[1]Tabla de Precios'!M119</f>
        <v>4800.0000062400004</v>
      </c>
      <c r="L120" s="37"/>
      <c r="M120" s="37"/>
    </row>
    <row r="121" spans="1:13" x14ac:dyDescent="0.2">
      <c r="A121" s="35" t="s">
        <v>143</v>
      </c>
      <c r="B121" s="7">
        <f t="shared" si="1"/>
        <v>120</v>
      </c>
      <c r="C121" s="36" t="s">
        <v>338</v>
      </c>
      <c r="D121" s="36" t="s">
        <v>212</v>
      </c>
      <c r="E121" s="36"/>
      <c r="F121" s="36" t="s">
        <v>214</v>
      </c>
      <c r="G121" s="36">
        <v>10</v>
      </c>
      <c r="H121" s="36" t="s">
        <v>215</v>
      </c>
      <c r="I121" s="37">
        <f>'[1]Tabla de Precios'!K120</f>
        <v>183.87500023903749</v>
      </c>
      <c r="J121" s="37">
        <f>'[1]Tabla de Precios'!L120</f>
        <v>394.78840038322494</v>
      </c>
      <c r="K121" s="37">
        <f>'[1]Tabla de Precios'!M120</f>
        <v>220.650000286845</v>
      </c>
      <c r="L121" s="37" t="s">
        <v>487</v>
      </c>
      <c r="M121" s="37"/>
    </row>
    <row r="122" spans="1:13" x14ac:dyDescent="0.2">
      <c r="A122" s="35" t="s">
        <v>144</v>
      </c>
      <c r="B122" s="7">
        <f t="shared" si="1"/>
        <v>121</v>
      </c>
      <c r="C122" s="36" t="s">
        <v>339</v>
      </c>
      <c r="D122" s="36" t="s">
        <v>212</v>
      </c>
      <c r="E122" s="36"/>
      <c r="F122" s="36" t="s">
        <v>214</v>
      </c>
      <c r="G122" s="36">
        <v>3</v>
      </c>
      <c r="H122" s="36" t="s">
        <v>215</v>
      </c>
      <c r="I122" s="37">
        <f>'[1]Tabla de Precios'!K121</f>
        <v>283.33333370166667</v>
      </c>
      <c r="J122" s="37">
        <f>'[1]Tabla de Precios'!L121</f>
        <v>554.24000059051195</v>
      </c>
      <c r="K122" s="37">
        <f>'[1]Tabla de Precios'!M121</f>
        <v>340.00000044199999</v>
      </c>
      <c r="L122" s="37" t="s">
        <v>488</v>
      </c>
      <c r="M122" s="37"/>
    </row>
    <row r="123" spans="1:13" x14ac:dyDescent="0.2">
      <c r="A123" s="35" t="s">
        <v>145</v>
      </c>
      <c r="B123" s="7">
        <f t="shared" si="1"/>
        <v>122</v>
      </c>
      <c r="C123" s="36" t="s">
        <v>340</v>
      </c>
      <c r="D123" s="36" t="s">
        <v>212</v>
      </c>
      <c r="E123" s="36"/>
      <c r="F123" s="36" t="s">
        <v>214</v>
      </c>
      <c r="G123" s="36">
        <v>0</v>
      </c>
      <c r="H123" s="36" t="s">
        <v>215</v>
      </c>
      <c r="I123" s="37">
        <f>'[1]Tabla de Precios'!K122</f>
        <v>399.77000019988498</v>
      </c>
      <c r="J123" s="37">
        <f>'[1]Tabla de Precios'!L122</f>
        <v>740.91126432045564</v>
      </c>
      <c r="K123" s="37">
        <f>'[1]Tabla de Precios'!M122</f>
        <v>479.72400023986199</v>
      </c>
      <c r="L123" s="37" t="s">
        <v>489</v>
      </c>
      <c r="M123" s="37"/>
    </row>
    <row r="124" spans="1:13" x14ac:dyDescent="0.2">
      <c r="A124" s="35" t="s">
        <v>146</v>
      </c>
      <c r="B124" s="7">
        <f t="shared" si="1"/>
        <v>123</v>
      </c>
      <c r="C124" s="36" t="s">
        <v>341</v>
      </c>
      <c r="D124" s="36" t="s">
        <v>212</v>
      </c>
      <c r="E124" s="36"/>
      <c r="F124" s="36" t="s">
        <v>214</v>
      </c>
      <c r="G124" s="36">
        <v>6</v>
      </c>
      <c r="H124" s="36" t="s">
        <v>215</v>
      </c>
      <c r="I124" s="37">
        <f>'[1]Tabla de Precios'!K123</f>
        <v>162.50000008124999</v>
      </c>
      <c r="J124" s="37">
        <f>'[1]Tabla de Precios'!L123</f>
        <v>360.52000013025997</v>
      </c>
      <c r="K124" s="37">
        <f>'[1]Tabla de Precios'!M123</f>
        <v>195.00000009749999</v>
      </c>
      <c r="L124" s="37"/>
      <c r="M124" s="37"/>
    </row>
    <row r="125" spans="1:13" x14ac:dyDescent="0.2">
      <c r="A125" s="35" t="s">
        <v>147</v>
      </c>
      <c r="B125" s="7">
        <f t="shared" si="1"/>
        <v>124</v>
      </c>
      <c r="C125" s="36" t="s">
        <v>342</v>
      </c>
      <c r="D125" s="36" t="s">
        <v>212</v>
      </c>
      <c r="E125" s="36"/>
      <c r="F125" s="36" t="s">
        <v>214</v>
      </c>
      <c r="G125" s="36">
        <v>0</v>
      </c>
      <c r="H125" s="36" t="s">
        <v>215</v>
      </c>
      <c r="I125" s="37">
        <f>'[1]Tabla de Precios'!K124</f>
        <v>306.17000015308503</v>
      </c>
      <c r="J125" s="37">
        <f>'[1]Tabla de Precios'!L124</f>
        <v>590.85174424542583</v>
      </c>
      <c r="K125" s="37">
        <f>'[1]Tabla de Precios'!M124</f>
        <v>367.40400018370201</v>
      </c>
      <c r="L125" s="37"/>
      <c r="M125" s="37"/>
    </row>
    <row r="126" spans="1:13" x14ac:dyDescent="0.2">
      <c r="A126" s="35" t="s">
        <v>148</v>
      </c>
      <c r="B126" s="7">
        <f t="shared" si="1"/>
        <v>125</v>
      </c>
      <c r="C126" s="36" t="s">
        <v>343</v>
      </c>
      <c r="D126" s="36" t="s">
        <v>212</v>
      </c>
      <c r="E126" s="36"/>
      <c r="F126" s="36" t="s">
        <v>214</v>
      </c>
      <c r="G126" s="36">
        <v>9</v>
      </c>
      <c r="H126" s="36" t="s">
        <v>215</v>
      </c>
      <c r="I126" s="37">
        <f>'[1]Tabla de Precios'!K125</f>
        <v>408.33333386416666</v>
      </c>
      <c r="J126" s="37">
        <f>'[1]Tabla de Precios'!L125</f>
        <v>754.64000085103203</v>
      </c>
      <c r="K126" s="37">
        <f>'[1]Tabla de Precios'!M125</f>
        <v>490.00000063699997</v>
      </c>
      <c r="L126" s="37" t="s">
        <v>490</v>
      </c>
      <c r="M126" s="37"/>
    </row>
    <row r="127" spans="1:13" x14ac:dyDescent="0.2">
      <c r="A127" s="35" t="s">
        <v>149</v>
      </c>
      <c r="B127" s="7">
        <f t="shared" si="1"/>
        <v>126</v>
      </c>
      <c r="C127" s="36" t="s">
        <v>344</v>
      </c>
      <c r="D127" s="36" t="s">
        <v>212</v>
      </c>
      <c r="E127" s="36"/>
      <c r="F127" s="36" t="s">
        <v>214</v>
      </c>
      <c r="G127" s="36">
        <v>0</v>
      </c>
      <c r="H127" s="36" t="s">
        <v>215</v>
      </c>
      <c r="I127" s="37">
        <f>'[1]Tabla de Precios'!K126</f>
        <v>161.64000000000001</v>
      </c>
      <c r="J127" s="37">
        <f>'[1]Tabla de Precios'!L126</f>
        <v>359.14124800000002</v>
      </c>
      <c r="K127" s="37">
        <f>'[1]Tabla de Precios'!M126</f>
        <v>193.96800000000002</v>
      </c>
      <c r="L127" s="37"/>
      <c r="M127" s="37"/>
    </row>
    <row r="128" spans="1:13" x14ac:dyDescent="0.2">
      <c r="A128" s="35" t="s">
        <v>150</v>
      </c>
      <c r="B128" s="7">
        <f t="shared" si="1"/>
        <v>127</v>
      </c>
      <c r="C128" s="36" t="s">
        <v>345</v>
      </c>
      <c r="D128" s="36" t="s">
        <v>212</v>
      </c>
      <c r="E128" s="36"/>
      <c r="F128" s="36" t="s">
        <v>214</v>
      </c>
      <c r="G128" s="36">
        <v>0</v>
      </c>
      <c r="H128" s="36" t="s">
        <v>215</v>
      </c>
      <c r="I128" s="37">
        <f>'[1]Tabla de Precios'!K127</f>
        <v>375.00000048750002</v>
      </c>
      <c r="J128" s="37">
        <f>'[1]Tabla de Precios'!L127</f>
        <v>701.20000078155999</v>
      </c>
      <c r="K128" s="37">
        <f>'[1]Tabla de Precios'!M127</f>
        <v>450.00000058500001</v>
      </c>
      <c r="L128" s="37"/>
      <c r="M128" s="37"/>
    </row>
    <row r="129" spans="1:13" x14ac:dyDescent="0.2">
      <c r="A129" s="35" t="s">
        <v>151</v>
      </c>
      <c r="B129" s="7">
        <f t="shared" si="1"/>
        <v>128</v>
      </c>
      <c r="C129" s="36" t="s">
        <v>346</v>
      </c>
      <c r="D129" s="36" t="s">
        <v>212</v>
      </c>
      <c r="E129" s="36"/>
      <c r="F129" s="36" t="s">
        <v>214</v>
      </c>
      <c r="G129" s="36">
        <v>3</v>
      </c>
      <c r="H129" s="36" t="s">
        <v>215</v>
      </c>
      <c r="I129" s="37">
        <f>'[1]Tabla de Precios'!K128</f>
        <v>104.17500000000001</v>
      </c>
      <c r="J129" s="37">
        <f>'[1]Tabla de Precios'!L128</f>
        <v>267.01336000000003</v>
      </c>
      <c r="K129" s="37">
        <f>'[1]Tabla de Precios'!M128</f>
        <v>125.01000000000002</v>
      </c>
      <c r="L129" s="37"/>
      <c r="M129" s="37"/>
    </row>
    <row r="130" spans="1:13" x14ac:dyDescent="0.2">
      <c r="A130" s="35" t="s">
        <v>152</v>
      </c>
      <c r="B130" s="7">
        <f t="shared" si="1"/>
        <v>129</v>
      </c>
      <c r="C130" s="36" t="s">
        <v>347</v>
      </c>
      <c r="D130" s="36" t="s">
        <v>212</v>
      </c>
      <c r="E130" s="36"/>
      <c r="F130" s="36" t="s">
        <v>214</v>
      </c>
      <c r="G130" s="36">
        <v>0</v>
      </c>
      <c r="H130" s="36" t="s">
        <v>215</v>
      </c>
      <c r="I130" s="37">
        <f>'[1]Tabla de Precios'!K129</f>
        <v>601.875</v>
      </c>
      <c r="J130" s="37">
        <f>'[1]Tabla de Precios'!L129</f>
        <v>1064.9259999999999</v>
      </c>
      <c r="K130" s="37">
        <f>'[1]Tabla de Precios'!M129</f>
        <v>722.25</v>
      </c>
      <c r="L130" s="37" t="s">
        <v>444</v>
      </c>
      <c r="M130" s="37"/>
    </row>
    <row r="131" spans="1:13" x14ac:dyDescent="0.2">
      <c r="A131" s="35" t="s">
        <v>153</v>
      </c>
      <c r="B131" s="7">
        <f t="shared" ref="B131:B181" si="2">ROW(B130)</f>
        <v>130</v>
      </c>
      <c r="C131" s="36" t="s">
        <v>348</v>
      </c>
      <c r="D131" s="36" t="s">
        <v>212</v>
      </c>
      <c r="E131" s="36"/>
      <c r="F131" s="36" t="s">
        <v>214</v>
      </c>
      <c r="G131" s="36">
        <v>0</v>
      </c>
      <c r="H131" s="36" t="s">
        <v>215</v>
      </c>
      <c r="I131" s="37">
        <f>'[1]Tabla de Precios'!K130</f>
        <v>549</v>
      </c>
      <c r="J131" s="37">
        <f>'[1]Tabla de Precios'!L130</f>
        <v>980.15679999999998</v>
      </c>
      <c r="K131" s="37">
        <f>'[1]Tabla de Precios'!M130</f>
        <v>658.8</v>
      </c>
      <c r="L131" s="37" t="s">
        <v>491</v>
      </c>
      <c r="M131" s="37"/>
    </row>
    <row r="132" spans="1:13" x14ac:dyDescent="0.2">
      <c r="A132" s="35" t="s">
        <v>154</v>
      </c>
      <c r="B132" s="7">
        <f t="shared" si="2"/>
        <v>131</v>
      </c>
      <c r="C132" s="36" t="s">
        <v>349</v>
      </c>
      <c r="D132" s="36" t="s">
        <v>212</v>
      </c>
      <c r="E132" s="36"/>
      <c r="F132" s="36" t="s">
        <v>214</v>
      </c>
      <c r="G132" s="36">
        <v>2</v>
      </c>
      <c r="H132" s="36" t="s">
        <v>215</v>
      </c>
      <c r="I132" s="37">
        <f>'[1]Tabla de Precios'!K131</f>
        <v>291.66666704583326</v>
      </c>
      <c r="J132" s="37">
        <f>'[1]Tabla de Precios'!L131</f>
        <v>567.60000060787991</v>
      </c>
      <c r="K132" s="37">
        <f>'[1]Tabla de Precios'!M131</f>
        <v>350.00000045499991</v>
      </c>
      <c r="L132" s="37" t="s">
        <v>492</v>
      </c>
      <c r="M132" s="37"/>
    </row>
    <row r="133" spans="1:13" x14ac:dyDescent="0.2">
      <c r="A133" s="35" t="s">
        <v>155</v>
      </c>
      <c r="B133" s="7">
        <f t="shared" si="2"/>
        <v>132</v>
      </c>
      <c r="C133" s="36" t="s">
        <v>350</v>
      </c>
      <c r="D133" s="36" t="s">
        <v>212</v>
      </c>
      <c r="E133" s="36"/>
      <c r="F133" s="36" t="s">
        <v>214</v>
      </c>
      <c r="G133" s="36">
        <v>1</v>
      </c>
      <c r="H133" s="36" t="s">
        <v>215</v>
      </c>
      <c r="I133" s="37">
        <f>'[1]Tabla de Precios'!K132</f>
        <v>750.00000097500003</v>
      </c>
      <c r="J133" s="37">
        <f>'[1]Tabla de Precios'!L132</f>
        <v>1302.40000156312</v>
      </c>
      <c r="K133" s="37">
        <f>'[1]Tabla de Precios'!M132</f>
        <v>900.00000117000002</v>
      </c>
      <c r="L133" s="37" t="s">
        <v>493</v>
      </c>
      <c r="M133" s="37"/>
    </row>
    <row r="134" spans="1:13" x14ac:dyDescent="0.2">
      <c r="A134" s="35" t="s">
        <v>156</v>
      </c>
      <c r="B134" s="7">
        <f t="shared" si="2"/>
        <v>133</v>
      </c>
      <c r="C134" s="36" t="s">
        <v>351</v>
      </c>
      <c r="D134" s="36" t="s">
        <v>212</v>
      </c>
      <c r="E134" s="36"/>
      <c r="F134" s="36" t="s">
        <v>214</v>
      </c>
      <c r="G134" s="36">
        <v>0</v>
      </c>
      <c r="H134" s="36" t="s">
        <v>215</v>
      </c>
      <c r="I134" s="37">
        <f>'[1]Tabla de Precios'!K133</f>
        <v>466.6666672733333</v>
      </c>
      <c r="J134" s="37">
        <f>'[1]Tabla de Precios'!L133</f>
        <v>848.16000097260803</v>
      </c>
      <c r="K134" s="37">
        <f>'[1]Tabla de Precios'!M133</f>
        <v>560.00000072800003</v>
      </c>
      <c r="L134" s="37"/>
      <c r="M134" s="37"/>
    </row>
    <row r="135" spans="1:13" x14ac:dyDescent="0.2">
      <c r="A135" s="35" t="s">
        <v>157</v>
      </c>
      <c r="B135" s="7">
        <f t="shared" si="2"/>
        <v>134</v>
      </c>
      <c r="C135" s="36" t="s">
        <v>352</v>
      </c>
      <c r="D135" s="36" t="s">
        <v>212</v>
      </c>
      <c r="E135" s="36"/>
      <c r="F135" s="36" t="s">
        <v>214</v>
      </c>
      <c r="G135" s="36">
        <v>12</v>
      </c>
      <c r="H135" s="36" t="s">
        <v>215</v>
      </c>
      <c r="I135" s="37">
        <f>'[1]Tabla de Precios'!K134</f>
        <v>563.82196721311482</v>
      </c>
      <c r="J135" s="37">
        <f>'[1]Tabla de Precios'!L134</f>
        <v>1003.9193778360657</v>
      </c>
      <c r="K135" s="37">
        <f>'[1]Tabla de Precios'!M134</f>
        <v>676.58636065573774</v>
      </c>
      <c r="L135" s="37" t="s">
        <v>494</v>
      </c>
      <c r="M135" s="37"/>
    </row>
    <row r="136" spans="1:13" x14ac:dyDescent="0.2">
      <c r="A136" s="35" t="s">
        <v>158</v>
      </c>
      <c r="B136" s="7">
        <f t="shared" si="2"/>
        <v>135</v>
      </c>
      <c r="C136" s="36" t="s">
        <v>353</v>
      </c>
      <c r="D136" s="36" t="s">
        <v>212</v>
      </c>
      <c r="E136" s="36"/>
      <c r="F136" s="36" t="s">
        <v>214</v>
      </c>
      <c r="G136" s="36">
        <v>6</v>
      </c>
      <c r="H136" s="36" t="s">
        <v>215</v>
      </c>
      <c r="I136" s="37">
        <f>'[1]Tabla de Precios'!K135</f>
        <v>393.07000019653503</v>
      </c>
      <c r="J136" s="37">
        <f>'[1]Tabla de Precios'!L135</f>
        <v>730.16982431508495</v>
      </c>
      <c r="K136" s="37">
        <f>'[1]Tabla de Precios'!M135</f>
        <v>471.68400023584206</v>
      </c>
      <c r="L136" s="37" t="s">
        <v>495</v>
      </c>
      <c r="M136" s="37"/>
    </row>
    <row r="137" spans="1:13" x14ac:dyDescent="0.2">
      <c r="A137" s="35" t="s">
        <v>159</v>
      </c>
      <c r="B137" s="7">
        <f t="shared" si="2"/>
        <v>136</v>
      </c>
      <c r="C137" s="36" t="s">
        <v>354</v>
      </c>
      <c r="D137" s="36" t="s">
        <v>212</v>
      </c>
      <c r="E137" s="36"/>
      <c r="F137" s="36" t="s">
        <v>214</v>
      </c>
      <c r="G137" s="36">
        <v>3</v>
      </c>
      <c r="H137" s="36" t="s">
        <v>215</v>
      </c>
      <c r="I137" s="37">
        <f>'[1]Tabla de Precios'!K136</f>
        <v>403.40999999999997</v>
      </c>
      <c r="J137" s="37">
        <f>'[1]Tabla de Precios'!L136</f>
        <v>746.74691199999995</v>
      </c>
      <c r="K137" s="37">
        <f>'[1]Tabla de Precios'!M136</f>
        <v>484.09199999999998</v>
      </c>
      <c r="L137" s="37"/>
      <c r="M137" s="37"/>
    </row>
    <row r="138" spans="1:13" x14ac:dyDescent="0.2">
      <c r="A138" s="35" t="s">
        <v>160</v>
      </c>
      <c r="B138" s="7">
        <f t="shared" si="2"/>
        <v>137</v>
      </c>
      <c r="C138" s="36" t="s">
        <v>355</v>
      </c>
      <c r="D138" s="36" t="s">
        <v>212</v>
      </c>
      <c r="E138" s="36"/>
      <c r="F138" s="36" t="s">
        <v>214</v>
      </c>
      <c r="G138" s="36">
        <v>1</v>
      </c>
      <c r="H138" s="36" t="s">
        <v>215</v>
      </c>
      <c r="I138" s="37">
        <f>'[1]Tabla de Precios'!K137</f>
        <v>277.60500000000002</v>
      </c>
      <c r="J138" s="37">
        <f>'[1]Tabla de Precios'!L137</f>
        <v>545.0563360000001</v>
      </c>
      <c r="K138" s="37">
        <f>'[1]Tabla de Precios'!M137</f>
        <v>333.12600000000003</v>
      </c>
      <c r="L138" s="37"/>
      <c r="M138" s="37"/>
    </row>
    <row r="139" spans="1:13" x14ac:dyDescent="0.2">
      <c r="A139" s="35" t="s">
        <v>161</v>
      </c>
      <c r="B139" s="7">
        <f t="shared" si="2"/>
        <v>138</v>
      </c>
      <c r="C139" s="36" t="s">
        <v>356</v>
      </c>
      <c r="D139" s="36" t="s">
        <v>212</v>
      </c>
      <c r="E139" s="36"/>
      <c r="F139" s="36" t="s">
        <v>214</v>
      </c>
      <c r="G139" s="36">
        <v>0</v>
      </c>
      <c r="H139" s="36" t="s">
        <v>215</v>
      </c>
      <c r="I139" s="37">
        <f>'[1]Tabla de Precios'!K138</f>
        <v>352.56410291666668</v>
      </c>
      <c r="J139" s="37">
        <f>'[1]Tabla de Precios'!L138</f>
        <v>665.230769796</v>
      </c>
      <c r="K139" s="37">
        <f>'[1]Tabla de Precios'!M138</f>
        <v>423.07692350000002</v>
      </c>
      <c r="L139" s="37"/>
      <c r="M139" s="37"/>
    </row>
    <row r="140" spans="1:13" x14ac:dyDescent="0.2">
      <c r="A140" s="35" t="s">
        <v>162</v>
      </c>
      <c r="B140" s="7">
        <f t="shared" si="2"/>
        <v>139</v>
      </c>
      <c r="C140" s="36" t="s">
        <v>357</v>
      </c>
      <c r="D140" s="36" t="s">
        <v>212</v>
      </c>
      <c r="E140" s="36"/>
      <c r="F140" s="36" t="s">
        <v>214</v>
      </c>
      <c r="G140" s="36">
        <v>1</v>
      </c>
      <c r="H140" s="36" t="s">
        <v>215</v>
      </c>
      <c r="I140" s="37">
        <f>'[1]Tabla de Precios'!K139</f>
        <v>348.29000017414501</v>
      </c>
      <c r="J140" s="37">
        <f>'[1]Tabla de Precios'!L139</f>
        <v>658.37852827918925</v>
      </c>
      <c r="K140" s="37">
        <f>'[1]Tabla de Precios'!M139</f>
        <v>417.94800020897401</v>
      </c>
      <c r="L140" s="37"/>
      <c r="M140" s="37"/>
    </row>
    <row r="141" spans="1:13" x14ac:dyDescent="0.2">
      <c r="A141" s="35" t="s">
        <v>163</v>
      </c>
      <c r="B141" s="7">
        <f t="shared" si="2"/>
        <v>140</v>
      </c>
      <c r="C141" s="36" t="s">
        <v>358</v>
      </c>
      <c r="D141" s="36" t="s">
        <v>212</v>
      </c>
      <c r="E141" s="36"/>
      <c r="F141" s="36" t="s">
        <v>214</v>
      </c>
      <c r="G141" s="36">
        <v>0</v>
      </c>
      <c r="H141" s="36" t="s">
        <v>215</v>
      </c>
      <c r="I141" s="37">
        <f>'[1]Tabla de Precios'!K140</f>
        <v>202.51499999999999</v>
      </c>
      <c r="J141" s="37">
        <f>'[1]Tabla de Precios'!L140</f>
        <v>424.67204799999996</v>
      </c>
      <c r="K141" s="37">
        <f>'[1]Tabla de Precios'!M140</f>
        <v>243.01799999999997</v>
      </c>
      <c r="L141" s="37"/>
      <c r="M141" s="37"/>
    </row>
    <row r="142" spans="1:13" x14ac:dyDescent="0.2">
      <c r="A142" s="35" t="s">
        <v>164</v>
      </c>
      <c r="B142" s="7">
        <f t="shared" si="2"/>
        <v>141</v>
      </c>
      <c r="C142" s="36" t="s">
        <v>359</v>
      </c>
      <c r="D142" s="36" t="s">
        <v>212</v>
      </c>
      <c r="E142" s="36"/>
      <c r="F142" s="36" t="s">
        <v>214</v>
      </c>
      <c r="G142" s="36">
        <v>4</v>
      </c>
      <c r="H142" s="36" t="s">
        <v>215</v>
      </c>
      <c r="I142" s="37">
        <f>'[1]Tabla de Precios'!K141</f>
        <v>206.19</v>
      </c>
      <c r="J142" s="37">
        <f>'[1]Tabla de Precios'!L141</f>
        <v>430.56380799999999</v>
      </c>
      <c r="K142" s="37">
        <f>'[1]Tabla de Precios'!M141</f>
        <v>247.428</v>
      </c>
      <c r="L142" s="37"/>
      <c r="M142" s="37"/>
    </row>
    <row r="143" spans="1:13" x14ac:dyDescent="0.2">
      <c r="A143" s="35" t="s">
        <v>165</v>
      </c>
      <c r="B143" s="7">
        <f t="shared" si="2"/>
        <v>142</v>
      </c>
      <c r="C143" s="36" t="s">
        <v>360</v>
      </c>
      <c r="D143" s="36" t="s">
        <v>212</v>
      </c>
      <c r="E143" s="36"/>
      <c r="F143" s="36" t="s">
        <v>214</v>
      </c>
      <c r="G143" s="36">
        <v>6</v>
      </c>
      <c r="H143" s="36" t="s">
        <v>220</v>
      </c>
      <c r="I143" s="37">
        <f>'[1]Tabla de Precios'!K142</f>
        <v>178.36500000000001</v>
      </c>
      <c r="J143" s="37">
        <f>'[1]Tabla de Precios'!L142</f>
        <v>385.954768</v>
      </c>
      <c r="K143" s="37">
        <f>'[1]Tabla de Precios'!M142</f>
        <v>214.03800000000001</v>
      </c>
      <c r="L143" s="37" t="s">
        <v>496</v>
      </c>
      <c r="M143" s="37"/>
    </row>
    <row r="144" spans="1:13" x14ac:dyDescent="0.2">
      <c r="A144" s="35" t="s">
        <v>166</v>
      </c>
      <c r="B144" s="7">
        <f t="shared" si="2"/>
        <v>143</v>
      </c>
      <c r="C144" s="36" t="s">
        <v>361</v>
      </c>
      <c r="D144" s="36" t="s">
        <v>212</v>
      </c>
      <c r="E144" s="36"/>
      <c r="F144" s="36" t="s">
        <v>214</v>
      </c>
      <c r="G144" s="36">
        <v>0</v>
      </c>
      <c r="H144" s="36" t="s">
        <v>215</v>
      </c>
      <c r="I144" s="37">
        <f>'[1]Tabla de Precios'!K143</f>
        <v>1025.0000010250001</v>
      </c>
      <c r="J144" s="37">
        <f>'[1]Tabla de Precios'!L143</f>
        <v>1743.2800016432802</v>
      </c>
      <c r="K144" s="37">
        <f>'[1]Tabla de Precios'!M143</f>
        <v>1230.0000012300002</v>
      </c>
      <c r="L144" s="37"/>
      <c r="M144" s="37"/>
    </row>
    <row r="145" spans="1:13" x14ac:dyDescent="0.2">
      <c r="A145" s="35" t="s">
        <v>167</v>
      </c>
      <c r="B145" s="7">
        <f t="shared" si="2"/>
        <v>144</v>
      </c>
      <c r="C145" s="36" t="s">
        <v>362</v>
      </c>
      <c r="D145" s="36" t="s">
        <v>212</v>
      </c>
      <c r="E145" s="36"/>
      <c r="F145" s="36" t="s">
        <v>214</v>
      </c>
      <c r="G145" s="36">
        <v>3</v>
      </c>
      <c r="H145" s="36" t="s">
        <v>215</v>
      </c>
      <c r="I145" s="37">
        <f>'[1]Tabla de Precios'!K144</f>
        <v>26.895</v>
      </c>
      <c r="J145" s="37">
        <f>'[1]Tabla de Precios'!L144</f>
        <v>143.118064</v>
      </c>
      <c r="K145" s="37">
        <f>'[1]Tabla de Precios'!M144</f>
        <v>32.274000000000001</v>
      </c>
      <c r="L145" s="37"/>
      <c r="M145" s="37"/>
    </row>
    <row r="146" spans="1:13" x14ac:dyDescent="0.2">
      <c r="A146" s="35" t="s">
        <v>168</v>
      </c>
      <c r="B146" s="7">
        <f t="shared" si="2"/>
        <v>145</v>
      </c>
      <c r="C146" s="36" t="s">
        <v>363</v>
      </c>
      <c r="D146" s="36" t="s">
        <v>212</v>
      </c>
      <c r="E146" s="36"/>
      <c r="F146" s="36" t="s">
        <v>214</v>
      </c>
      <c r="G146" s="36">
        <v>0</v>
      </c>
      <c r="H146" s="36" t="s">
        <v>215</v>
      </c>
      <c r="I146" s="37">
        <f>'[1]Tabla de Precios'!K145</f>
        <v>1333.3333350666667</v>
      </c>
      <c r="J146" s="37">
        <f>'[1]Tabla de Precios'!L145</f>
        <v>2237.60000277888</v>
      </c>
      <c r="K146" s="37">
        <f>'[1]Tabla de Precios'!M145</f>
        <v>1600.0000020800001</v>
      </c>
      <c r="L146" s="37" t="s">
        <v>497</v>
      </c>
      <c r="M146" s="37"/>
    </row>
    <row r="147" spans="1:13" x14ac:dyDescent="0.2">
      <c r="A147" s="35" t="s">
        <v>169</v>
      </c>
      <c r="B147" s="7">
        <f t="shared" si="2"/>
        <v>146</v>
      </c>
      <c r="C147" s="36" t="s">
        <v>364</v>
      </c>
      <c r="D147" s="36" t="s">
        <v>212</v>
      </c>
      <c r="E147" s="36"/>
      <c r="F147" s="36" t="s">
        <v>214</v>
      </c>
      <c r="G147" s="36">
        <v>1</v>
      </c>
      <c r="H147" s="36" t="s">
        <v>215</v>
      </c>
      <c r="I147" s="37">
        <f>'[1]Tabla de Precios'!K146</f>
        <v>249.255</v>
      </c>
      <c r="J147" s="37">
        <f>'[1]Tabla de Precios'!L146</f>
        <v>499.605616</v>
      </c>
      <c r="K147" s="37">
        <f>'[1]Tabla de Precios'!M146</f>
        <v>299.10599999999999</v>
      </c>
      <c r="L147" s="37"/>
      <c r="M147" s="37"/>
    </row>
    <row r="148" spans="1:13" x14ac:dyDescent="0.2">
      <c r="A148" s="35" t="s">
        <v>170</v>
      </c>
      <c r="B148" s="7">
        <f t="shared" si="2"/>
        <v>147</v>
      </c>
      <c r="C148" s="36" t="s">
        <v>365</v>
      </c>
      <c r="D148" s="36" t="s">
        <v>212</v>
      </c>
      <c r="E148" s="36"/>
      <c r="F148" s="36" t="s">
        <v>214</v>
      </c>
      <c r="G148" s="36">
        <v>0</v>
      </c>
      <c r="H148" s="36" t="s">
        <v>215</v>
      </c>
      <c r="I148" s="37">
        <f>'[1]Tabla de Precios'!K147</f>
        <v>605.67000030283498</v>
      </c>
      <c r="J148" s="37">
        <f>'[1]Tabla de Precios'!L147</f>
        <v>1071.010144485505</v>
      </c>
      <c r="K148" s="37">
        <f>'[1]Tabla de Precios'!M147</f>
        <v>726.804000363402</v>
      </c>
      <c r="L148" s="37" t="s">
        <v>498</v>
      </c>
      <c r="M148" s="37"/>
    </row>
    <row r="149" spans="1:13" x14ac:dyDescent="0.2">
      <c r="A149" s="35" t="s">
        <v>428</v>
      </c>
      <c r="B149" s="7">
        <f t="shared" si="2"/>
        <v>148</v>
      </c>
      <c r="C149" s="36" t="s">
        <v>366</v>
      </c>
      <c r="D149" s="36" t="s">
        <v>212</v>
      </c>
      <c r="E149" s="36" t="s">
        <v>217</v>
      </c>
      <c r="F149" s="36" t="s">
        <v>214</v>
      </c>
      <c r="G149" s="36">
        <v>0</v>
      </c>
      <c r="H149" s="36" t="s">
        <v>220</v>
      </c>
      <c r="I149" s="37">
        <f>'[1]Tabla de Precios'!K148</f>
        <v>8757.8287500000006</v>
      </c>
      <c r="J149" s="37">
        <f>'[1]Tabla de Precios'!L148</f>
        <v>14140.551052000001</v>
      </c>
      <c r="K149" s="37">
        <f>'[1]Tabla de Precios'!M148</f>
        <v>10509.3945</v>
      </c>
      <c r="L149" s="37" t="s">
        <v>499</v>
      </c>
      <c r="M149" s="37"/>
    </row>
    <row r="150" spans="1:13" x14ac:dyDescent="0.2">
      <c r="A150" s="35" t="s">
        <v>171</v>
      </c>
      <c r="B150" s="7">
        <f t="shared" si="2"/>
        <v>149</v>
      </c>
      <c r="C150" s="36" t="s">
        <v>367</v>
      </c>
      <c r="D150" s="36" t="s">
        <v>212</v>
      </c>
      <c r="E150" s="36"/>
      <c r="F150" s="36" t="s">
        <v>214</v>
      </c>
      <c r="G150" s="36">
        <v>0</v>
      </c>
      <c r="H150" s="36" t="s">
        <v>220</v>
      </c>
      <c r="I150" s="37">
        <f>'[1]Tabla de Precios'!K149</f>
        <v>9228.911250000001</v>
      </c>
      <c r="J150" s="37">
        <f>'[1]Tabla de Precios'!L149</f>
        <v>14895.790516000001</v>
      </c>
      <c r="K150" s="37">
        <f>'[1]Tabla de Precios'!M149</f>
        <v>11074.693500000001</v>
      </c>
      <c r="L150" s="37" t="s">
        <v>500</v>
      </c>
      <c r="M150" s="37"/>
    </row>
    <row r="151" spans="1:13" x14ac:dyDescent="0.2">
      <c r="A151" s="35" t="s">
        <v>172</v>
      </c>
      <c r="B151" s="7">
        <f t="shared" si="2"/>
        <v>150</v>
      </c>
      <c r="C151" s="36" t="s">
        <v>368</v>
      </c>
      <c r="D151" s="36" t="s">
        <v>212</v>
      </c>
      <c r="E151" s="36"/>
      <c r="F151" s="36" t="s">
        <v>214</v>
      </c>
      <c r="G151" s="36">
        <v>0</v>
      </c>
      <c r="H151" s="36" t="s">
        <v>220</v>
      </c>
      <c r="I151" s="37">
        <f>'[1]Tabla de Precios'!K150</f>
        <v>0</v>
      </c>
      <c r="J151" s="37">
        <f>'[1]Tabla de Precios'!L150</f>
        <v>100</v>
      </c>
      <c r="K151" s="37">
        <f>'[1]Tabla de Precios'!M150</f>
        <v>0</v>
      </c>
      <c r="L151" s="37"/>
      <c r="M151" s="37"/>
    </row>
    <row r="152" spans="1:13" x14ac:dyDescent="0.2">
      <c r="A152" s="35" t="s">
        <v>173</v>
      </c>
      <c r="B152" s="7">
        <f t="shared" si="2"/>
        <v>151</v>
      </c>
      <c r="C152" s="36" t="s">
        <v>369</v>
      </c>
      <c r="D152" s="36" t="s">
        <v>212</v>
      </c>
      <c r="E152" s="36"/>
      <c r="F152" s="36" t="s">
        <v>370</v>
      </c>
      <c r="G152" s="36">
        <v>0</v>
      </c>
      <c r="H152" s="36" t="s">
        <v>220</v>
      </c>
      <c r="I152" s="37">
        <f>'[1]Tabla de Precios'!K151</f>
        <v>0</v>
      </c>
      <c r="J152" s="37">
        <f>'[1]Tabla de Precios'!L151</f>
        <v>100</v>
      </c>
      <c r="K152" s="37">
        <f>'[1]Tabla de Precios'!M151</f>
        <v>0</v>
      </c>
      <c r="L152" s="37"/>
      <c r="M152" s="37"/>
    </row>
    <row r="153" spans="1:13" x14ac:dyDescent="0.2">
      <c r="A153" s="35" t="s">
        <v>501</v>
      </c>
      <c r="B153" s="7">
        <f t="shared" si="2"/>
        <v>152</v>
      </c>
      <c r="C153" s="36" t="s">
        <v>371</v>
      </c>
      <c r="D153" s="36" t="s">
        <v>212</v>
      </c>
      <c r="E153" s="36"/>
      <c r="F153" s="36" t="s">
        <v>370</v>
      </c>
      <c r="G153" s="36">
        <v>0</v>
      </c>
      <c r="H153" s="36" t="s">
        <v>220</v>
      </c>
      <c r="I153" s="37">
        <f>'[1]Tabla de Precios'!K152</f>
        <v>7500.0000037499995</v>
      </c>
      <c r="J153" s="37">
        <f>'[1]Tabla de Precios'!L152</f>
        <v>12124.000006012</v>
      </c>
      <c r="K153" s="37">
        <f>'[1]Tabla de Precios'!M152</f>
        <v>9000.0000044999997</v>
      </c>
      <c r="L153" s="37"/>
      <c r="M153" s="37"/>
    </row>
    <row r="154" spans="1:13" x14ac:dyDescent="0.2">
      <c r="A154" s="35" t="s">
        <v>174</v>
      </c>
      <c r="B154" s="7">
        <f t="shared" si="2"/>
        <v>153</v>
      </c>
      <c r="C154" s="36" t="s">
        <v>372</v>
      </c>
      <c r="D154" s="36" t="s">
        <v>212</v>
      </c>
      <c r="E154" s="36" t="s">
        <v>213</v>
      </c>
      <c r="F154" s="36" t="s">
        <v>214</v>
      </c>
      <c r="G154" s="36">
        <v>0</v>
      </c>
      <c r="H154" s="36" t="s">
        <v>220</v>
      </c>
      <c r="I154" s="37">
        <f>'[1]Tabla de Precios'!K153</f>
        <v>6161.7000030808504</v>
      </c>
      <c r="J154" s="37">
        <f>'[1]Tabla de Precios'!L153</f>
        <v>9978.4374449392199</v>
      </c>
      <c r="K154" s="37">
        <f>'[1]Tabla de Precios'!M153</f>
        <v>7394.0400036970204</v>
      </c>
      <c r="L154" s="37" t="s">
        <v>502</v>
      </c>
      <c r="M154" s="37"/>
    </row>
    <row r="155" spans="1:13" x14ac:dyDescent="0.2">
      <c r="A155" s="35" t="s">
        <v>175</v>
      </c>
      <c r="B155" s="7">
        <f t="shared" si="2"/>
        <v>154</v>
      </c>
      <c r="C155" s="36" t="s">
        <v>373</v>
      </c>
      <c r="D155" s="36" t="s">
        <v>212</v>
      </c>
      <c r="E155" s="36" t="s">
        <v>222</v>
      </c>
      <c r="F155" s="36" t="s">
        <v>214</v>
      </c>
      <c r="G155" s="36">
        <v>0</v>
      </c>
      <c r="H155" s="36" t="s">
        <v>220</v>
      </c>
      <c r="I155" s="37">
        <f>'[1]Tabla de Precios'!K154</f>
        <v>6161.7000030808504</v>
      </c>
      <c r="J155" s="37">
        <f>'[1]Tabla de Precios'!L154</f>
        <v>9978.4374449392199</v>
      </c>
      <c r="K155" s="37">
        <f>'[1]Tabla de Precios'!M154</f>
        <v>7394.0400036970204</v>
      </c>
      <c r="L155" s="37" t="s">
        <v>503</v>
      </c>
      <c r="M155" s="37"/>
    </row>
    <row r="156" spans="1:13" x14ac:dyDescent="0.2">
      <c r="A156" s="35" t="s">
        <v>176</v>
      </c>
      <c r="B156" s="7">
        <f t="shared" si="2"/>
        <v>155</v>
      </c>
      <c r="C156" s="36" t="s">
        <v>374</v>
      </c>
      <c r="D156" s="36" t="s">
        <v>212</v>
      </c>
      <c r="E156" s="36"/>
      <c r="F156" s="36" t="s">
        <v>214</v>
      </c>
      <c r="G156" s="36">
        <v>9</v>
      </c>
      <c r="H156" s="36" t="s">
        <v>220</v>
      </c>
      <c r="I156" s="37">
        <f>'[1]Tabla de Precios'!K155</f>
        <v>3889.0401241935488</v>
      </c>
      <c r="J156" s="37">
        <f>'[1]Tabla de Precios'!L155</f>
        <v>6334.9091271070974</v>
      </c>
      <c r="K156" s="37">
        <f>'[1]Tabla de Precios'!M155</f>
        <v>4666.8481490322583</v>
      </c>
      <c r="L156" s="37" t="s">
        <v>504</v>
      </c>
      <c r="M156" s="37"/>
    </row>
    <row r="157" spans="1:13" x14ac:dyDescent="0.2">
      <c r="A157" s="35" t="s">
        <v>177</v>
      </c>
      <c r="B157" s="7">
        <f t="shared" si="2"/>
        <v>156</v>
      </c>
      <c r="C157" s="36" t="s">
        <v>375</v>
      </c>
      <c r="D157" s="36" t="s">
        <v>212</v>
      </c>
      <c r="E157" s="36"/>
      <c r="F157" s="36" t="s">
        <v>214</v>
      </c>
      <c r="G157" s="36">
        <v>0</v>
      </c>
      <c r="H157" s="36" t="s">
        <v>376</v>
      </c>
      <c r="I157" s="37">
        <f>'[1]Tabla de Precios'!K156</f>
        <v>0</v>
      </c>
      <c r="J157" s="37">
        <f>'[1]Tabla de Precios'!L156</f>
        <v>100</v>
      </c>
      <c r="K157" s="37">
        <f>'[1]Tabla de Precios'!M156</f>
        <v>0</v>
      </c>
      <c r="L157" s="37"/>
      <c r="M157" s="37"/>
    </row>
    <row r="158" spans="1:13" x14ac:dyDescent="0.2">
      <c r="A158" s="35" t="s">
        <v>178</v>
      </c>
      <c r="B158" s="7">
        <f t="shared" si="2"/>
        <v>157</v>
      </c>
      <c r="C158" s="36" t="s">
        <v>377</v>
      </c>
      <c r="D158" s="36" t="s">
        <v>212</v>
      </c>
      <c r="E158" s="36"/>
      <c r="F158" s="36" t="s">
        <v>214</v>
      </c>
      <c r="G158" s="36">
        <v>1</v>
      </c>
      <c r="H158" s="36" t="s">
        <v>220</v>
      </c>
      <c r="I158" s="37">
        <f>'[1]Tabla de Precios'!K157</f>
        <v>5530.65</v>
      </c>
      <c r="J158" s="37">
        <f>'[1]Tabla de Precios'!L157</f>
        <v>8966.7380799999992</v>
      </c>
      <c r="K158" s="37">
        <f>'[1]Tabla de Precios'!M157</f>
        <v>6636.78</v>
      </c>
      <c r="L158" s="37" t="s">
        <v>505</v>
      </c>
      <c r="M158" s="37"/>
    </row>
    <row r="159" spans="1:13" x14ac:dyDescent="0.2">
      <c r="A159" s="35" t="s">
        <v>179</v>
      </c>
      <c r="B159" s="7">
        <f t="shared" si="2"/>
        <v>158</v>
      </c>
      <c r="C159" s="36" t="s">
        <v>378</v>
      </c>
      <c r="D159" s="36" t="s">
        <v>212</v>
      </c>
      <c r="E159" s="36"/>
      <c r="F159" s="36" t="s">
        <v>214</v>
      </c>
      <c r="G159" s="36">
        <v>8</v>
      </c>
      <c r="H159" s="36" t="s">
        <v>220</v>
      </c>
      <c r="I159" s="37">
        <f>'[1]Tabla de Precios'!K158</f>
        <v>5566.6652758064511</v>
      </c>
      <c r="J159" s="37">
        <f>'[1]Tabla de Precios'!L158</f>
        <v>9024.4777701729017</v>
      </c>
      <c r="K159" s="37">
        <f>'[1]Tabla de Precios'!M158</f>
        <v>6679.9983309677409</v>
      </c>
      <c r="L159" s="37" t="s">
        <v>506</v>
      </c>
      <c r="M159" s="37"/>
    </row>
    <row r="160" spans="1:13" x14ac:dyDescent="0.2">
      <c r="A160" s="35" t="s">
        <v>180</v>
      </c>
      <c r="B160" s="7">
        <f t="shared" si="2"/>
        <v>159</v>
      </c>
      <c r="C160" s="36" t="s">
        <v>379</v>
      </c>
      <c r="D160" s="36" t="s">
        <v>212</v>
      </c>
      <c r="E160" s="36"/>
      <c r="F160" s="36" t="s">
        <v>214</v>
      </c>
      <c r="G160" s="36">
        <v>7</v>
      </c>
      <c r="H160" s="36" t="s">
        <v>220</v>
      </c>
      <c r="I160" s="37">
        <f>'[1]Tabla de Precios'!K159</f>
        <v>5021.3675214238601</v>
      </c>
      <c r="J160" s="37">
        <f>'[1]Tabla de Precios'!L159</f>
        <v>8150.2564103467321</v>
      </c>
      <c r="K160" s="37">
        <f>'[1]Tabla de Precios'!M159</f>
        <v>6025.6410257086318</v>
      </c>
      <c r="L160" s="37" t="s">
        <v>507</v>
      </c>
      <c r="M160" s="37"/>
    </row>
    <row r="161" spans="1:13" x14ac:dyDescent="0.2">
      <c r="A161" s="35" t="s">
        <v>181</v>
      </c>
      <c r="B161" s="7">
        <f t="shared" si="2"/>
        <v>160</v>
      </c>
      <c r="C161" s="36" t="s">
        <v>380</v>
      </c>
      <c r="D161" s="36" t="s">
        <v>212</v>
      </c>
      <c r="E161" s="36"/>
      <c r="F161" s="36" t="s">
        <v>214</v>
      </c>
      <c r="G161" s="36">
        <v>6</v>
      </c>
      <c r="H161" s="36" t="s">
        <v>215</v>
      </c>
      <c r="I161" s="37">
        <f>'[1]Tabla de Precios'!K160</f>
        <v>625.16666747938348</v>
      </c>
      <c r="J161" s="37">
        <f>'[1]Tabla de Precios'!L160</f>
        <v>1102.2672013029476</v>
      </c>
      <c r="K161" s="37">
        <f>'[1]Tabla de Precios'!M160</f>
        <v>750.2000009752602</v>
      </c>
      <c r="L161" s="37" t="s">
        <v>508</v>
      </c>
      <c r="M161" s="37"/>
    </row>
    <row r="162" spans="1:13" x14ac:dyDescent="0.2">
      <c r="A162" s="35" t="s">
        <v>182</v>
      </c>
      <c r="B162" s="7">
        <f t="shared" si="2"/>
        <v>161</v>
      </c>
      <c r="C162" s="36" t="s">
        <v>381</v>
      </c>
      <c r="D162" s="36" t="s">
        <v>212</v>
      </c>
      <c r="E162" s="36"/>
      <c r="F162" s="36" t="s">
        <v>214</v>
      </c>
      <c r="G162" s="36">
        <v>5</v>
      </c>
      <c r="H162" s="36" t="s">
        <v>215</v>
      </c>
      <c r="I162" s="37">
        <f>'[1]Tabla de Precios'!K161</f>
        <v>829.95833441227933</v>
      </c>
      <c r="J162" s="37">
        <f>'[1]Tabla de Precios'!L161</f>
        <v>1430.5892017297663</v>
      </c>
      <c r="K162" s="37">
        <f>'[1]Tabla de Precios'!M161</f>
        <v>995.95000129473522</v>
      </c>
      <c r="L162" s="37" t="s">
        <v>509</v>
      </c>
      <c r="M162" s="37"/>
    </row>
    <row r="163" spans="1:13" x14ac:dyDescent="0.2">
      <c r="A163" s="35" t="s">
        <v>183</v>
      </c>
      <c r="B163" s="7">
        <f t="shared" si="2"/>
        <v>162</v>
      </c>
      <c r="C163" s="36" t="s">
        <v>382</v>
      </c>
      <c r="D163" s="36" t="s">
        <v>212</v>
      </c>
      <c r="E163" s="36"/>
      <c r="F163" s="36" t="s">
        <v>214</v>
      </c>
      <c r="G163" s="36">
        <v>9</v>
      </c>
      <c r="H163" s="36" t="s">
        <v>215</v>
      </c>
      <c r="I163" s="37">
        <f>'[1]Tabla de Precios'!K162</f>
        <v>474.16666728308337</v>
      </c>
      <c r="J163" s="37">
        <f>'[1]Tabla de Precios'!L162</f>
        <v>860.18400098823918</v>
      </c>
      <c r="K163" s="37">
        <f>'[1]Tabla de Precios'!M162</f>
        <v>569.0000007397</v>
      </c>
      <c r="L163" s="37" t="s">
        <v>510</v>
      </c>
      <c r="M163" s="37"/>
    </row>
    <row r="164" spans="1:13" x14ac:dyDescent="0.2">
      <c r="A164" s="35" t="s">
        <v>184</v>
      </c>
      <c r="B164" s="7">
        <f t="shared" si="2"/>
        <v>163</v>
      </c>
      <c r="C164" s="36" t="s">
        <v>383</v>
      </c>
      <c r="D164" s="36" t="s">
        <v>212</v>
      </c>
      <c r="E164" s="36"/>
      <c r="F164" s="36" t="s">
        <v>214</v>
      </c>
      <c r="G164" s="36">
        <v>28</v>
      </c>
      <c r="H164" s="36" t="s">
        <v>215</v>
      </c>
      <c r="I164" s="37">
        <f>'[1]Tabla de Precios'!K163</f>
        <v>282.24</v>
      </c>
      <c r="J164" s="37">
        <f>'[1]Tabla de Precios'!L163</f>
        <v>552.487168</v>
      </c>
      <c r="K164" s="37">
        <f>'[1]Tabla de Precios'!M163</f>
        <v>338.68799999999999</v>
      </c>
      <c r="L164" s="37"/>
      <c r="M164" s="37"/>
    </row>
    <row r="165" spans="1:13" x14ac:dyDescent="0.2">
      <c r="A165" s="35" t="s">
        <v>185</v>
      </c>
      <c r="B165" s="7">
        <f t="shared" si="2"/>
        <v>164</v>
      </c>
      <c r="C165" s="36" t="s">
        <v>384</v>
      </c>
      <c r="D165" s="36" t="s">
        <v>212</v>
      </c>
      <c r="E165" s="36"/>
      <c r="F165" s="36" t="s">
        <v>214</v>
      </c>
      <c r="G165" s="36">
        <v>5</v>
      </c>
      <c r="H165" s="36" t="s">
        <v>215</v>
      </c>
      <c r="I165" s="37">
        <f>'[1]Tabla de Precios'!K164</f>
        <v>193.20000000000002</v>
      </c>
      <c r="J165" s="37">
        <f>'[1]Tabla de Precios'!L164</f>
        <v>409.73824000000002</v>
      </c>
      <c r="K165" s="37">
        <f>'[1]Tabla de Precios'!M164</f>
        <v>231.84000000000003</v>
      </c>
      <c r="L165" s="37"/>
      <c r="M165" s="37"/>
    </row>
    <row r="166" spans="1:13" x14ac:dyDescent="0.2">
      <c r="A166" s="35" t="s">
        <v>186</v>
      </c>
      <c r="B166" s="7">
        <f t="shared" si="2"/>
        <v>165</v>
      </c>
      <c r="C166" s="36" t="s">
        <v>385</v>
      </c>
      <c r="D166" s="36" t="s">
        <v>212</v>
      </c>
      <c r="E166" s="36"/>
      <c r="F166" s="36" t="s">
        <v>214</v>
      </c>
      <c r="G166" s="36">
        <v>0</v>
      </c>
      <c r="H166" s="36" t="s">
        <v>215</v>
      </c>
      <c r="I166" s="37">
        <f>'[1]Tabla de Precios'!K165</f>
        <v>153.63</v>
      </c>
      <c r="J166" s="37">
        <f>'[1]Tabla de Precios'!L165</f>
        <v>346.29961600000001</v>
      </c>
      <c r="K166" s="37">
        <f>'[1]Tabla de Precios'!M165</f>
        <v>184.35599999999999</v>
      </c>
      <c r="L166" s="37"/>
      <c r="M166" s="37"/>
    </row>
    <row r="167" spans="1:13" x14ac:dyDescent="0.2">
      <c r="A167" s="35" t="s">
        <v>187</v>
      </c>
      <c r="B167" s="7">
        <f t="shared" si="2"/>
        <v>166</v>
      </c>
      <c r="C167" s="36" t="s">
        <v>386</v>
      </c>
      <c r="D167" s="36" t="s">
        <v>212</v>
      </c>
      <c r="E167" s="36"/>
      <c r="F167" s="36" t="s">
        <v>214</v>
      </c>
      <c r="G167" s="36">
        <v>0</v>
      </c>
      <c r="H167" s="36" t="s">
        <v>215</v>
      </c>
      <c r="I167" s="37">
        <f>'[1]Tabla de Precios'!K166</f>
        <v>933.42000046670989</v>
      </c>
      <c r="J167" s="37">
        <f>'[1]Tabla de Precios'!L166</f>
        <v>1596.4589447482294</v>
      </c>
      <c r="K167" s="37">
        <f>'[1]Tabla de Precios'!M166</f>
        <v>1120.1040005600519</v>
      </c>
      <c r="L167" s="37" t="s">
        <v>511</v>
      </c>
      <c r="M167" s="37"/>
    </row>
    <row r="168" spans="1:13" x14ac:dyDescent="0.2">
      <c r="A168" s="35" t="s">
        <v>188</v>
      </c>
      <c r="B168" s="7">
        <f t="shared" si="2"/>
        <v>167</v>
      </c>
      <c r="C168" s="36" t="s">
        <v>387</v>
      </c>
      <c r="D168" s="36" t="s">
        <v>212</v>
      </c>
      <c r="E168" s="36"/>
      <c r="F168" s="36" t="s">
        <v>214</v>
      </c>
      <c r="G168" s="36">
        <v>60</v>
      </c>
      <c r="H168" s="36" t="s">
        <v>215</v>
      </c>
      <c r="I168" s="37">
        <f>'[1]Tabla de Precios'!K167</f>
        <v>88.89</v>
      </c>
      <c r="J168" s="37">
        <f>'[1]Tabla de Precios'!L167</f>
        <v>242.50844800000002</v>
      </c>
      <c r="K168" s="37">
        <f>'[1]Tabla de Precios'!M167</f>
        <v>106.66800000000001</v>
      </c>
      <c r="L168" s="37"/>
      <c r="M168" s="37"/>
    </row>
    <row r="169" spans="1:13" x14ac:dyDescent="0.2">
      <c r="A169" s="35" t="s">
        <v>189</v>
      </c>
      <c r="B169" s="7">
        <f t="shared" si="2"/>
        <v>168</v>
      </c>
      <c r="C169" s="36" t="s">
        <v>388</v>
      </c>
      <c r="D169" s="36" t="s">
        <v>212</v>
      </c>
      <c r="E169" s="36"/>
      <c r="F169" s="36" t="s">
        <v>214</v>
      </c>
      <c r="G169" s="36">
        <v>0</v>
      </c>
      <c r="H169" s="36" t="s">
        <v>215</v>
      </c>
      <c r="I169" s="37">
        <f>'[1]Tabla de Precios'!K168</f>
        <v>259.5</v>
      </c>
      <c r="J169" s="37">
        <f>'[1]Tabla de Precios'!L168</f>
        <v>516.03039999999999</v>
      </c>
      <c r="K169" s="37">
        <f>'[1]Tabla de Precios'!M168</f>
        <v>311.39999999999998</v>
      </c>
      <c r="L169" s="37"/>
      <c r="M169" s="37"/>
    </row>
    <row r="170" spans="1:13" x14ac:dyDescent="0.2">
      <c r="A170" s="35" t="s">
        <v>190</v>
      </c>
      <c r="B170" s="7">
        <f t="shared" si="2"/>
        <v>169</v>
      </c>
      <c r="C170" s="36" t="s">
        <v>389</v>
      </c>
      <c r="D170" s="36" t="s">
        <v>212</v>
      </c>
      <c r="E170" s="36"/>
      <c r="F170" s="36" t="s">
        <v>214</v>
      </c>
      <c r="G170" s="36">
        <v>420</v>
      </c>
      <c r="H170" s="36" t="s">
        <v>215</v>
      </c>
      <c r="I170" s="37">
        <f>'[1]Tabla de Precios'!K169</f>
        <v>479.40000023969992</v>
      </c>
      <c r="J170" s="37">
        <f>'[1]Tabla de Precios'!L169</f>
        <v>868.57408038428696</v>
      </c>
      <c r="K170" s="37">
        <f>'[1]Tabla de Precios'!M169</f>
        <v>575.28000028763995</v>
      </c>
      <c r="L170" s="37"/>
      <c r="M170" s="37"/>
    </row>
    <row r="171" spans="1:13" x14ac:dyDescent="0.2">
      <c r="A171" s="35" t="s">
        <v>191</v>
      </c>
      <c r="B171" s="7">
        <f t="shared" si="2"/>
        <v>170</v>
      </c>
      <c r="C171" s="36" t="s">
        <v>390</v>
      </c>
      <c r="D171" s="36" t="s">
        <v>212</v>
      </c>
      <c r="E171" s="36"/>
      <c r="F171" s="36" t="s">
        <v>214</v>
      </c>
      <c r="G171" s="36">
        <v>3</v>
      </c>
      <c r="H171" s="36" t="s">
        <v>215</v>
      </c>
      <c r="I171" s="37">
        <f>'[1]Tabla de Precios'!K170</f>
        <v>329.21999999999997</v>
      </c>
      <c r="J171" s="37">
        <f>'[1]Tabla de Precios'!L170</f>
        <v>627.80550399999993</v>
      </c>
      <c r="K171" s="37">
        <f>'[1]Tabla de Precios'!M170</f>
        <v>395.06399999999996</v>
      </c>
      <c r="L171" s="37"/>
      <c r="M171" s="37"/>
    </row>
    <row r="172" spans="1:13" x14ac:dyDescent="0.2">
      <c r="A172" s="35" t="s">
        <v>192</v>
      </c>
      <c r="B172" s="7">
        <f t="shared" si="2"/>
        <v>171</v>
      </c>
      <c r="C172" s="36" t="s">
        <v>391</v>
      </c>
      <c r="D172" s="36" t="s">
        <v>212</v>
      </c>
      <c r="E172" s="36"/>
      <c r="F172" s="36" t="s">
        <v>214</v>
      </c>
      <c r="G172" s="36">
        <v>0</v>
      </c>
      <c r="H172" s="36" t="s">
        <v>215</v>
      </c>
      <c r="I172" s="37">
        <f>'[1]Tabla de Precios'!K171</f>
        <v>1199.630000599815</v>
      </c>
      <c r="J172" s="37">
        <f>'[1]Tabla de Precios'!L171</f>
        <v>2023.2468169616234</v>
      </c>
      <c r="K172" s="37">
        <f>'[1]Tabla de Precios'!M171</f>
        <v>1439.556000719778</v>
      </c>
      <c r="L172" s="37" t="s">
        <v>512</v>
      </c>
      <c r="M172" s="37"/>
    </row>
    <row r="173" spans="1:13" x14ac:dyDescent="0.2">
      <c r="A173" s="35" t="s">
        <v>193</v>
      </c>
      <c r="B173" s="7">
        <f t="shared" si="2"/>
        <v>172</v>
      </c>
      <c r="C173" s="36" t="s">
        <v>392</v>
      </c>
      <c r="D173" s="36" t="s">
        <v>212</v>
      </c>
      <c r="E173" s="36"/>
      <c r="F173" s="36" t="s">
        <v>214</v>
      </c>
      <c r="G173" s="36">
        <v>1</v>
      </c>
      <c r="H173" s="36" t="s">
        <v>215</v>
      </c>
      <c r="I173" s="37">
        <f>'[1]Tabla de Precios'!K172</f>
        <v>259.04999999999995</v>
      </c>
      <c r="J173" s="37">
        <f>'[1]Tabla de Precios'!L172</f>
        <v>515.30895999999996</v>
      </c>
      <c r="K173" s="37">
        <f>'[1]Tabla de Precios'!M172</f>
        <v>310.85999999999996</v>
      </c>
      <c r="L173" s="37"/>
      <c r="M173" s="37"/>
    </row>
    <row r="174" spans="1:13" x14ac:dyDescent="0.2">
      <c r="A174" s="35" t="s">
        <v>194</v>
      </c>
      <c r="B174" s="7">
        <f t="shared" si="2"/>
        <v>173</v>
      </c>
      <c r="C174" s="36" t="s">
        <v>393</v>
      </c>
      <c r="D174" s="36" t="s">
        <v>212</v>
      </c>
      <c r="E174" s="36"/>
      <c r="F174" s="36" t="s">
        <v>214</v>
      </c>
      <c r="G174" s="36">
        <v>5</v>
      </c>
      <c r="H174" s="36" t="s">
        <v>215</v>
      </c>
      <c r="I174" s="37">
        <f>'[1]Tabla de Precios'!K173</f>
        <v>763.16000038157995</v>
      </c>
      <c r="J174" s="37">
        <f>'[1]Tabla de Precios'!L173</f>
        <v>1323.4981126117491</v>
      </c>
      <c r="K174" s="37">
        <f>'[1]Tabla de Precios'!M173</f>
        <v>915.79200045789594</v>
      </c>
      <c r="L174" s="37" t="s">
        <v>513</v>
      </c>
      <c r="M174" s="37"/>
    </row>
    <row r="175" spans="1:13" x14ac:dyDescent="0.2">
      <c r="A175" s="35" t="s">
        <v>195</v>
      </c>
      <c r="B175" s="7">
        <f t="shared" si="2"/>
        <v>174</v>
      </c>
      <c r="C175" s="36" t="s">
        <v>394</v>
      </c>
      <c r="D175" s="36" t="s">
        <v>212</v>
      </c>
      <c r="E175" s="36"/>
      <c r="F175" s="36" t="s">
        <v>214</v>
      </c>
      <c r="G175" s="36">
        <v>0</v>
      </c>
      <c r="H175" s="36" t="s">
        <v>220</v>
      </c>
      <c r="I175" s="37">
        <f>'[1]Tabla de Precios'!K174</f>
        <v>5186.0400025930194</v>
      </c>
      <c r="J175" s="37">
        <f>'[1]Tabla de Precios'!L174</f>
        <v>8414.2593321571294</v>
      </c>
      <c r="K175" s="37">
        <f>'[1]Tabla de Precios'!M174</f>
        <v>6223.2480031116229</v>
      </c>
      <c r="L175" s="37"/>
      <c r="M175" s="37"/>
    </row>
    <row r="176" spans="1:13" x14ac:dyDescent="0.2">
      <c r="A176" s="35" t="s">
        <v>196</v>
      </c>
      <c r="B176" s="5">
        <f t="shared" si="2"/>
        <v>175</v>
      </c>
      <c r="C176" s="36" t="s">
        <v>395</v>
      </c>
      <c r="D176" s="33" t="s">
        <v>212</v>
      </c>
      <c r="E176" s="33"/>
      <c r="F176" s="33" t="s">
        <v>214</v>
      </c>
      <c r="G176" s="33">
        <v>5</v>
      </c>
      <c r="H176" s="33" t="s">
        <v>215</v>
      </c>
      <c r="I176" s="37">
        <f>'[1]Tabla de Precios'!K175</f>
        <v>3300.0000016500003</v>
      </c>
      <c r="J176" s="37">
        <f>'[1]Tabla de Precios'!L175</f>
        <v>5390.5600026452812</v>
      </c>
      <c r="K176" s="37">
        <f>'[1]Tabla de Precios'!M175</f>
        <v>3960.0000019800004</v>
      </c>
      <c r="L176" s="37"/>
      <c r="M176" s="37"/>
    </row>
    <row r="177" spans="1:13" ht="28.5" x14ac:dyDescent="0.2">
      <c r="A177" s="35" t="s">
        <v>514</v>
      </c>
      <c r="B177" s="5">
        <f t="shared" si="2"/>
        <v>176</v>
      </c>
      <c r="C177" s="36" t="s">
        <v>396</v>
      </c>
      <c r="D177" s="33" t="s">
        <v>212</v>
      </c>
      <c r="E177" s="33"/>
      <c r="F177" s="33" t="s">
        <v>214</v>
      </c>
      <c r="G177" s="33">
        <v>2</v>
      </c>
      <c r="H177" s="36" t="s">
        <v>220</v>
      </c>
      <c r="I177" s="37">
        <f>'[1]Tabla de Precios'!K176</f>
        <v>0</v>
      </c>
      <c r="J177" s="37">
        <f>'[1]Tabla de Precios'!L176</f>
        <v>100</v>
      </c>
      <c r="K177" s="37">
        <f>'[1]Tabla de Precios'!M176</f>
        <v>0</v>
      </c>
      <c r="L177" s="37"/>
      <c r="M177" s="37"/>
    </row>
    <row r="178" spans="1:13" x14ac:dyDescent="0.2">
      <c r="A178" s="36" t="s">
        <v>197</v>
      </c>
      <c r="B178" s="5">
        <f t="shared" si="2"/>
        <v>177</v>
      </c>
      <c r="C178" s="36" t="s">
        <v>414</v>
      </c>
      <c r="D178" s="33" t="s">
        <v>212</v>
      </c>
      <c r="E178" s="36"/>
      <c r="F178" s="33" t="s">
        <v>214</v>
      </c>
      <c r="G178" s="36">
        <v>0</v>
      </c>
      <c r="H178" s="33" t="s">
        <v>215</v>
      </c>
      <c r="I178" s="37">
        <f>'[1]Tabla de Precios'!K177</f>
        <v>2550.5000012752498</v>
      </c>
      <c r="J178" s="37">
        <f>'[1]Tabla de Precios'!L177</f>
        <v>4188.961602044481</v>
      </c>
      <c r="K178" s="37">
        <f>'[1]Tabla de Precios'!M177</f>
        <v>3060.6000015302998</v>
      </c>
      <c r="L178" s="37"/>
      <c r="M178" s="37"/>
    </row>
    <row r="179" spans="1:13" x14ac:dyDescent="0.2">
      <c r="A179" s="36" t="s">
        <v>198</v>
      </c>
      <c r="B179" s="5">
        <f t="shared" si="2"/>
        <v>178</v>
      </c>
      <c r="C179" s="36" t="s">
        <v>397</v>
      </c>
      <c r="D179" s="33" t="s">
        <v>212</v>
      </c>
      <c r="E179" s="36"/>
      <c r="F179" s="33" t="s">
        <v>214</v>
      </c>
      <c r="G179" s="36">
        <v>0</v>
      </c>
      <c r="H179" s="33" t="s">
        <v>220</v>
      </c>
      <c r="I179" s="37">
        <f>'[1]Tabla de Precios'!K178</f>
        <v>0</v>
      </c>
      <c r="J179" s="37">
        <f>'[1]Tabla de Precios'!L178</f>
        <v>100</v>
      </c>
      <c r="K179" s="37">
        <f>'[1]Tabla de Precios'!M178</f>
        <v>0</v>
      </c>
      <c r="L179" s="37"/>
      <c r="M179" s="70"/>
    </row>
    <row r="180" spans="1:13" x14ac:dyDescent="0.2">
      <c r="A180" s="33" t="s">
        <v>415</v>
      </c>
      <c r="B180" s="5">
        <f t="shared" si="2"/>
        <v>179</v>
      </c>
      <c r="C180" s="33" t="s">
        <v>398</v>
      </c>
      <c r="D180" s="33" t="s">
        <v>212</v>
      </c>
      <c r="E180" s="33"/>
      <c r="F180" s="33" t="s">
        <v>413</v>
      </c>
      <c r="G180" s="33">
        <v>0</v>
      </c>
      <c r="H180" s="33" t="s">
        <v>220</v>
      </c>
      <c r="I180" s="70">
        <f>'[1]Tabla de Precios'!K179</f>
        <v>840</v>
      </c>
      <c r="J180" s="70">
        <f>'[1]Tabla de Precios'!L179</f>
        <v>1446.6880000000001</v>
      </c>
      <c r="K180" s="70">
        <f>'[1]Tabla de Precios'!M179</f>
        <v>1008</v>
      </c>
      <c r="L180" s="70"/>
      <c r="M180" s="70"/>
    </row>
    <row r="181" spans="1:13" x14ac:dyDescent="0.2">
      <c r="A181" s="33" t="s">
        <v>416</v>
      </c>
      <c r="B181" s="5">
        <f t="shared" si="2"/>
        <v>180</v>
      </c>
      <c r="C181" s="33" t="s">
        <v>417</v>
      </c>
      <c r="D181" s="33" t="s">
        <v>212</v>
      </c>
      <c r="E181" s="33"/>
      <c r="F181" s="33" t="s">
        <v>214</v>
      </c>
      <c r="G181" s="33">
        <v>0</v>
      </c>
      <c r="H181" s="33" t="s">
        <v>220</v>
      </c>
      <c r="I181" s="70">
        <f>'[1]Tabla de Precios'!K180</f>
        <v>788.16000000000008</v>
      </c>
      <c r="J181" s="70">
        <f>'[1]Tabla de Precios'!L180</f>
        <v>1363.5781120000001</v>
      </c>
      <c r="K181" s="70">
        <f>'[1]Tabla de Precios'!M180</f>
        <v>945.79200000000014</v>
      </c>
      <c r="L181" s="70"/>
      <c r="M181" s="37"/>
    </row>
    <row r="182" spans="1:13" x14ac:dyDescent="0.2">
      <c r="A182" s="36" t="s">
        <v>418</v>
      </c>
      <c r="B182" s="7">
        <f>ROW(B181)</f>
        <v>181</v>
      </c>
      <c r="C182" s="36" t="s">
        <v>419</v>
      </c>
      <c r="D182" s="36" t="s">
        <v>212</v>
      </c>
      <c r="E182" s="36"/>
      <c r="F182" s="36" t="s">
        <v>214</v>
      </c>
      <c r="G182" s="36">
        <v>3</v>
      </c>
      <c r="H182" s="36" t="s">
        <v>220</v>
      </c>
      <c r="I182" s="37">
        <f>'[1]Tabla de Precios'!K181</f>
        <v>1485</v>
      </c>
      <c r="J182" s="37">
        <f>'[1]Tabla de Precios'!L181</f>
        <v>2480.752</v>
      </c>
      <c r="K182" s="37">
        <f>'[1]Tabla de Precios'!M181</f>
        <v>1782</v>
      </c>
      <c r="L182" s="37"/>
      <c r="M182" s="37"/>
    </row>
    <row r="183" spans="1:13" x14ac:dyDescent="0.2">
      <c r="A183" s="33" t="s">
        <v>420</v>
      </c>
      <c r="B183" s="5">
        <f>ROW(B182)</f>
        <v>182</v>
      </c>
      <c r="C183" s="33" t="s">
        <v>421</v>
      </c>
      <c r="D183" s="33" t="s">
        <v>212</v>
      </c>
      <c r="E183" s="33"/>
      <c r="F183" s="33" t="s">
        <v>214</v>
      </c>
      <c r="G183" s="33">
        <v>0</v>
      </c>
      <c r="H183" s="33" t="s">
        <v>220</v>
      </c>
      <c r="I183" s="70">
        <f>'[1]Tabla de Precios'!K182</f>
        <v>900</v>
      </c>
      <c r="J183" s="70">
        <f>'[1]Tabla de Precios'!L182</f>
        <v>1542.88</v>
      </c>
      <c r="K183" s="70">
        <f>'[1]Tabla de Precios'!M182</f>
        <v>1080</v>
      </c>
      <c r="L183" s="70"/>
      <c r="M183" s="37"/>
    </row>
    <row r="184" spans="1:13" x14ac:dyDescent="0.2">
      <c r="A184" s="33" t="s">
        <v>422</v>
      </c>
      <c r="B184" s="5">
        <f t="shared" ref="B184:B195" si="3">ROW(B183)</f>
        <v>183</v>
      </c>
      <c r="C184" s="33" t="s">
        <v>423</v>
      </c>
      <c r="D184" s="33" t="s">
        <v>212</v>
      </c>
      <c r="E184" s="33"/>
      <c r="F184" s="33" t="s">
        <v>214</v>
      </c>
      <c r="G184" s="33">
        <v>1</v>
      </c>
      <c r="H184" s="33" t="s">
        <v>220</v>
      </c>
      <c r="I184" s="70">
        <f>'[1]Tabla de Precios'!K183</f>
        <v>2880.54</v>
      </c>
      <c r="J184" s="70">
        <f>'[1]Tabla de Precios'!L183</f>
        <v>4718.0817280000001</v>
      </c>
      <c r="K184" s="70">
        <f>'[1]Tabla de Precios'!M183</f>
        <v>3456.6480000000001</v>
      </c>
      <c r="L184" s="70"/>
      <c r="M184" s="37"/>
    </row>
    <row r="185" spans="1:13" x14ac:dyDescent="0.2">
      <c r="A185" s="36" t="s">
        <v>424</v>
      </c>
      <c r="B185" s="7">
        <f t="shared" si="3"/>
        <v>184</v>
      </c>
      <c r="C185" s="36" t="s">
        <v>425</v>
      </c>
      <c r="D185" s="36" t="s">
        <v>212</v>
      </c>
      <c r="E185" s="36"/>
      <c r="F185" s="36" t="s">
        <v>214</v>
      </c>
      <c r="G185" s="36">
        <v>0</v>
      </c>
      <c r="H185" s="36" t="s">
        <v>220</v>
      </c>
      <c r="I185" s="37">
        <f>'[1]Tabla de Precios'!K184</f>
        <v>0</v>
      </c>
      <c r="J185" s="37">
        <f>'[1]Tabla de Precios'!L184</f>
        <v>100</v>
      </c>
      <c r="K185" s="37">
        <f>'[1]Tabla de Precios'!M184</f>
        <v>0</v>
      </c>
      <c r="L185" s="37"/>
      <c r="M185" s="70"/>
    </row>
    <row r="186" spans="1:13" x14ac:dyDescent="0.2">
      <c r="A186" s="36" t="s">
        <v>515</v>
      </c>
      <c r="B186" s="7">
        <f t="shared" si="3"/>
        <v>185</v>
      </c>
      <c r="C186" s="36" t="s">
        <v>426</v>
      </c>
      <c r="D186" s="36" t="s">
        <v>212</v>
      </c>
      <c r="E186" s="36" t="s">
        <v>516</v>
      </c>
      <c r="F186" s="36" t="s">
        <v>214</v>
      </c>
      <c r="G186" s="36">
        <v>3</v>
      </c>
      <c r="H186" s="36" t="s">
        <v>220</v>
      </c>
      <c r="I186" s="37">
        <f>'[1]Tabla de Precios'!K185</f>
        <v>373.5</v>
      </c>
      <c r="J186" s="37">
        <f>'[1]Tabla de Precios'!L185</f>
        <v>698.79520000000002</v>
      </c>
      <c r="K186" s="37">
        <f>'[1]Tabla de Precios'!M185</f>
        <v>448.2</v>
      </c>
      <c r="L186" s="37"/>
      <c r="M186" s="37"/>
    </row>
    <row r="187" spans="1:13" x14ac:dyDescent="0.2">
      <c r="A187" s="36" t="s">
        <v>429</v>
      </c>
      <c r="B187" s="7">
        <f t="shared" si="3"/>
        <v>186</v>
      </c>
      <c r="C187" s="36" t="s">
        <v>430</v>
      </c>
      <c r="D187" s="36" t="s">
        <v>212</v>
      </c>
      <c r="E187" s="36" t="s">
        <v>517</v>
      </c>
      <c r="F187" s="36" t="s">
        <v>214</v>
      </c>
      <c r="G187" s="36">
        <v>0</v>
      </c>
      <c r="H187" s="36" t="s">
        <v>220</v>
      </c>
      <c r="I187" s="37">
        <f>'[1]Tabla de Precios'!K186</f>
        <v>373.5</v>
      </c>
      <c r="J187" s="37">
        <f>'[1]Tabla de Precios'!L186</f>
        <v>698.79520000000002</v>
      </c>
      <c r="K187" s="37">
        <f>'[1]Tabla de Precios'!M186</f>
        <v>448.2</v>
      </c>
      <c r="L187" s="37"/>
      <c r="M187" s="70"/>
    </row>
    <row r="188" spans="1:13" x14ac:dyDescent="0.2">
      <c r="A188" s="36" t="s">
        <v>518</v>
      </c>
      <c r="B188" s="7">
        <f t="shared" si="3"/>
        <v>187</v>
      </c>
      <c r="C188" s="36" t="s">
        <v>432</v>
      </c>
      <c r="D188" s="36" t="s">
        <v>212</v>
      </c>
      <c r="E188" s="36" t="s">
        <v>217</v>
      </c>
      <c r="F188" s="36" t="s">
        <v>214</v>
      </c>
      <c r="G188" s="36">
        <v>0</v>
      </c>
      <c r="H188" s="36" t="s">
        <v>220</v>
      </c>
      <c r="I188" s="37">
        <f>'[1]Tabla de Precios'!K187</f>
        <v>45449.80619469026</v>
      </c>
      <c r="J188" s="37">
        <f>'[1]Tabla de Precios'!L187</f>
        <v>72965.129291327423</v>
      </c>
      <c r="K188" s="37">
        <f>'[1]Tabla de Precios'!M187</f>
        <v>54539.767433628309</v>
      </c>
      <c r="L188" s="37"/>
      <c r="M188" s="37"/>
    </row>
    <row r="189" spans="1:13" x14ac:dyDescent="0.2">
      <c r="A189" s="36" t="s">
        <v>434</v>
      </c>
      <c r="B189" s="7">
        <f t="shared" si="3"/>
        <v>188</v>
      </c>
      <c r="C189" s="36" t="s">
        <v>435</v>
      </c>
      <c r="D189" s="36" t="s">
        <v>212</v>
      </c>
      <c r="E189" s="36" t="s">
        <v>222</v>
      </c>
      <c r="F189" s="36" t="s">
        <v>214</v>
      </c>
      <c r="G189" s="36">
        <v>10</v>
      </c>
      <c r="H189" s="36" t="s">
        <v>220</v>
      </c>
      <c r="I189" s="37">
        <f>'[1]Tabla de Precios'!K188</f>
        <v>2711.5950000000003</v>
      </c>
      <c r="J189" s="37">
        <f>'[1]Tabla de Precios'!L188</f>
        <v>4447.229104</v>
      </c>
      <c r="K189" s="37">
        <f>'[1]Tabla de Precios'!M188</f>
        <v>3253.9140000000002</v>
      </c>
      <c r="L189" s="37"/>
      <c r="M189" s="37"/>
    </row>
    <row r="190" spans="1:13" x14ac:dyDescent="0.2">
      <c r="A190" s="36" t="s">
        <v>438</v>
      </c>
      <c r="B190" s="7">
        <f t="shared" si="3"/>
        <v>189</v>
      </c>
      <c r="C190" s="36" t="s">
        <v>436</v>
      </c>
      <c r="D190" s="36" t="s">
        <v>212</v>
      </c>
      <c r="E190" s="36" t="s">
        <v>217</v>
      </c>
      <c r="F190" s="36" t="s">
        <v>214</v>
      </c>
      <c r="G190" s="36">
        <v>10</v>
      </c>
      <c r="H190" s="36" t="s">
        <v>519</v>
      </c>
      <c r="I190" s="37">
        <f>'[1]Tabla de Precios'!K189</f>
        <v>558.27</v>
      </c>
      <c r="J190" s="37">
        <f>'[1]Tabla de Precios'!L189</f>
        <v>995.01846399999999</v>
      </c>
      <c r="K190" s="37">
        <f>'[1]Tabla de Precios'!M189</f>
        <v>669.92399999999998</v>
      </c>
      <c r="L190" s="37"/>
      <c r="M190" s="70"/>
    </row>
    <row r="191" spans="1:13" x14ac:dyDescent="0.2">
      <c r="A191" s="36" t="s">
        <v>520</v>
      </c>
      <c r="B191" s="7">
        <f t="shared" si="3"/>
        <v>190</v>
      </c>
      <c r="C191" s="36" t="s">
        <v>439</v>
      </c>
      <c r="D191" s="36" t="s">
        <v>212</v>
      </c>
      <c r="E191" s="36" t="s">
        <v>217</v>
      </c>
      <c r="F191" s="36" t="s">
        <v>214</v>
      </c>
      <c r="G191" s="36">
        <v>0</v>
      </c>
      <c r="H191" s="36" t="s">
        <v>220</v>
      </c>
      <c r="I191" s="37">
        <f>'[1]Tabla de Precios'!K190</f>
        <v>0</v>
      </c>
      <c r="J191" s="37">
        <f>'[1]Tabla de Precios'!L190</f>
        <v>100</v>
      </c>
      <c r="K191" s="37">
        <f>'[1]Tabla de Precios'!M190</f>
        <v>0</v>
      </c>
      <c r="L191" s="37"/>
      <c r="M191" s="70"/>
    </row>
    <row r="192" spans="1:13" x14ac:dyDescent="0.2">
      <c r="A192" s="36" t="s">
        <v>440</v>
      </c>
      <c r="B192" s="7">
        <f t="shared" si="3"/>
        <v>191</v>
      </c>
      <c r="C192" s="36" t="s">
        <v>437</v>
      </c>
      <c r="D192" s="36" t="s">
        <v>212</v>
      </c>
      <c r="E192" s="36" t="s">
        <v>222</v>
      </c>
      <c r="F192" s="36" t="s">
        <v>433</v>
      </c>
      <c r="G192" s="36">
        <v>7</v>
      </c>
      <c r="H192" s="36" t="s">
        <v>220</v>
      </c>
      <c r="I192" s="37">
        <f>'[1]Tabla de Precios'!K191</f>
        <v>750</v>
      </c>
      <c r="J192" s="37">
        <f>'[1]Tabla de Precios'!L191</f>
        <v>1302.4000000000001</v>
      </c>
      <c r="K192" s="37">
        <f>'[1]Tabla de Precios'!M191</f>
        <v>900</v>
      </c>
      <c r="L192" s="37"/>
      <c r="M192" s="70"/>
    </row>
    <row r="193" spans="1:13" x14ac:dyDescent="0.2">
      <c r="A193" s="36" t="s">
        <v>442</v>
      </c>
      <c r="B193" s="7">
        <f t="shared" si="3"/>
        <v>192</v>
      </c>
      <c r="C193" s="36" t="s">
        <v>443</v>
      </c>
      <c r="D193" s="36" t="s">
        <v>212</v>
      </c>
      <c r="E193" s="36"/>
      <c r="F193" s="36" t="s">
        <v>433</v>
      </c>
      <c r="G193" s="36">
        <v>8</v>
      </c>
      <c r="H193" s="36" t="s">
        <v>220</v>
      </c>
      <c r="I193" s="37">
        <f>'[1]Tabla de Precios'!K192</f>
        <v>316.5</v>
      </c>
      <c r="J193" s="37">
        <f>'[1]Tabla de Precios'!L192</f>
        <v>607.41280000000006</v>
      </c>
      <c r="K193" s="37">
        <f>'[1]Tabla de Precios'!M192</f>
        <v>379.8</v>
      </c>
      <c r="L193" s="37"/>
      <c r="M193" s="70"/>
    </row>
    <row r="194" spans="1:13" x14ac:dyDescent="0.2">
      <c r="A194" s="36" t="s">
        <v>521</v>
      </c>
      <c r="B194" s="7">
        <f t="shared" si="3"/>
        <v>193</v>
      </c>
      <c r="C194" s="36" t="s">
        <v>522</v>
      </c>
      <c r="D194" s="36" t="s">
        <v>212</v>
      </c>
      <c r="E194" s="36" t="s">
        <v>222</v>
      </c>
      <c r="F194" s="36" t="s">
        <v>431</v>
      </c>
      <c r="G194" s="36">
        <v>0</v>
      </c>
      <c r="H194" s="36" t="s">
        <v>220</v>
      </c>
      <c r="I194" s="37">
        <f>'[1]Tabla de Precios'!K193</f>
        <v>430.5</v>
      </c>
      <c r="J194" s="37">
        <f>'[1]Tabla de Precios'!L193</f>
        <v>790.17759999999998</v>
      </c>
      <c r="K194" s="37">
        <f>'[1]Tabla de Precios'!M193</f>
        <v>516.6</v>
      </c>
      <c r="L194" s="37"/>
      <c r="M194" s="70"/>
    </row>
    <row r="195" spans="1:13" ht="28.5" x14ac:dyDescent="0.2">
      <c r="A195" s="35" t="s">
        <v>523</v>
      </c>
      <c r="B195" s="7">
        <f t="shared" si="3"/>
        <v>194</v>
      </c>
      <c r="C195" s="36" t="s">
        <v>524</v>
      </c>
      <c r="D195" s="36" t="s">
        <v>212</v>
      </c>
      <c r="E195" s="36" t="s">
        <v>222</v>
      </c>
      <c r="F195" s="36" t="s">
        <v>214</v>
      </c>
      <c r="G195" s="36">
        <v>0</v>
      </c>
      <c r="H195" s="36" t="s">
        <v>220</v>
      </c>
      <c r="I195" s="37">
        <f>'[1]Tabla de Precios'!K194</f>
        <v>1200</v>
      </c>
      <c r="J195" s="37">
        <f>'[1]Tabla de Precios'!L194</f>
        <v>2023.8400000000001</v>
      </c>
      <c r="K195" s="37">
        <f>'[1]Tabla de Precios'!M194</f>
        <v>1440</v>
      </c>
      <c r="L195" s="37"/>
      <c r="M195" s="37"/>
    </row>
    <row r="196" spans="1:13" x14ac:dyDescent="0.2">
      <c r="A196" s="35" t="s">
        <v>525</v>
      </c>
      <c r="B196" s="7">
        <f>ROW(B195)</f>
        <v>195</v>
      </c>
      <c r="C196" s="36" t="s">
        <v>526</v>
      </c>
      <c r="D196" s="36" t="s">
        <v>212</v>
      </c>
      <c r="E196" s="36" t="s">
        <v>527</v>
      </c>
      <c r="F196" s="36" t="s">
        <v>528</v>
      </c>
      <c r="G196" s="36">
        <v>2</v>
      </c>
      <c r="H196" s="36" t="s">
        <v>529</v>
      </c>
      <c r="I196" s="37">
        <f>'[1]Tabla de Precios'!K195</f>
        <v>2242.5</v>
      </c>
      <c r="J196" s="37">
        <f>'[1]Tabla de Precios'!L195</f>
        <v>3695.1759999999999</v>
      </c>
      <c r="K196" s="37">
        <f>'[1]Tabla de Precios'!M195</f>
        <v>2691</v>
      </c>
      <c r="L196" s="37"/>
      <c r="M196" s="37"/>
    </row>
    <row r="197" spans="1:13" x14ac:dyDescent="0.2">
      <c r="A197" s="35" t="s">
        <v>530</v>
      </c>
      <c r="B197" s="7">
        <f>ROW(B196)</f>
        <v>196</v>
      </c>
      <c r="C197" s="36" t="s">
        <v>531</v>
      </c>
      <c r="D197" s="36" t="s">
        <v>212</v>
      </c>
      <c r="E197" s="36" t="s">
        <v>527</v>
      </c>
      <c r="F197" s="36" t="s">
        <v>433</v>
      </c>
      <c r="G197" s="36">
        <v>2</v>
      </c>
      <c r="H197" s="36" t="s">
        <v>529</v>
      </c>
      <c r="I197" s="37">
        <f>'[1]Tabla de Precios'!K196</f>
        <v>2595</v>
      </c>
      <c r="J197" s="37">
        <f>'[1]Tabla de Precios'!L196</f>
        <v>4260.3040000000001</v>
      </c>
      <c r="K197" s="37">
        <f>'[1]Tabla de Precios'!M196</f>
        <v>3114</v>
      </c>
      <c r="L197" s="37"/>
      <c r="M197" s="37"/>
    </row>
    <row r="198" spans="1:13" ht="28.5" x14ac:dyDescent="0.2">
      <c r="A198" s="35" t="s">
        <v>532</v>
      </c>
      <c r="B198" s="7">
        <f>ROW(B197)</f>
        <v>197</v>
      </c>
      <c r="C198" s="36" t="s">
        <v>533</v>
      </c>
      <c r="D198" s="36" t="s">
        <v>212</v>
      </c>
      <c r="E198" s="36" t="s">
        <v>222</v>
      </c>
      <c r="F198" s="36" t="s">
        <v>214</v>
      </c>
      <c r="G198" s="36">
        <v>2</v>
      </c>
      <c r="H198" s="36" t="s">
        <v>534</v>
      </c>
      <c r="I198" s="37">
        <f>'[1]Tabla de Precios'!K197</f>
        <v>270</v>
      </c>
      <c r="J198" s="37">
        <f>'[1]Tabla de Precios'!L197</f>
        <v>532.86400000000003</v>
      </c>
      <c r="K198" s="37">
        <f>'[1]Tabla de Precios'!M197</f>
        <v>324</v>
      </c>
      <c r="L198" s="37"/>
      <c r="M198" s="37"/>
    </row>
    <row r="199" spans="1:13" ht="15" x14ac:dyDescent="0.25">
      <c r="A199" s="96"/>
      <c r="B199" s="5">
        <f>ROW(B184)</f>
        <v>184</v>
      </c>
      <c r="C199" s="33"/>
      <c r="D199" s="33"/>
      <c r="E199" s="33"/>
      <c r="F199" s="33"/>
      <c r="G199" s="33"/>
      <c r="H199" s="84"/>
      <c r="I199" s="70">
        <f>'[1]Tabla de Precios'!K184</f>
        <v>0</v>
      </c>
      <c r="J199" s="70">
        <f>'[1]Tabla de Precios'!L184</f>
        <v>100</v>
      </c>
      <c r="K199" s="70">
        <f>'[1]Tabla de Precios'!M184</f>
        <v>0</v>
      </c>
      <c r="L199" s="70"/>
      <c r="M199" s="7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F10B-5E20-4111-9941-9D429FCEE388}">
  <sheetPr codeName="Hoja3">
    <tabColor rgb="FF0070C0"/>
  </sheetPr>
  <dimension ref="A1:F200"/>
  <sheetViews>
    <sheetView topLeftCell="A135" workbookViewId="0">
      <selection activeCell="F135" sqref="F135"/>
    </sheetView>
  </sheetViews>
  <sheetFormatPr baseColWidth="10" defaultRowHeight="14.25" x14ac:dyDescent="0.2"/>
  <cols>
    <col min="1" max="1" width="54.875" style="45" customWidth="1"/>
    <col min="2" max="2" width="22" style="46" customWidth="1"/>
    <col min="3" max="3" width="21.375" style="46" customWidth="1"/>
    <col min="4" max="4" width="22.75" style="46" customWidth="1"/>
    <col min="5" max="5" width="22.875" style="46" customWidth="1"/>
    <col min="6" max="6" width="22.125" customWidth="1"/>
  </cols>
  <sheetData>
    <row r="1" spans="1:6" ht="30" customHeight="1" x14ac:dyDescent="0.2">
      <c r="A1" s="42" t="s">
        <v>399</v>
      </c>
      <c r="B1" s="38" t="s">
        <v>12</v>
      </c>
      <c r="C1" s="39" t="s">
        <v>13</v>
      </c>
      <c r="D1" s="40" t="s">
        <v>14</v>
      </c>
      <c r="E1" s="41" t="s">
        <v>15</v>
      </c>
      <c r="F1" s="18" t="s">
        <v>11</v>
      </c>
    </row>
    <row r="2" spans="1:6" x14ac:dyDescent="0.2">
      <c r="A2" s="43">
        <f>IFERROR(SW[[#This Row],[NOMRE DEL PRODUCTO]],"Sin Datos")</f>
        <v>0</v>
      </c>
      <c r="B2" s="94" t="str">
        <f>IFERROR( 'TABLA DE PRECIOS'!T16,"Sin Datos")</f>
        <v>Sin Datos</v>
      </c>
      <c r="C2" s="92" t="str">
        <f>IFERROR( 'TABLA DE PRECIOS'!V16,"Sin Datos")</f>
        <v>Sin Datos</v>
      </c>
      <c r="D2" s="90" t="str">
        <f>IFERROR( 'TABLA DE PRECIOS'!W16,"Sin Datos")</f>
        <v>Sin Datos</v>
      </c>
      <c r="E2" s="88" t="str">
        <f>IFERROR( 'TABLA DE PRECIOS'!X16,"Sin Datos")</f>
        <v>Sin Datos</v>
      </c>
      <c r="F2" s="86" t="str">
        <f>IFERROR( 'TABLA DE PRECIOS'!S16,"Sin Datos")</f>
        <v>Sin Datos</v>
      </c>
    </row>
    <row r="3" spans="1:6" x14ac:dyDescent="0.2">
      <c r="A3" s="43" t="str">
        <f>IFERROR(SW[[#This Row],[NOMRE DEL PRODUCTO]],"Sin Datos")</f>
        <v>ALARMAS</v>
      </c>
      <c r="B3" s="95" t="str">
        <f>IFERROR( 'TABLA DE PRECIOS'!T17,"Sin Datos")</f>
        <v>Sin Datos</v>
      </c>
      <c r="C3" s="93" t="str">
        <f>IFERROR( 'TABLA DE PRECIOS'!V17,"Sin Datos")</f>
        <v>Sin Datos</v>
      </c>
      <c r="D3" s="91" t="str">
        <f>IFERROR( 'TABLA DE PRECIOS'!W17,"Sin Datos")</f>
        <v>Sin Datos</v>
      </c>
      <c r="E3" s="89" t="str">
        <f>IFERROR( 'TABLA DE PRECIOS'!X17,"Sin Datos")</f>
        <v>Sin Datos</v>
      </c>
      <c r="F3" s="87" t="str">
        <f>IFERROR( 'TABLA DE PRECIOS'!S17,"Sin Datos")</f>
        <v>Sin Datos</v>
      </c>
    </row>
    <row r="4" spans="1:6" x14ac:dyDescent="0.2">
      <c r="A4" s="43" t="str">
        <f>IFERROR(SW[[#This Row],[NOMRE DEL PRODUCTO]],"Sin Datos")</f>
        <v>ALEXA</v>
      </c>
      <c r="B4" s="94" t="str">
        <f>IFERROR( 'TABLA DE PRECIOS'!T18,"Sin Datos")</f>
        <v>Sin Datos</v>
      </c>
      <c r="C4" s="92" t="str">
        <f>IFERROR( 'TABLA DE PRECIOS'!V18,"Sin Datos")</f>
        <v>Sin Datos</v>
      </c>
      <c r="D4" s="90" t="str">
        <f>IFERROR( 'TABLA DE PRECIOS'!W18,"Sin Datos")</f>
        <v>Sin Datos</v>
      </c>
      <c r="E4" s="88" t="str">
        <f>IFERROR( 'TABLA DE PRECIOS'!X18,"Sin Datos")</f>
        <v>Sin Datos</v>
      </c>
      <c r="F4" s="86" t="str">
        <f>IFERROR( 'TABLA DE PRECIOS'!S18,"Sin Datos")</f>
        <v>Sin Datos</v>
      </c>
    </row>
    <row r="5" spans="1:6" x14ac:dyDescent="0.2">
      <c r="A5" s="43" t="str">
        <f>IFERROR(SW[[#This Row],[NOMRE DEL PRODUCTO]],"Sin Datos")</f>
        <v>ALEXA BOLITA BLANCA</v>
      </c>
      <c r="B5" s="95" t="str">
        <f>IFERROR( 'TABLA DE PRECIOS'!T19,"Sin Datos")</f>
        <v>Sin Datos</v>
      </c>
      <c r="C5" s="93" t="str">
        <f>IFERROR( 'TABLA DE PRECIOS'!V19,"Sin Datos")</f>
        <v>Sin Datos</v>
      </c>
      <c r="D5" s="91" t="str">
        <f>IFERROR( 'TABLA DE PRECIOS'!W19,"Sin Datos")</f>
        <v>Sin Datos</v>
      </c>
      <c r="E5" s="89" t="str">
        <f>IFERROR( 'TABLA DE PRECIOS'!X19,"Sin Datos")</f>
        <v>Sin Datos</v>
      </c>
      <c r="F5" s="87" t="str">
        <f>IFERROR( 'TABLA DE PRECIOS'!S19,"Sin Datos")</f>
        <v>Sin Datos</v>
      </c>
    </row>
    <row r="6" spans="1:6" x14ac:dyDescent="0.2">
      <c r="A6" s="43" t="str">
        <f>IFERROR(SW[[#This Row],[NOMRE DEL PRODUCTO]],"Sin Datos")</f>
        <v>ALEXA BOLITA NEGRA</v>
      </c>
      <c r="B6" s="94" t="str">
        <f>IFERROR( 'TABLA DE PRECIOS'!T20,"Sin Datos")</f>
        <v>Sin Datos</v>
      </c>
      <c r="C6" s="92" t="str">
        <f>IFERROR( 'TABLA DE PRECIOS'!V20,"Sin Datos")</f>
        <v>Sin Datos</v>
      </c>
      <c r="D6" s="90" t="str">
        <f>IFERROR( 'TABLA DE PRECIOS'!W20,"Sin Datos")</f>
        <v>Sin Datos</v>
      </c>
      <c r="E6" s="88" t="str">
        <f>IFERROR( 'TABLA DE PRECIOS'!X20,"Sin Datos")</f>
        <v>Sin Datos</v>
      </c>
      <c r="F6" s="86" t="str">
        <f>IFERROR( 'TABLA DE PRECIOS'!S20,"Sin Datos")</f>
        <v>Sin Datos</v>
      </c>
    </row>
    <row r="7" spans="1:6" x14ac:dyDescent="0.2">
      <c r="A7" s="43" t="str">
        <f>IFERROR(SW[[#This Row],[NOMRE DEL PRODUCTO]],"Sin Datos")</f>
        <v>APAGADOR BLANCO BOTONES AZULES PLACA DE CRISTAL</v>
      </c>
      <c r="B7" s="95" t="str">
        <f>IFERROR( 'TABLA DE PRECIOS'!T21,"Sin Datos")</f>
        <v>Sin Datos</v>
      </c>
      <c r="C7" s="93" t="str">
        <f>IFERROR( 'TABLA DE PRECIOS'!V21,"Sin Datos")</f>
        <v>Sin Datos</v>
      </c>
      <c r="D7" s="91" t="str">
        <f>IFERROR( 'TABLA DE PRECIOS'!W21,"Sin Datos")</f>
        <v>Sin Datos</v>
      </c>
      <c r="E7" s="89" t="str">
        <f>IFERROR( 'TABLA DE PRECIOS'!X21,"Sin Datos")</f>
        <v>Sin Datos</v>
      </c>
      <c r="F7" s="87" t="str">
        <f>IFERROR( 'TABLA DE PRECIOS'!S21,"Sin Datos")</f>
        <v>Sin Datos</v>
      </c>
    </row>
    <row r="8" spans="1:6" x14ac:dyDescent="0.2">
      <c r="A8" s="43" t="str">
        <f>IFERROR(SW[[#This Row],[NOMRE DEL PRODUCTO]],"Sin Datos")</f>
        <v>APAGADOR BROADLINK MCB1</v>
      </c>
      <c r="B8" s="94" t="str">
        <f>IFERROR( 'TABLA DE PRECIOS'!T22,"Sin Datos")</f>
        <v>Sin Datos</v>
      </c>
      <c r="C8" s="92" t="str">
        <f>IFERROR( 'TABLA DE PRECIOS'!V22,"Sin Datos")</f>
        <v>Sin Datos</v>
      </c>
      <c r="D8" s="90" t="str">
        <f>IFERROR( 'TABLA DE PRECIOS'!W22,"Sin Datos")</f>
        <v>Sin Datos</v>
      </c>
      <c r="E8" s="88" t="str">
        <f>IFERROR( 'TABLA DE PRECIOS'!X22,"Sin Datos")</f>
        <v>Sin Datos</v>
      </c>
      <c r="F8" s="86" t="str">
        <f>IFERROR( 'TABLA DE PRECIOS'!S22,"Sin Datos")</f>
        <v>Sin Datos</v>
      </c>
    </row>
    <row r="9" spans="1:6" x14ac:dyDescent="0.2">
      <c r="A9" s="43" t="str">
        <f>IFERROR(SW[[#This Row],[NOMRE DEL PRODUCTO]],"Sin Datos")</f>
        <v>APAGADOR WIFI 1 CANAL (Caja Azul)</v>
      </c>
      <c r="B9" s="95" t="str">
        <f>IFERROR( 'TABLA DE PRECIOS'!T23,"Sin Datos")</f>
        <v>Sin Datos</v>
      </c>
      <c r="C9" s="93" t="str">
        <f>IFERROR( 'TABLA DE PRECIOS'!V23,"Sin Datos")</f>
        <v>Sin Datos</v>
      </c>
      <c r="D9" s="91" t="str">
        <f>IFERROR( 'TABLA DE PRECIOS'!W23,"Sin Datos")</f>
        <v>Sin Datos</v>
      </c>
      <c r="E9" s="89" t="str">
        <f>IFERROR( 'TABLA DE PRECIOS'!X23,"Sin Datos")</f>
        <v>Sin Datos</v>
      </c>
      <c r="F9" s="87" t="str">
        <f>IFERROR( 'TABLA DE PRECIOS'!S23,"Sin Datos")</f>
        <v>Sin Datos</v>
      </c>
    </row>
    <row r="10" spans="1:6" x14ac:dyDescent="0.2">
      <c r="A10" s="43" t="str">
        <f>IFERROR(SW[[#This Row],[NOMRE DEL PRODUCTO]],"Sin Datos")</f>
        <v>APAGADOR WI-FI + RADIO FRECUENCIA DE 1 APAGADOR</v>
      </c>
      <c r="B10" s="94" t="str">
        <f>IFERROR( 'TABLA DE PRECIOS'!T24,"Sin Datos")</f>
        <v>Sin Datos</v>
      </c>
      <c r="C10" s="92" t="str">
        <f>IFERROR( 'TABLA DE PRECIOS'!V24,"Sin Datos")</f>
        <v>Sin Datos</v>
      </c>
      <c r="D10" s="90" t="str">
        <f>IFERROR( 'TABLA DE PRECIOS'!W24,"Sin Datos")</f>
        <v>Sin Datos</v>
      </c>
      <c r="E10" s="88" t="str">
        <f>IFERROR( 'TABLA DE PRECIOS'!X24,"Sin Datos")</f>
        <v>Sin Datos</v>
      </c>
      <c r="F10" s="86" t="str">
        <f>IFERROR( 'TABLA DE PRECIOS'!S24,"Sin Datos")</f>
        <v>Sin Datos</v>
      </c>
    </row>
    <row r="11" spans="1:6" x14ac:dyDescent="0.2">
      <c r="A11" s="43" t="str">
        <f>IFERROR(SW[[#This Row],[NOMRE DEL PRODUCTO]],"Sin Datos")</f>
        <v>APAGADOR WIFI DE 1 APAGADOR</v>
      </c>
      <c r="B11" s="95" t="str">
        <f>IFERROR( 'TABLA DE PRECIOS'!T25,"Sin Datos")</f>
        <v>Sin Datos</v>
      </c>
      <c r="C11" s="93" t="str">
        <f>IFERROR( 'TABLA DE PRECIOS'!V25,"Sin Datos")</f>
        <v>Sin Datos</v>
      </c>
      <c r="D11" s="91" t="str">
        <f>IFERROR( 'TABLA DE PRECIOS'!W25,"Sin Datos")</f>
        <v>Sin Datos</v>
      </c>
      <c r="E11" s="89" t="str">
        <f>IFERROR( 'TABLA DE PRECIOS'!X25,"Sin Datos")</f>
        <v>Sin Datos</v>
      </c>
      <c r="F11" s="87" t="str">
        <f>IFERROR( 'TABLA DE PRECIOS'!S25,"Sin Datos")</f>
        <v>Sin Datos</v>
      </c>
    </row>
    <row r="12" spans="1:6" ht="28.5" x14ac:dyDescent="0.2">
      <c r="A12" s="43" t="str">
        <f>IFERROR(SW[[#This Row],[NOMRE DEL PRODUCTO]],"Sin Datos")</f>
        <v>APAGADOR ZIGBEE BLANCO CON MARCO PLACA CRISTAL DE 1 APAGADOR</v>
      </c>
      <c r="B12" s="94" t="str">
        <f>IFERROR( 'TABLA DE PRECIOS'!T26,"Sin Datos")</f>
        <v>Sin Datos</v>
      </c>
      <c r="C12" s="92" t="str">
        <f>IFERROR( 'TABLA DE PRECIOS'!V26,"Sin Datos")</f>
        <v>Sin Datos</v>
      </c>
      <c r="D12" s="90" t="str">
        <f>IFERROR( 'TABLA DE PRECIOS'!W26,"Sin Datos")</f>
        <v>Sin Datos</v>
      </c>
      <c r="E12" s="88" t="str">
        <f>IFERROR( 'TABLA DE PRECIOS'!X26,"Sin Datos")</f>
        <v>Sin Datos</v>
      </c>
      <c r="F12" s="86" t="str">
        <f>IFERROR( 'TABLA DE PRECIOS'!S26,"Sin Datos")</f>
        <v>Sin Datos</v>
      </c>
    </row>
    <row r="13" spans="1:6" ht="28.5" x14ac:dyDescent="0.2">
      <c r="A13" s="43" t="str">
        <f>IFERROR(SW[[#This Row],[NOMRE DEL PRODUCTO]],"Sin Datos")</f>
        <v>APAGADOR ZIGBEE NEGRO CON MARCO PLACA CRISTAL DE 1 APAGADO</v>
      </c>
      <c r="B13" s="95" t="str">
        <f>IFERROR( 'TABLA DE PRECIOS'!T27,"Sin Datos")</f>
        <v>Sin Datos</v>
      </c>
      <c r="C13" s="93" t="str">
        <f>IFERROR( 'TABLA DE PRECIOS'!V27,"Sin Datos")</f>
        <v>Sin Datos</v>
      </c>
      <c r="D13" s="91" t="str">
        <f>IFERROR( 'TABLA DE PRECIOS'!W27,"Sin Datos")</f>
        <v>Sin Datos</v>
      </c>
      <c r="E13" s="89" t="str">
        <f>IFERROR( 'TABLA DE PRECIOS'!X27,"Sin Datos")</f>
        <v>Sin Datos</v>
      </c>
      <c r="F13" s="87" t="str">
        <f>IFERROR( 'TABLA DE PRECIOS'!S27,"Sin Datos")</f>
        <v>Sin Datos</v>
      </c>
    </row>
    <row r="14" spans="1:6" ht="28.5" x14ac:dyDescent="0.2">
      <c r="A14" s="43" t="str">
        <f>IFERROR(SW[[#This Row],[NOMRE DEL PRODUCTO]],"Sin Datos")</f>
        <v>APAGADOR ZIGBEE BLANCO CON MARCO METAL 1  APAGADOR</v>
      </c>
      <c r="B14" s="94" t="str">
        <f>IFERROR( 'TABLA DE PRECIOS'!T28,"Sin Datos")</f>
        <v>Sin Datos</v>
      </c>
      <c r="C14" s="92" t="str">
        <f>IFERROR( 'TABLA DE PRECIOS'!V28,"Sin Datos")</f>
        <v>Sin Datos</v>
      </c>
      <c r="D14" s="90" t="str">
        <f>IFERROR( 'TABLA DE PRECIOS'!W28,"Sin Datos")</f>
        <v>Sin Datos</v>
      </c>
      <c r="E14" s="88" t="str">
        <f>IFERROR( 'TABLA DE PRECIOS'!X28,"Sin Datos")</f>
        <v>Sin Datos</v>
      </c>
      <c r="F14" s="86" t="str">
        <f>IFERROR( 'TABLA DE PRECIOS'!S28,"Sin Datos")</f>
        <v>Sin Datos</v>
      </c>
    </row>
    <row r="15" spans="1:6" ht="28.5" x14ac:dyDescent="0.2">
      <c r="A15" s="43" t="str">
        <f>IFERROR(SW[[#This Row],[NOMRE DEL PRODUCTO]],"Sin Datos")</f>
        <v>APAGADOR ZIGBEE NEGRO CON MARCO METAL 1 APAGADOR</v>
      </c>
      <c r="B15" s="95" t="str">
        <f>IFERROR( 'TABLA DE PRECIOS'!T29,"Sin Datos")</f>
        <v>Sin Datos</v>
      </c>
      <c r="C15" s="93" t="str">
        <f>IFERROR( 'TABLA DE PRECIOS'!V29,"Sin Datos")</f>
        <v>Sin Datos</v>
      </c>
      <c r="D15" s="91" t="str">
        <f>IFERROR( 'TABLA DE PRECIOS'!W29,"Sin Datos")</f>
        <v>Sin Datos</v>
      </c>
      <c r="E15" s="89" t="str">
        <f>IFERROR( 'TABLA DE PRECIOS'!X29,"Sin Datos")</f>
        <v>Sin Datos</v>
      </c>
      <c r="F15" s="87" t="str">
        <f>IFERROR( 'TABLA DE PRECIOS'!S29,"Sin Datos")</f>
        <v>Sin Datos</v>
      </c>
    </row>
    <row r="16" spans="1:6" x14ac:dyDescent="0.2">
      <c r="A16" s="43" t="str">
        <f>IFERROR(SW[[#This Row],[NOMRE DEL PRODUCTO]],"Sin Datos")</f>
        <v>APAGADOR WIFI +RADIO FRECUENCIA DE 2 APAGADOR</v>
      </c>
      <c r="B16" s="94" t="str">
        <f>IFERROR( 'TABLA DE PRECIOS'!T30,"Sin Datos")</f>
        <v>Sin Datos</v>
      </c>
      <c r="C16" s="92" t="str">
        <f>IFERROR( 'TABLA DE PRECIOS'!V30,"Sin Datos")</f>
        <v>Sin Datos</v>
      </c>
      <c r="D16" s="90" t="str">
        <f>IFERROR( 'TABLA DE PRECIOS'!W30,"Sin Datos")</f>
        <v>Sin Datos</v>
      </c>
      <c r="E16" s="88" t="str">
        <f>IFERROR( 'TABLA DE PRECIOS'!X30,"Sin Datos")</f>
        <v>Sin Datos</v>
      </c>
      <c r="F16" s="86" t="str">
        <f>IFERROR( 'TABLA DE PRECIOS'!S30,"Sin Datos")</f>
        <v>Sin Datos</v>
      </c>
    </row>
    <row r="17" spans="1:6" ht="28.5" x14ac:dyDescent="0.2">
      <c r="A17" s="43" t="str">
        <f>IFERROR(SW[[#This Row],[NOMRE DEL PRODUCTO]],"Sin Datos")</f>
        <v xml:space="preserve">APAGADOR ZIGBEE BLANCO CON MARCO PLACA CRISTAL 2 APAGADOR </v>
      </c>
      <c r="B17" s="95" t="str">
        <f>IFERROR( 'TABLA DE PRECIOS'!T31,"Sin Datos")</f>
        <v>Sin Datos</v>
      </c>
      <c r="C17" s="93" t="str">
        <f>IFERROR( 'TABLA DE PRECIOS'!V31,"Sin Datos")</f>
        <v>Sin Datos</v>
      </c>
      <c r="D17" s="91" t="str">
        <f>IFERROR( 'TABLA DE PRECIOS'!W31,"Sin Datos")</f>
        <v>Sin Datos</v>
      </c>
      <c r="E17" s="89" t="str">
        <f>IFERROR( 'TABLA DE PRECIOS'!X31,"Sin Datos")</f>
        <v>Sin Datos</v>
      </c>
      <c r="F17" s="87" t="str">
        <f>IFERROR( 'TABLA DE PRECIOS'!S31,"Sin Datos")</f>
        <v>Sin Datos</v>
      </c>
    </row>
    <row r="18" spans="1:6" ht="28.5" x14ac:dyDescent="0.2">
      <c r="A18" s="43" t="str">
        <f>IFERROR(SW[[#This Row],[NOMRE DEL PRODUCTO]],"Sin Datos")</f>
        <v xml:space="preserve">APAGADOR ZIGBEE NEGRO CON MARCO PLACA CRISTAL 2 APAGADOR </v>
      </c>
      <c r="B18" s="94" t="str">
        <f>IFERROR( 'TABLA DE PRECIOS'!T32,"Sin Datos")</f>
        <v>Sin Datos</v>
      </c>
      <c r="C18" s="92" t="str">
        <f>IFERROR( 'TABLA DE PRECIOS'!V32,"Sin Datos")</f>
        <v>Sin Datos</v>
      </c>
      <c r="D18" s="90" t="str">
        <f>IFERROR( 'TABLA DE PRECIOS'!W32,"Sin Datos")</f>
        <v>Sin Datos</v>
      </c>
      <c r="E18" s="88" t="str">
        <f>IFERROR( 'TABLA DE PRECIOS'!X32,"Sin Datos")</f>
        <v>Sin Datos</v>
      </c>
      <c r="F18" s="86" t="str">
        <f>IFERROR( 'TABLA DE PRECIOS'!S32,"Sin Datos")</f>
        <v>Sin Datos</v>
      </c>
    </row>
    <row r="19" spans="1:6" ht="28.5" x14ac:dyDescent="0.2">
      <c r="A19" s="43" t="str">
        <f>IFERROR(SW[[#This Row],[NOMRE DEL PRODUCTO]],"Sin Datos")</f>
        <v xml:space="preserve">APAGADOR ZIGBEE BLANCO CON MARCO METAL 2 APAGADOR </v>
      </c>
      <c r="B19" s="95" t="str">
        <f>IFERROR( 'TABLA DE PRECIOS'!T33,"Sin Datos")</f>
        <v>Sin Datos</v>
      </c>
      <c r="C19" s="93" t="str">
        <f>IFERROR( 'TABLA DE PRECIOS'!V33,"Sin Datos")</f>
        <v>Sin Datos</v>
      </c>
      <c r="D19" s="91" t="str">
        <f>IFERROR( 'TABLA DE PRECIOS'!W33,"Sin Datos")</f>
        <v>Sin Datos</v>
      </c>
      <c r="E19" s="89" t="str">
        <f>IFERROR( 'TABLA DE PRECIOS'!X33,"Sin Datos")</f>
        <v>Sin Datos</v>
      </c>
      <c r="F19" s="87" t="str">
        <f>IFERROR( 'TABLA DE PRECIOS'!S33,"Sin Datos")</f>
        <v>Sin Datos</v>
      </c>
    </row>
    <row r="20" spans="1:6" ht="28.5" x14ac:dyDescent="0.2">
      <c r="A20" s="43" t="str">
        <f>IFERROR(SW[[#This Row],[NOMRE DEL PRODUCTO]],"Sin Datos")</f>
        <v>APAGADOR ZIGBEE NEGRO CON MARCO METAL 2 APAGADOR</v>
      </c>
      <c r="B20" s="94" t="str">
        <f>IFERROR( 'TABLA DE PRECIOS'!T34,"Sin Datos")</f>
        <v>Sin Datos</v>
      </c>
      <c r="C20" s="92" t="str">
        <f>IFERROR( 'TABLA DE PRECIOS'!V34,"Sin Datos")</f>
        <v>Sin Datos</v>
      </c>
      <c r="D20" s="90" t="str">
        <f>IFERROR( 'TABLA DE PRECIOS'!W34,"Sin Datos")</f>
        <v>Sin Datos</v>
      </c>
      <c r="E20" s="88" t="str">
        <f>IFERROR( 'TABLA DE PRECIOS'!X34,"Sin Datos")</f>
        <v>Sin Datos</v>
      </c>
      <c r="F20" s="86" t="str">
        <f>IFERROR( 'TABLA DE PRECIOS'!S34,"Sin Datos")</f>
        <v>Sin Datos</v>
      </c>
    </row>
    <row r="21" spans="1:6" x14ac:dyDescent="0.2">
      <c r="A21" s="43" t="str">
        <f>IFERROR(SW[[#This Row],[NOMRE DEL PRODUCTO]],"Sin Datos")</f>
        <v>APAGADOR WIFI + RADIO FRECUENCIA DE 3 APAGADOR</v>
      </c>
      <c r="B21" s="95" t="str">
        <f>IFERROR( 'TABLA DE PRECIOS'!T35,"Sin Datos")</f>
        <v>Sin Datos</v>
      </c>
      <c r="C21" s="93" t="str">
        <f>IFERROR( 'TABLA DE PRECIOS'!V35,"Sin Datos")</f>
        <v>Sin Datos</v>
      </c>
      <c r="D21" s="91" t="str">
        <f>IFERROR( 'TABLA DE PRECIOS'!W35,"Sin Datos")</f>
        <v>Sin Datos</v>
      </c>
      <c r="E21" s="89" t="str">
        <f>IFERROR( 'TABLA DE PRECIOS'!X35,"Sin Datos")</f>
        <v>Sin Datos</v>
      </c>
      <c r="F21" s="87" t="str">
        <f>IFERROR( 'TABLA DE PRECIOS'!S35,"Sin Datos")</f>
        <v>Sin Datos</v>
      </c>
    </row>
    <row r="22" spans="1:6" ht="28.5" x14ac:dyDescent="0.2">
      <c r="A22" s="43" t="str">
        <f>IFERROR(SW[[#This Row],[NOMRE DEL PRODUCTO]],"Sin Datos")</f>
        <v>APAGADOR ZIGBEE BLANCO CON MARCO PLACA CRISTAL 3 APAGADOR</v>
      </c>
      <c r="B22" s="94" t="str">
        <f>IFERROR( 'TABLA DE PRECIOS'!T36,"Sin Datos")</f>
        <v>Sin Datos</v>
      </c>
      <c r="C22" s="92" t="str">
        <f>IFERROR( 'TABLA DE PRECIOS'!V36,"Sin Datos")</f>
        <v>Sin Datos</v>
      </c>
      <c r="D22" s="90" t="str">
        <f>IFERROR( 'TABLA DE PRECIOS'!W36,"Sin Datos")</f>
        <v>Sin Datos</v>
      </c>
      <c r="E22" s="88" t="str">
        <f>IFERROR( 'TABLA DE PRECIOS'!X36,"Sin Datos")</f>
        <v>Sin Datos</v>
      </c>
      <c r="F22" s="86" t="str">
        <f>IFERROR( 'TABLA DE PRECIOS'!S36,"Sin Datos")</f>
        <v>Sin Datos</v>
      </c>
    </row>
    <row r="23" spans="1:6" ht="28.5" x14ac:dyDescent="0.2">
      <c r="A23" s="43" t="str">
        <f>IFERROR(SW[[#This Row],[NOMRE DEL PRODUCTO]],"Sin Datos")</f>
        <v>APAGADOR ZIGBEE NEGRO CON MARCO PLACA CRISTAL 3 APAGADOR</v>
      </c>
      <c r="B23" s="95" t="str">
        <f>IFERROR( 'TABLA DE PRECIOS'!T37,"Sin Datos")</f>
        <v>Sin Datos</v>
      </c>
      <c r="C23" s="93" t="str">
        <f>IFERROR( 'TABLA DE PRECIOS'!V37,"Sin Datos")</f>
        <v>Sin Datos</v>
      </c>
      <c r="D23" s="91" t="str">
        <f>IFERROR( 'TABLA DE PRECIOS'!W37,"Sin Datos")</f>
        <v>Sin Datos</v>
      </c>
      <c r="E23" s="89" t="str">
        <f>IFERROR( 'TABLA DE PRECIOS'!X37,"Sin Datos")</f>
        <v>Sin Datos</v>
      </c>
      <c r="F23" s="87" t="str">
        <f>IFERROR( 'TABLA DE PRECIOS'!S37,"Sin Datos")</f>
        <v>Sin Datos</v>
      </c>
    </row>
    <row r="24" spans="1:6" ht="28.5" x14ac:dyDescent="0.2">
      <c r="A24" s="43" t="str">
        <f>IFERROR(SW[[#This Row],[NOMRE DEL PRODUCTO]],"Sin Datos")</f>
        <v>APAGADOR ZIGBEE BLANCO CON MARCO METAL 3 APAGADOR</v>
      </c>
      <c r="B24" s="94" t="str">
        <f>IFERROR( 'TABLA DE PRECIOS'!T38,"Sin Datos")</f>
        <v>Sin Datos</v>
      </c>
      <c r="C24" s="92" t="str">
        <f>IFERROR( 'TABLA DE PRECIOS'!V38,"Sin Datos")</f>
        <v>Sin Datos</v>
      </c>
      <c r="D24" s="90" t="str">
        <f>IFERROR( 'TABLA DE PRECIOS'!W38,"Sin Datos")</f>
        <v>Sin Datos</v>
      </c>
      <c r="E24" s="88" t="str">
        <f>IFERROR( 'TABLA DE PRECIOS'!X38,"Sin Datos")</f>
        <v>Sin Datos</v>
      </c>
      <c r="F24" s="86" t="str">
        <f>IFERROR( 'TABLA DE PRECIOS'!S38,"Sin Datos")</f>
        <v>Sin Datos</v>
      </c>
    </row>
    <row r="25" spans="1:6" x14ac:dyDescent="0.2">
      <c r="A25" s="43" t="str">
        <f>IFERROR(SW[[#This Row],[NOMRE DEL PRODUCTO]],"Sin Datos")</f>
        <v>APAGADOR ZIGBEE NEGRO MARCO METAL 3 APAGADOR</v>
      </c>
      <c r="B25" s="95" t="str">
        <f>IFERROR( 'TABLA DE PRECIOS'!T39,"Sin Datos")</f>
        <v>Sin Datos</v>
      </c>
      <c r="C25" s="93" t="str">
        <f>IFERROR( 'TABLA DE PRECIOS'!V39,"Sin Datos")</f>
        <v>Sin Datos</v>
      </c>
      <c r="D25" s="91" t="str">
        <f>IFERROR( 'TABLA DE PRECIOS'!W39,"Sin Datos")</f>
        <v>Sin Datos</v>
      </c>
      <c r="E25" s="89" t="str">
        <f>IFERROR( 'TABLA DE PRECIOS'!X39,"Sin Datos")</f>
        <v>Sin Datos</v>
      </c>
      <c r="F25" s="87" t="str">
        <f>IFERROR( 'TABLA DE PRECIOS'!S39,"Sin Datos")</f>
        <v>Sin Datos</v>
      </c>
    </row>
    <row r="26" spans="1:6" x14ac:dyDescent="0.2">
      <c r="A26" s="43" t="str">
        <f>IFERROR(SW[[#This Row],[NOMRE DEL PRODUCTO]],"Sin Datos")</f>
        <v xml:space="preserve"> APAGADOR SWITCH DIMEABLE BLANCO</v>
      </c>
      <c r="B26" s="94" t="str">
        <f>IFERROR( 'TABLA DE PRECIOS'!T40,"Sin Datos")</f>
        <v>Sin Datos</v>
      </c>
      <c r="C26" s="92" t="str">
        <f>IFERROR( 'TABLA DE PRECIOS'!V40,"Sin Datos")</f>
        <v>Sin Datos</v>
      </c>
      <c r="D26" s="90" t="str">
        <f>IFERROR( 'TABLA DE PRECIOS'!W40,"Sin Datos")</f>
        <v>Sin Datos</v>
      </c>
      <c r="E26" s="88" t="str">
        <f>IFERROR( 'TABLA DE PRECIOS'!X40,"Sin Datos")</f>
        <v>Sin Datos</v>
      </c>
      <c r="F26" s="86" t="str">
        <f>IFERROR( 'TABLA DE PRECIOS'!S40,"Sin Datos")</f>
        <v>Sin Datos</v>
      </c>
    </row>
    <row r="27" spans="1:6" x14ac:dyDescent="0.2">
      <c r="A27" s="43" t="str">
        <f>IFERROR(SW[[#This Row],[NOMRE DEL PRODUCTO]],"Sin Datos")</f>
        <v>APAGADOR ZIGBEE SWITCH BLANCO SENCILLO</v>
      </c>
      <c r="B27" s="95" t="str">
        <f>IFERROR( 'TABLA DE PRECIOS'!T41,"Sin Datos")</f>
        <v>Sin Datos</v>
      </c>
      <c r="C27" s="93" t="str">
        <f>IFERROR( 'TABLA DE PRECIOS'!V41,"Sin Datos")</f>
        <v>Sin Datos</v>
      </c>
      <c r="D27" s="91" t="str">
        <f>IFERROR( 'TABLA DE PRECIOS'!W41,"Sin Datos")</f>
        <v>Sin Datos</v>
      </c>
      <c r="E27" s="89" t="str">
        <f>IFERROR( 'TABLA DE PRECIOS'!X41,"Sin Datos")</f>
        <v>Sin Datos</v>
      </c>
      <c r="F27" s="87" t="str">
        <f>IFERROR( 'TABLA DE PRECIOS'!S41,"Sin Datos")</f>
        <v>Sin Datos</v>
      </c>
    </row>
    <row r="28" spans="1:6" x14ac:dyDescent="0.2">
      <c r="A28" s="43" t="str">
        <f>IFERROR(SW[[#This Row],[NOMRE DEL PRODUCTO]],"Sin Datos")</f>
        <v>APAGADOR TOUCH PARA ESPEJO</v>
      </c>
      <c r="B28" s="94" t="str">
        <f>IFERROR( 'TABLA DE PRECIOS'!T42,"Sin Datos")</f>
        <v>Sin Datos</v>
      </c>
      <c r="C28" s="92" t="str">
        <f>IFERROR( 'TABLA DE PRECIOS'!V42,"Sin Datos")</f>
        <v>Sin Datos</v>
      </c>
      <c r="D28" s="90" t="str">
        <f>IFERROR( 'TABLA DE PRECIOS'!W42,"Sin Datos")</f>
        <v>Sin Datos</v>
      </c>
      <c r="E28" s="88" t="str">
        <f>IFERROR( 'TABLA DE PRECIOS'!X42,"Sin Datos")</f>
        <v>Sin Datos</v>
      </c>
      <c r="F28" s="86" t="str">
        <f>IFERROR( 'TABLA DE PRECIOS'!S42,"Sin Datos")</f>
        <v>Sin Datos</v>
      </c>
    </row>
    <row r="29" spans="1:6" x14ac:dyDescent="0.2">
      <c r="A29" s="43" t="str">
        <f>IFERROR(SW[[#This Row],[NOMRE DEL PRODUCTO]],"Sin Datos")</f>
        <v>BANDA DEL SISTEMA A/2  ( METROS )</v>
      </c>
      <c r="B29" s="95" t="str">
        <f>IFERROR( 'TABLA DE PRECIOS'!T43,"Sin Datos")</f>
        <v>Sin Datos</v>
      </c>
      <c r="C29" s="93" t="str">
        <f>IFERROR( 'TABLA DE PRECIOS'!V43,"Sin Datos")</f>
        <v>Sin Datos</v>
      </c>
      <c r="D29" s="91" t="str">
        <f>IFERROR( 'TABLA DE PRECIOS'!W43,"Sin Datos")</f>
        <v>Sin Datos</v>
      </c>
      <c r="E29" s="89" t="str">
        <f>IFERROR( 'TABLA DE PRECIOS'!X43,"Sin Datos")</f>
        <v>Sin Datos</v>
      </c>
      <c r="F29" s="87" t="str">
        <f>IFERROR( 'TABLA DE PRECIOS'!S43,"Sin Datos")</f>
        <v>Sin Datos</v>
      </c>
    </row>
    <row r="30" spans="1:6" x14ac:dyDescent="0.2">
      <c r="A30" s="43" t="str">
        <f>IFERROR(SW[[#This Row],[NOMRE DEL PRODUCTO]],"Sin Datos")</f>
        <v xml:space="preserve">BATERIA 12V 9A </v>
      </c>
      <c r="B30" s="94" t="str">
        <f>IFERROR( 'TABLA DE PRECIOS'!T44,"Sin Datos")</f>
        <v>Sin Datos</v>
      </c>
      <c r="C30" s="92" t="str">
        <f>IFERROR( 'TABLA DE PRECIOS'!V44,"Sin Datos")</f>
        <v>Sin Datos</v>
      </c>
      <c r="D30" s="90" t="str">
        <f>IFERROR( 'TABLA DE PRECIOS'!W44,"Sin Datos")</f>
        <v>Sin Datos</v>
      </c>
      <c r="E30" s="88" t="str">
        <f>IFERROR( 'TABLA DE PRECIOS'!X44,"Sin Datos")</f>
        <v>Sin Datos</v>
      </c>
      <c r="F30" s="86" t="str">
        <f>IFERROR( 'TABLA DE PRECIOS'!S44,"Sin Datos")</f>
        <v>Sin Datos</v>
      </c>
    </row>
    <row r="31" spans="1:6" x14ac:dyDescent="0.2">
      <c r="A31" s="43" t="str">
        <f>IFERROR(SW[[#This Row],[NOMRE DEL PRODUCTO]],"Sin Datos")</f>
        <v xml:space="preserve">BESTCON INTERRUPTOR REMOTO </v>
      </c>
      <c r="B31" s="95" t="str">
        <f>IFERROR( 'TABLA DE PRECIOS'!T45,"Sin Datos")</f>
        <v>Sin Datos</v>
      </c>
      <c r="C31" s="93" t="str">
        <f>IFERROR( 'TABLA DE PRECIOS'!V45,"Sin Datos")</f>
        <v>Sin Datos</v>
      </c>
      <c r="D31" s="91" t="str">
        <f>IFERROR( 'TABLA DE PRECIOS'!W45,"Sin Datos")</f>
        <v>Sin Datos</v>
      </c>
      <c r="E31" s="89" t="str">
        <f>IFERROR( 'TABLA DE PRECIOS'!X45,"Sin Datos")</f>
        <v>Sin Datos</v>
      </c>
      <c r="F31" s="87" t="str">
        <f>IFERROR( 'TABLA DE PRECIOS'!S45,"Sin Datos")</f>
        <v>Sin Datos</v>
      </c>
    </row>
    <row r="32" spans="1:6" x14ac:dyDescent="0.2">
      <c r="A32" s="43" t="str">
        <f>IFERROR(SW[[#This Row],[NOMRE DEL PRODUCTO]],"Sin Datos")</f>
        <v>BRAKET EN U A280</v>
      </c>
      <c r="B32" s="94" t="str">
        <f>IFERROR( 'TABLA DE PRECIOS'!T46,"Sin Datos")</f>
        <v>Sin Datos</v>
      </c>
      <c r="C32" s="92" t="str">
        <f>IFERROR( 'TABLA DE PRECIOS'!V46,"Sin Datos")</f>
        <v>Sin Datos</v>
      </c>
      <c r="D32" s="90" t="str">
        <f>IFERROR( 'TABLA DE PRECIOS'!W46,"Sin Datos")</f>
        <v>Sin Datos</v>
      </c>
      <c r="E32" s="88" t="str">
        <f>IFERROR( 'TABLA DE PRECIOS'!X46,"Sin Datos")</f>
        <v>Sin Datos</v>
      </c>
      <c r="F32" s="86" t="str">
        <f>IFERROR( 'TABLA DE PRECIOS'!S46,"Sin Datos")</f>
        <v>Sin Datos</v>
      </c>
    </row>
    <row r="33" spans="1:6" x14ac:dyDescent="0.2">
      <c r="A33" s="43" t="str">
        <f>IFERROR(SW[[#This Row],[NOMRE DEL PRODUCTO]],"Sin Datos")</f>
        <v>BOTONERAS EN GENERAL</v>
      </c>
      <c r="B33" s="95" t="str">
        <f>IFERROR( 'TABLA DE PRECIOS'!T47,"Sin Datos")</f>
        <v>Sin Datos</v>
      </c>
      <c r="C33" s="93" t="str">
        <f>IFERROR( 'TABLA DE PRECIOS'!V47,"Sin Datos")</f>
        <v>Sin Datos</v>
      </c>
      <c r="D33" s="91" t="str">
        <f>IFERROR( 'TABLA DE PRECIOS'!W47,"Sin Datos")</f>
        <v>Sin Datos</v>
      </c>
      <c r="E33" s="89" t="str">
        <f>IFERROR( 'TABLA DE PRECIOS'!X47,"Sin Datos")</f>
        <v>Sin Datos</v>
      </c>
      <c r="F33" s="87" t="str">
        <f>IFERROR( 'TABLA DE PRECIOS'!S47,"Sin Datos")</f>
        <v>Sin Datos</v>
      </c>
    </row>
    <row r="34" spans="1:6" x14ac:dyDescent="0.2">
      <c r="A34" s="43" t="str">
        <f>IFERROR(SW[[#This Row],[NOMRE DEL PRODUCTO]],"Sin Datos")</f>
        <v>BOTON DORADO WIFI</v>
      </c>
      <c r="B34" s="94" t="str">
        <f>IFERROR( 'TABLA DE PRECIOS'!T48,"Sin Datos")</f>
        <v>Sin Datos</v>
      </c>
      <c r="C34" s="92" t="str">
        <f>IFERROR( 'TABLA DE PRECIOS'!V48,"Sin Datos")</f>
        <v>Sin Datos</v>
      </c>
      <c r="D34" s="90" t="str">
        <f>IFERROR( 'TABLA DE PRECIOS'!W48,"Sin Datos")</f>
        <v>Sin Datos</v>
      </c>
      <c r="E34" s="88" t="str">
        <f>IFERROR( 'TABLA DE PRECIOS'!X48,"Sin Datos")</f>
        <v>Sin Datos</v>
      </c>
      <c r="F34" s="86" t="str">
        <f>IFERROR( 'TABLA DE PRECIOS'!S48,"Sin Datos")</f>
        <v>Sin Datos</v>
      </c>
    </row>
    <row r="35" spans="1:6" x14ac:dyDescent="0.2">
      <c r="A35" s="43" t="str">
        <f>IFERROR(SW[[#This Row],[NOMRE DEL PRODUCTO]],"Sin Datos")</f>
        <v>BOTON NO TOUCH</v>
      </c>
      <c r="B35" s="95" t="str">
        <f>IFERROR( 'TABLA DE PRECIOS'!T49,"Sin Datos")</f>
        <v>Sin Datos</v>
      </c>
      <c r="C35" s="93" t="str">
        <f>IFERROR( 'TABLA DE PRECIOS'!V49,"Sin Datos")</f>
        <v>Sin Datos</v>
      </c>
      <c r="D35" s="91" t="str">
        <f>IFERROR( 'TABLA DE PRECIOS'!W49,"Sin Datos")</f>
        <v>Sin Datos</v>
      </c>
      <c r="E35" s="89" t="str">
        <f>IFERROR( 'TABLA DE PRECIOS'!X49,"Sin Datos")</f>
        <v>Sin Datos</v>
      </c>
      <c r="F35" s="87" t="str">
        <f>IFERROR( 'TABLA DE PRECIOS'!S49,"Sin Datos")</f>
        <v>Sin Datos</v>
      </c>
    </row>
    <row r="36" spans="1:6" x14ac:dyDescent="0.2">
      <c r="A36" s="43" t="str">
        <f>IFERROR(SW[[#This Row],[NOMRE DEL PRODUCTO]],"Sin Datos")</f>
        <v>BOTON PUSH D-001</v>
      </c>
      <c r="B36" s="94" t="str">
        <f>IFERROR( 'TABLA DE PRECIOS'!T50,"Sin Datos")</f>
        <v>Sin Datos</v>
      </c>
      <c r="C36" s="92" t="str">
        <f>IFERROR( 'TABLA DE PRECIOS'!V50,"Sin Datos")</f>
        <v>Sin Datos</v>
      </c>
      <c r="D36" s="90" t="str">
        <f>IFERROR( 'TABLA DE PRECIOS'!W50,"Sin Datos")</f>
        <v>Sin Datos</v>
      </c>
      <c r="E36" s="88" t="str">
        <f>IFERROR( 'TABLA DE PRECIOS'!X50,"Sin Datos")</f>
        <v>Sin Datos</v>
      </c>
      <c r="F36" s="86" t="str">
        <f>IFERROR( 'TABLA DE PRECIOS'!S50,"Sin Datos")</f>
        <v>Sin Datos</v>
      </c>
    </row>
    <row r="37" spans="1:6" x14ac:dyDescent="0.2">
      <c r="A37" s="43" t="str">
        <f>IFERROR(SW[[#This Row],[NOMRE DEL PRODUCTO]],"Sin Datos")</f>
        <v>BOTON DE SALIDA</v>
      </c>
      <c r="B37" s="95" t="str">
        <f>IFERROR( 'TABLA DE PRECIOS'!T51,"Sin Datos")</f>
        <v>Sin Datos</v>
      </c>
      <c r="C37" s="93" t="str">
        <f>IFERROR( 'TABLA DE PRECIOS'!V51,"Sin Datos")</f>
        <v>Sin Datos</v>
      </c>
      <c r="D37" s="91" t="str">
        <f>IFERROR( 'TABLA DE PRECIOS'!W51,"Sin Datos")</f>
        <v>Sin Datos</v>
      </c>
      <c r="E37" s="89" t="str">
        <f>IFERROR( 'TABLA DE PRECIOS'!X51,"Sin Datos")</f>
        <v>Sin Datos</v>
      </c>
      <c r="F37" s="87" t="str">
        <f>IFERROR( 'TABLA DE PRECIOS'!S51,"Sin Datos")</f>
        <v>Sin Datos</v>
      </c>
    </row>
    <row r="38" spans="1:6" x14ac:dyDescent="0.2">
      <c r="A38" s="43" t="str">
        <f>IFERROR(SW[[#This Row],[NOMRE DEL PRODUCTO]],"Sin Datos")</f>
        <v xml:space="preserve">BOTONERA DE GAJOS DE NARANJA </v>
      </c>
      <c r="B38" s="94" t="str">
        <f>IFERROR( 'TABLA DE PRECIOS'!T52,"Sin Datos")</f>
        <v>Sin Datos</v>
      </c>
      <c r="C38" s="92" t="str">
        <f>IFERROR( 'TABLA DE PRECIOS'!V52,"Sin Datos")</f>
        <v>Sin Datos</v>
      </c>
      <c r="D38" s="90" t="str">
        <f>IFERROR( 'TABLA DE PRECIOS'!W52,"Sin Datos")</f>
        <v>Sin Datos</v>
      </c>
      <c r="E38" s="88" t="str">
        <f>IFERROR( 'TABLA DE PRECIOS'!X52,"Sin Datos")</f>
        <v>Sin Datos</v>
      </c>
      <c r="F38" s="86" t="str">
        <f>IFERROR( 'TABLA DE PRECIOS'!S52,"Sin Datos")</f>
        <v>Sin Datos</v>
      </c>
    </row>
    <row r="39" spans="1:6" ht="28.5" x14ac:dyDescent="0.2">
      <c r="A39" s="43" t="str">
        <f>IFERROR(SW[[#This Row],[NOMRE DEL PRODUCTO]],"Sin Datos")</f>
        <v>BOTONERA WIFI Y CONTROL REMOTO CAJA NARANJA /PEQUIPOS Juego 2</v>
      </c>
      <c r="B39" s="95" t="str">
        <f>IFERROR( 'TABLA DE PRECIOS'!T53,"Sin Datos")</f>
        <v>Sin Datos</v>
      </c>
      <c r="C39" s="93" t="str">
        <f>IFERROR( 'TABLA DE PRECIOS'!V53,"Sin Datos")</f>
        <v>Sin Datos</v>
      </c>
      <c r="D39" s="91" t="str">
        <f>IFERROR( 'TABLA DE PRECIOS'!W53,"Sin Datos")</f>
        <v>Sin Datos</v>
      </c>
      <c r="E39" s="89" t="str">
        <f>IFERROR( 'TABLA DE PRECIOS'!X53,"Sin Datos")</f>
        <v>Sin Datos</v>
      </c>
      <c r="F39" s="87" t="str">
        <f>IFERROR( 'TABLA DE PRECIOS'!S53,"Sin Datos")</f>
        <v>Sin Datos</v>
      </c>
    </row>
    <row r="40" spans="1:6" x14ac:dyDescent="0.2">
      <c r="A40" s="43" t="str">
        <f>IFERROR(SW[[#This Row],[NOMRE DEL PRODUCTO]],"Sin Datos")</f>
        <v>BOTONERA WIFI y RADIO FRECUENCIA</v>
      </c>
      <c r="B40" s="94" t="str">
        <f>IFERROR( 'TABLA DE PRECIOS'!T54,"Sin Datos")</f>
        <v>Sin Datos</v>
      </c>
      <c r="C40" s="92" t="str">
        <f>IFERROR( 'TABLA DE PRECIOS'!V54,"Sin Datos")</f>
        <v>Sin Datos</v>
      </c>
      <c r="D40" s="90" t="str">
        <f>IFERROR( 'TABLA DE PRECIOS'!W54,"Sin Datos")</f>
        <v>Sin Datos</v>
      </c>
      <c r="E40" s="88" t="str">
        <f>IFERROR( 'TABLA DE PRECIOS'!X54,"Sin Datos")</f>
        <v>Sin Datos</v>
      </c>
      <c r="F40" s="86" t="str">
        <f>IFERROR( 'TABLA DE PRECIOS'!S54,"Sin Datos")</f>
        <v>Sin Datos</v>
      </c>
    </row>
    <row r="41" spans="1:6" x14ac:dyDescent="0.2">
      <c r="A41" s="43" t="str">
        <f>IFERROR(SW[[#This Row],[NOMRE DEL PRODUCTO]],"Sin Datos")</f>
        <v>BOTONERA WIFI TACTIL</v>
      </c>
      <c r="B41" s="95" t="str">
        <f>IFERROR( 'TABLA DE PRECIOS'!T55,"Sin Datos")</f>
        <v>Sin Datos</v>
      </c>
      <c r="C41" s="93" t="str">
        <f>IFERROR( 'TABLA DE PRECIOS'!V55,"Sin Datos")</f>
        <v>Sin Datos</v>
      </c>
      <c r="D41" s="91" t="str">
        <f>IFERROR( 'TABLA DE PRECIOS'!W55,"Sin Datos")</f>
        <v>Sin Datos</v>
      </c>
      <c r="E41" s="89" t="str">
        <f>IFERROR( 'TABLA DE PRECIOS'!X55,"Sin Datos")</f>
        <v>Sin Datos</v>
      </c>
      <c r="F41" s="87" t="str">
        <f>IFERROR( 'TABLA DE PRECIOS'!S55,"Sin Datos")</f>
        <v>Sin Datos</v>
      </c>
    </row>
    <row r="42" spans="1:6" x14ac:dyDescent="0.2">
      <c r="A42" s="43" t="str">
        <f>IFERROR(SW[[#This Row],[NOMRE DEL PRODUCTO]],"Sin Datos")</f>
        <v>BRIDGE SONOFF CONVERTIDOR</v>
      </c>
      <c r="B42" s="94" t="str">
        <f>IFERROR( 'TABLA DE PRECIOS'!T56,"Sin Datos")</f>
        <v>Sin Datos</v>
      </c>
      <c r="C42" s="92" t="str">
        <f>IFERROR( 'TABLA DE PRECIOS'!V56,"Sin Datos")</f>
        <v>Sin Datos</v>
      </c>
      <c r="D42" s="90" t="str">
        <f>IFERROR( 'TABLA DE PRECIOS'!W56,"Sin Datos")</f>
        <v>Sin Datos</v>
      </c>
      <c r="E42" s="88" t="str">
        <f>IFERROR( 'TABLA DE PRECIOS'!X56,"Sin Datos")</f>
        <v>Sin Datos</v>
      </c>
      <c r="F42" s="86" t="str">
        <f>IFERROR( 'TABLA DE PRECIOS'!S56,"Sin Datos")</f>
        <v>Sin Datos</v>
      </c>
    </row>
    <row r="43" spans="1:6" x14ac:dyDescent="0.2">
      <c r="A43" s="43" t="str">
        <f>IFERROR(SW[[#This Row],[NOMRE DEL PRODUCTO]],"Sin Datos")</f>
        <v>BRIDGE SONOFF MINI</v>
      </c>
      <c r="B43" s="95" t="str">
        <f>IFERROR( 'TABLA DE PRECIOS'!T57,"Sin Datos")</f>
        <v>Sin Datos</v>
      </c>
      <c r="C43" s="93" t="str">
        <f>IFERROR( 'TABLA DE PRECIOS'!V57,"Sin Datos")</f>
        <v>Sin Datos</v>
      </c>
      <c r="D43" s="91" t="str">
        <f>IFERROR( 'TABLA DE PRECIOS'!W57,"Sin Datos")</f>
        <v>Sin Datos</v>
      </c>
      <c r="E43" s="89" t="str">
        <f>IFERROR( 'TABLA DE PRECIOS'!X57,"Sin Datos")</f>
        <v>Sin Datos</v>
      </c>
      <c r="F43" s="87" t="str">
        <f>IFERROR( 'TABLA DE PRECIOS'!S57,"Sin Datos")</f>
        <v>Sin Datos</v>
      </c>
    </row>
    <row r="44" spans="1:6" x14ac:dyDescent="0.2">
      <c r="A44" s="43" t="str">
        <f>IFERROR(SW[[#This Row],[NOMRE DEL PRODUCTO]],"Sin Datos")</f>
        <v>BROADLINK</v>
      </c>
      <c r="B44" s="94" t="str">
        <f>IFERROR( 'TABLA DE PRECIOS'!T58,"Sin Datos")</f>
        <v>Sin Datos</v>
      </c>
      <c r="C44" s="92" t="str">
        <f>IFERROR( 'TABLA DE PRECIOS'!V58,"Sin Datos")</f>
        <v>Sin Datos</v>
      </c>
      <c r="D44" s="90" t="str">
        <f>IFERROR( 'TABLA DE PRECIOS'!W58,"Sin Datos")</f>
        <v>Sin Datos</v>
      </c>
      <c r="E44" s="88" t="str">
        <f>IFERROR( 'TABLA DE PRECIOS'!X58,"Sin Datos")</f>
        <v>Sin Datos</v>
      </c>
      <c r="F44" s="86" t="str">
        <f>IFERROR( 'TABLA DE PRECIOS'!S58,"Sin Datos")</f>
        <v>Sin Datos</v>
      </c>
    </row>
    <row r="45" spans="1:6" x14ac:dyDescent="0.2">
      <c r="A45" s="43" t="str">
        <f>IFERROR(SW[[#This Row],[NOMRE DEL PRODUCTO]],"Sin Datos")</f>
        <v xml:space="preserve">CABEZAL YSD 100F (PIEZAS) </v>
      </c>
      <c r="B45" s="95">
        <f>IFERROR( 'TABLA DE PRECIOS'!T59,"Sin Datos")</f>
        <v>20383.372035398228</v>
      </c>
      <c r="C45" s="93">
        <f>IFERROR( 'TABLA DE PRECIOS'!V59,"Sin Datos")</f>
        <v>23237.044120353981</v>
      </c>
      <c r="D45" s="91">
        <f>IFERROR( 'TABLA DE PRECIOS'!W59,"Sin Datos")</f>
        <v>24460.046442477873</v>
      </c>
      <c r="E45" s="89">
        <f>IFERROR( 'TABLA DE PRECIOS'!X59,"Sin Datos")</f>
        <v>32778.622047150435</v>
      </c>
      <c r="F45" s="87">
        <f>IFERROR( 'TABLA DE PRECIOS'!S59,"Sin Datos")</f>
        <v>13588.914690265487</v>
      </c>
    </row>
    <row r="46" spans="1:6" x14ac:dyDescent="0.2">
      <c r="A46" s="43" t="str">
        <f>IFERROR(SW[[#This Row],[NOMRE DEL PRODUCTO]],"Sin Datos")</f>
        <v>CABEZAL YSD 100F (RIELES)</v>
      </c>
      <c r="B46" s="94">
        <f>IFERROR( 'TABLA DE PRECIOS'!T60,"Sin Datos")</f>
        <v>18268.97625</v>
      </c>
      <c r="C46" s="92">
        <f>IFERROR( 'TABLA DE PRECIOS'!V60,"Sin Datos")</f>
        <v>20826.632924999998</v>
      </c>
      <c r="D46" s="90">
        <f>IFERROR( 'TABLA DE PRECIOS'!W60,"Sin Datos")</f>
        <v>21922.771499999999</v>
      </c>
      <c r="E46" s="88">
        <f>IFERROR( 'TABLA DE PRECIOS'!X60,"Sin Datos")</f>
        <v>29388.822723999998</v>
      </c>
      <c r="F46" s="86">
        <f>IFERROR( 'TABLA DE PRECIOS'!S60,"Sin Datos")</f>
        <v>12179.317500000001</v>
      </c>
    </row>
    <row r="47" spans="1:6" x14ac:dyDescent="0.2">
      <c r="A47" s="43" t="str">
        <f>IFERROR(SW[[#This Row],[NOMRE DEL PRODUCTO]],"Sin Datos")</f>
        <v>CABLE SENSOR DE TEMPERATURA Y HUMEDAD SB-001</v>
      </c>
      <c r="B47" s="95" t="str">
        <f>IFERROR( 'TABLA DE PRECIOS'!T61,"Sin Datos")</f>
        <v>Sin Datos</v>
      </c>
      <c r="C47" s="93" t="str">
        <f>IFERROR( 'TABLA DE PRECIOS'!V61,"Sin Datos")</f>
        <v>Sin Datos</v>
      </c>
      <c r="D47" s="91" t="str">
        <f>IFERROR( 'TABLA DE PRECIOS'!W61,"Sin Datos")</f>
        <v>Sin Datos</v>
      </c>
      <c r="E47" s="89" t="str">
        <f>IFERROR( 'TABLA DE PRECIOS'!X61,"Sin Datos")</f>
        <v>Sin Datos</v>
      </c>
      <c r="F47" s="87" t="str">
        <f>IFERROR( 'TABLA DE PRECIOS'!S61,"Sin Datos")</f>
        <v>Sin Datos</v>
      </c>
    </row>
    <row r="48" spans="1:6" x14ac:dyDescent="0.2">
      <c r="A48" s="43" t="str">
        <f>IFERROR(SW[[#This Row],[NOMRE DEL PRODUCTO]],"Sin Datos")</f>
        <v>CABLE HDMI</v>
      </c>
      <c r="B48" s="94" t="str">
        <f>IFERROR( 'TABLA DE PRECIOS'!T62,"Sin Datos")</f>
        <v>Sin Datos</v>
      </c>
      <c r="C48" s="92" t="str">
        <f>IFERROR( 'TABLA DE PRECIOS'!V62,"Sin Datos")</f>
        <v>Sin Datos</v>
      </c>
      <c r="D48" s="90" t="str">
        <f>IFERROR( 'TABLA DE PRECIOS'!W62,"Sin Datos")</f>
        <v>Sin Datos</v>
      </c>
      <c r="E48" s="88" t="str">
        <f>IFERROR( 'TABLA DE PRECIOS'!X62,"Sin Datos")</f>
        <v>Sin Datos</v>
      </c>
      <c r="F48" s="86" t="str">
        <f>IFERROR( 'TABLA DE PRECIOS'!S62,"Sin Datos")</f>
        <v>Sin Datos</v>
      </c>
    </row>
    <row r="49" spans="1:6" x14ac:dyDescent="0.2">
      <c r="A49" s="43" t="str">
        <f>IFERROR(SW[[#This Row],[NOMRE DEL PRODUCTO]],"Sin Datos")</f>
        <v>CAJA P/BATERIA  FUENTE DE ALIMENTACION GK1205</v>
      </c>
      <c r="B49" s="95" t="str">
        <f>IFERROR( 'TABLA DE PRECIOS'!T63,"Sin Datos")</f>
        <v>Sin Datos</v>
      </c>
      <c r="C49" s="93" t="str">
        <f>IFERROR( 'TABLA DE PRECIOS'!V63,"Sin Datos")</f>
        <v>Sin Datos</v>
      </c>
      <c r="D49" s="91" t="str">
        <f>IFERROR( 'TABLA DE PRECIOS'!W63,"Sin Datos")</f>
        <v>Sin Datos</v>
      </c>
      <c r="E49" s="89" t="str">
        <f>IFERROR( 'TABLA DE PRECIOS'!X63,"Sin Datos")</f>
        <v>Sin Datos</v>
      </c>
      <c r="F49" s="87" t="str">
        <f>IFERROR( 'TABLA DE PRECIOS'!S63,"Sin Datos")</f>
        <v>Sin Datos</v>
      </c>
    </row>
    <row r="50" spans="1:6" x14ac:dyDescent="0.2">
      <c r="A50" s="43" t="str">
        <f>IFERROR(SW[[#This Row],[NOMRE DEL PRODUCTO]],"Sin Datos")</f>
        <v>CAJA TAPAS DE GRAPA SOPORTE</v>
      </c>
      <c r="B50" s="94" t="str">
        <f>IFERROR( 'TABLA DE PRECIOS'!T64,"Sin Datos")</f>
        <v>Sin Datos</v>
      </c>
      <c r="C50" s="92" t="str">
        <f>IFERROR( 'TABLA DE PRECIOS'!V64,"Sin Datos")</f>
        <v>Sin Datos</v>
      </c>
      <c r="D50" s="90" t="str">
        <f>IFERROR( 'TABLA DE PRECIOS'!W64,"Sin Datos")</f>
        <v>Sin Datos</v>
      </c>
      <c r="E50" s="88" t="str">
        <f>IFERROR( 'TABLA DE PRECIOS'!X64,"Sin Datos")</f>
        <v>Sin Datos</v>
      </c>
      <c r="F50" s="86" t="str">
        <f>IFERROR( 'TABLA DE PRECIOS'!S64,"Sin Datos")</f>
        <v>Sin Datos</v>
      </c>
    </row>
    <row r="51" spans="1:6" x14ac:dyDescent="0.2">
      <c r="A51" s="43" t="str">
        <f>IFERROR(SW[[#This Row],[NOMRE DEL PRODUCTO]],"Sin Datos")</f>
        <v>CAMARA ESPIA EN SOQUET</v>
      </c>
      <c r="B51" s="95" t="str">
        <f>IFERROR( 'TABLA DE PRECIOS'!T65,"Sin Datos")</f>
        <v>Sin Datos</v>
      </c>
      <c r="C51" s="93" t="str">
        <f>IFERROR( 'TABLA DE PRECIOS'!V65,"Sin Datos")</f>
        <v>Sin Datos</v>
      </c>
      <c r="D51" s="91" t="str">
        <f>IFERROR( 'TABLA DE PRECIOS'!W65,"Sin Datos")</f>
        <v>Sin Datos</v>
      </c>
      <c r="E51" s="89" t="str">
        <f>IFERROR( 'TABLA DE PRECIOS'!X65,"Sin Datos")</f>
        <v>Sin Datos</v>
      </c>
      <c r="F51" s="87" t="str">
        <f>IFERROR( 'TABLA DE PRECIOS'!S65,"Sin Datos")</f>
        <v>Sin Datos</v>
      </c>
    </row>
    <row r="52" spans="1:6" x14ac:dyDescent="0.2">
      <c r="A52" s="43" t="str">
        <f>IFERROR(SW[[#This Row],[NOMRE DEL PRODUCTO]],"Sin Datos")</f>
        <v xml:space="preserve">CARRETILLA PARA CANCEL </v>
      </c>
      <c r="B52" s="94" t="str">
        <f>IFERROR( 'TABLA DE PRECIOS'!T66,"Sin Datos")</f>
        <v>Sin Datos</v>
      </c>
      <c r="C52" s="92" t="str">
        <f>IFERROR( 'TABLA DE PRECIOS'!V66,"Sin Datos")</f>
        <v>Sin Datos</v>
      </c>
      <c r="D52" s="90" t="str">
        <f>IFERROR( 'TABLA DE PRECIOS'!W66,"Sin Datos")</f>
        <v>Sin Datos</v>
      </c>
      <c r="E52" s="88" t="str">
        <f>IFERROR( 'TABLA DE PRECIOS'!X66,"Sin Datos")</f>
        <v>Sin Datos</v>
      </c>
      <c r="F52" s="86" t="str">
        <f>IFERROR( 'TABLA DE PRECIOS'!S66,"Sin Datos")</f>
        <v>Sin Datos</v>
      </c>
    </row>
    <row r="53" spans="1:6" x14ac:dyDescent="0.2">
      <c r="A53" s="43" t="str">
        <f>IFERROR(SW[[#This Row],[NOMRE DEL PRODUCTO]],"Sin Datos")</f>
        <v xml:space="preserve">CERRADURA BIOMETRICA DE HUELLA </v>
      </c>
      <c r="B53" s="95" t="str">
        <f>IFERROR( 'TABLA DE PRECIOS'!T67,"Sin Datos")</f>
        <v>Sin Datos</v>
      </c>
      <c r="C53" s="93" t="str">
        <f>IFERROR( 'TABLA DE PRECIOS'!V67,"Sin Datos")</f>
        <v>Sin Datos</v>
      </c>
      <c r="D53" s="91" t="str">
        <f>IFERROR( 'TABLA DE PRECIOS'!W67,"Sin Datos")</f>
        <v>Sin Datos</v>
      </c>
      <c r="E53" s="89" t="str">
        <f>IFERROR( 'TABLA DE PRECIOS'!X67,"Sin Datos")</f>
        <v>Sin Datos</v>
      </c>
      <c r="F53" s="87" t="str">
        <f>IFERROR( 'TABLA DE PRECIOS'!S67,"Sin Datos")</f>
        <v>Sin Datos</v>
      </c>
    </row>
    <row r="54" spans="1:6" x14ac:dyDescent="0.2">
      <c r="A54" s="43" t="str">
        <f>IFERROR(SW[[#This Row],[NOMRE DEL PRODUCTO]],"Sin Datos")</f>
        <v>CERRADURA CONTRASEÑA DE HUELLA</v>
      </c>
      <c r="B54" s="94" t="str">
        <f>IFERROR( 'TABLA DE PRECIOS'!T68,"Sin Datos")</f>
        <v>Sin Datos</v>
      </c>
      <c r="C54" s="92" t="str">
        <f>IFERROR( 'TABLA DE PRECIOS'!V68,"Sin Datos")</f>
        <v>Sin Datos</v>
      </c>
      <c r="D54" s="90" t="str">
        <f>IFERROR( 'TABLA DE PRECIOS'!W68,"Sin Datos")</f>
        <v>Sin Datos</v>
      </c>
      <c r="E54" s="88" t="str">
        <f>IFERROR( 'TABLA DE PRECIOS'!X68,"Sin Datos")</f>
        <v>Sin Datos</v>
      </c>
      <c r="F54" s="86" t="str">
        <f>IFERROR( 'TABLA DE PRECIOS'!S68,"Sin Datos")</f>
        <v>Sin Datos</v>
      </c>
    </row>
    <row r="55" spans="1:6" x14ac:dyDescent="0.2">
      <c r="A55" s="43" t="str">
        <f>IFERROR(SW[[#This Row],[NOMRE DEL PRODUCTO]],"Sin Datos")</f>
        <v>CERRADURA ELECTRONICA 5 EN 1  CHICA</v>
      </c>
      <c r="B55" s="95" t="str">
        <f>IFERROR( 'TABLA DE PRECIOS'!T69,"Sin Datos")</f>
        <v>Sin Datos</v>
      </c>
      <c r="C55" s="93" t="str">
        <f>IFERROR( 'TABLA DE PRECIOS'!V69,"Sin Datos")</f>
        <v>Sin Datos</v>
      </c>
      <c r="D55" s="91" t="str">
        <f>IFERROR( 'TABLA DE PRECIOS'!W69,"Sin Datos")</f>
        <v>Sin Datos</v>
      </c>
      <c r="E55" s="89" t="str">
        <f>IFERROR( 'TABLA DE PRECIOS'!X69,"Sin Datos")</f>
        <v>Sin Datos</v>
      </c>
      <c r="F55" s="87" t="str">
        <f>IFERROR( 'TABLA DE PRECIOS'!S69,"Sin Datos")</f>
        <v>Sin Datos</v>
      </c>
    </row>
    <row r="56" spans="1:6" x14ac:dyDescent="0.2">
      <c r="A56" s="43" t="str">
        <f>IFERROR(SW[[#This Row],[NOMRE DEL PRODUCTO]],"Sin Datos")</f>
        <v>CERRADURA ELECTRONICA 5 EN 1 GRANDE</v>
      </c>
      <c r="B56" s="94" t="str">
        <f>IFERROR( 'TABLA DE PRECIOS'!T70,"Sin Datos")</f>
        <v>Sin Datos</v>
      </c>
      <c r="C56" s="92" t="str">
        <f>IFERROR( 'TABLA DE PRECIOS'!V70,"Sin Datos")</f>
        <v>Sin Datos</v>
      </c>
      <c r="D56" s="90" t="str">
        <f>IFERROR( 'TABLA DE PRECIOS'!W70,"Sin Datos")</f>
        <v>Sin Datos</v>
      </c>
      <c r="E56" s="88" t="str">
        <f>IFERROR( 'TABLA DE PRECIOS'!X70,"Sin Datos")</f>
        <v>Sin Datos</v>
      </c>
      <c r="F56" s="86" t="str">
        <f>IFERROR( 'TABLA DE PRECIOS'!S70,"Sin Datos")</f>
        <v>Sin Datos</v>
      </c>
    </row>
    <row r="57" spans="1:6" x14ac:dyDescent="0.2">
      <c r="A57" s="43" t="str">
        <f>IFERROR(SW[[#This Row],[NOMRE DEL PRODUCTO]],"Sin Datos")</f>
        <v>CERRADURA ELECTROMAGNETICA GK-11</v>
      </c>
      <c r="B57" s="95" t="str">
        <f>IFERROR( 'TABLA DE PRECIOS'!T71,"Sin Datos")</f>
        <v>Sin Datos</v>
      </c>
      <c r="C57" s="93" t="str">
        <f>IFERROR( 'TABLA DE PRECIOS'!V71,"Sin Datos")</f>
        <v>Sin Datos</v>
      </c>
      <c r="D57" s="91" t="str">
        <f>IFERROR( 'TABLA DE PRECIOS'!W71,"Sin Datos")</f>
        <v>Sin Datos</v>
      </c>
      <c r="E57" s="89" t="str">
        <f>IFERROR( 'TABLA DE PRECIOS'!X71,"Sin Datos")</f>
        <v>Sin Datos</v>
      </c>
      <c r="F57" s="87" t="str">
        <f>IFERROR( 'TABLA DE PRECIOS'!S71,"Sin Datos")</f>
        <v>Sin Datos</v>
      </c>
    </row>
    <row r="58" spans="1:6" x14ac:dyDescent="0.2">
      <c r="A58" s="43" t="str">
        <f>IFERROR(SW[[#This Row],[NOMRE DEL PRODUCTO]],"Sin Datos")</f>
        <v>CERRADURA ELECTROMAGNETICA GK-5818G</v>
      </c>
      <c r="B58" s="94" t="str">
        <f>IFERROR( 'TABLA DE PRECIOS'!T72,"Sin Datos")</f>
        <v>Sin Datos</v>
      </c>
      <c r="C58" s="92" t="str">
        <f>IFERROR( 'TABLA DE PRECIOS'!V72,"Sin Datos")</f>
        <v>Sin Datos</v>
      </c>
      <c r="D58" s="90" t="str">
        <f>IFERROR( 'TABLA DE PRECIOS'!W72,"Sin Datos")</f>
        <v>Sin Datos</v>
      </c>
      <c r="E58" s="88" t="str">
        <f>IFERROR( 'TABLA DE PRECIOS'!X72,"Sin Datos")</f>
        <v>Sin Datos</v>
      </c>
      <c r="F58" s="86" t="str">
        <f>IFERROR( 'TABLA DE PRECIOS'!S72,"Sin Datos")</f>
        <v>Sin Datos</v>
      </c>
    </row>
    <row r="59" spans="1:6" x14ac:dyDescent="0.2">
      <c r="A59" s="43" t="str">
        <f>IFERROR(SW[[#This Row],[NOMRE DEL PRODUCTO]],"Sin Datos")</f>
        <v>CERRADURA ELECTRONICA PARA VIDRIO</v>
      </c>
      <c r="B59" s="95" t="str">
        <f>IFERROR( 'TABLA DE PRECIOS'!T73,"Sin Datos")</f>
        <v>Sin Datos</v>
      </c>
      <c r="C59" s="93" t="str">
        <f>IFERROR( 'TABLA DE PRECIOS'!V73,"Sin Datos")</f>
        <v>Sin Datos</v>
      </c>
      <c r="D59" s="91" t="str">
        <f>IFERROR( 'TABLA DE PRECIOS'!W73,"Sin Datos")</f>
        <v>Sin Datos</v>
      </c>
      <c r="E59" s="89" t="str">
        <f>IFERROR( 'TABLA DE PRECIOS'!X73,"Sin Datos")</f>
        <v>Sin Datos</v>
      </c>
      <c r="F59" s="87" t="str">
        <f>IFERROR( 'TABLA DE PRECIOS'!S73,"Sin Datos")</f>
        <v>Sin Datos</v>
      </c>
    </row>
    <row r="60" spans="1:6" ht="28.5" x14ac:dyDescent="0.2">
      <c r="A60" s="43" t="str">
        <f>IFERROR(SW[[#This Row],[NOMRE DEL PRODUCTO]],"Sin Datos")</f>
        <v>CERRADURA ELECTRICA DE PUERTA CON PERNO DE CAIDA ELECTRICA</v>
      </c>
      <c r="B60" s="94" t="str">
        <f>IFERROR( 'TABLA DE PRECIOS'!T74,"Sin Datos")</f>
        <v>Sin Datos</v>
      </c>
      <c r="C60" s="92" t="str">
        <f>IFERROR( 'TABLA DE PRECIOS'!V74,"Sin Datos")</f>
        <v>Sin Datos</v>
      </c>
      <c r="D60" s="90" t="str">
        <f>IFERROR( 'TABLA DE PRECIOS'!W74,"Sin Datos")</f>
        <v>Sin Datos</v>
      </c>
      <c r="E60" s="88" t="str">
        <f>IFERROR( 'TABLA DE PRECIOS'!X74,"Sin Datos")</f>
        <v>Sin Datos</v>
      </c>
      <c r="F60" s="86" t="str">
        <f>IFERROR( 'TABLA DE PRECIOS'!S74,"Sin Datos")</f>
        <v>Sin Datos</v>
      </c>
    </row>
    <row r="61" spans="1:6" x14ac:dyDescent="0.2">
      <c r="A61" s="43" t="str">
        <f>IFERROR(SW[[#This Row],[NOMRE DEL PRODUCTO]],"Sin Datos")</f>
        <v>CERRADURA DE PULSO</v>
      </c>
      <c r="B61" s="95" t="str">
        <f>IFERROR( 'TABLA DE PRECIOS'!T75,"Sin Datos")</f>
        <v>Sin Datos</v>
      </c>
      <c r="C61" s="93" t="str">
        <f>IFERROR( 'TABLA DE PRECIOS'!V75,"Sin Datos")</f>
        <v>Sin Datos</v>
      </c>
      <c r="D61" s="91" t="str">
        <f>IFERROR( 'TABLA DE PRECIOS'!W75,"Sin Datos")</f>
        <v>Sin Datos</v>
      </c>
      <c r="E61" s="89" t="str">
        <f>IFERROR( 'TABLA DE PRECIOS'!X75,"Sin Datos")</f>
        <v>Sin Datos</v>
      </c>
      <c r="F61" s="87" t="str">
        <f>IFERROR( 'TABLA DE PRECIOS'!S75,"Sin Datos")</f>
        <v>Sin Datos</v>
      </c>
    </row>
    <row r="62" spans="1:6" x14ac:dyDescent="0.2">
      <c r="A62" s="43" t="str">
        <f>IFERROR(SW[[#This Row],[NOMRE DEL PRODUCTO]],"Sin Datos")</f>
        <v xml:space="preserve">CONTROL DE ACCESO </v>
      </c>
      <c r="B62" s="94" t="str">
        <f>IFERROR( 'TABLA DE PRECIOS'!T76,"Sin Datos")</f>
        <v>Sin Datos</v>
      </c>
      <c r="C62" s="92" t="str">
        <f>IFERROR( 'TABLA DE PRECIOS'!V76,"Sin Datos")</f>
        <v>Sin Datos</v>
      </c>
      <c r="D62" s="90" t="str">
        <f>IFERROR( 'TABLA DE PRECIOS'!W76,"Sin Datos")</f>
        <v>Sin Datos</v>
      </c>
      <c r="E62" s="88" t="str">
        <f>IFERROR( 'TABLA DE PRECIOS'!X76,"Sin Datos")</f>
        <v>Sin Datos</v>
      </c>
      <c r="F62" s="86" t="str">
        <f>IFERROR( 'TABLA DE PRECIOS'!S76,"Sin Datos")</f>
        <v>Sin Datos</v>
      </c>
    </row>
    <row r="63" spans="1:6" ht="28.5" x14ac:dyDescent="0.2">
      <c r="A63" s="43" t="str">
        <f>IFERROR(SW[[#This Row],[NOMRE DEL PRODUCTO]],"Sin Datos")</f>
        <v>CONTROL DE ACCESO 003 TECLADO +RFID+WIFI APP EWELINK</v>
      </c>
      <c r="B63" s="95" t="str">
        <f>IFERROR( 'TABLA DE PRECIOS'!T77,"Sin Datos")</f>
        <v>Sin Datos</v>
      </c>
      <c r="C63" s="93" t="str">
        <f>IFERROR( 'TABLA DE PRECIOS'!V77,"Sin Datos")</f>
        <v>Sin Datos</v>
      </c>
      <c r="D63" s="91" t="str">
        <f>IFERROR( 'TABLA DE PRECIOS'!W77,"Sin Datos")</f>
        <v>Sin Datos</v>
      </c>
      <c r="E63" s="89" t="str">
        <f>IFERROR( 'TABLA DE PRECIOS'!X77,"Sin Datos")</f>
        <v>Sin Datos</v>
      </c>
      <c r="F63" s="87" t="str">
        <f>IFERROR( 'TABLA DE PRECIOS'!S77,"Sin Datos")</f>
        <v>Sin Datos</v>
      </c>
    </row>
    <row r="64" spans="1:6" x14ac:dyDescent="0.2">
      <c r="A64" s="43" t="str">
        <f>IFERROR(SW[[#This Row],[NOMRE DEL PRODUCTO]],"Sin Datos")</f>
        <v>CONTACTO LUCEK</v>
      </c>
      <c r="B64" s="94" t="str">
        <f>IFERROR( 'TABLA DE PRECIOS'!T78,"Sin Datos")</f>
        <v>Sin Datos</v>
      </c>
      <c r="C64" s="92" t="str">
        <f>IFERROR( 'TABLA DE PRECIOS'!V78,"Sin Datos")</f>
        <v>Sin Datos</v>
      </c>
      <c r="D64" s="90" t="str">
        <f>IFERROR( 'TABLA DE PRECIOS'!W78,"Sin Datos")</f>
        <v>Sin Datos</v>
      </c>
      <c r="E64" s="88" t="str">
        <f>IFERROR( 'TABLA DE PRECIOS'!X78,"Sin Datos")</f>
        <v>Sin Datos</v>
      </c>
      <c r="F64" s="86" t="str">
        <f>IFERROR( 'TABLA DE PRECIOS'!S78,"Sin Datos")</f>
        <v>Sin Datos</v>
      </c>
    </row>
    <row r="65" spans="1:6" x14ac:dyDescent="0.2">
      <c r="A65" s="43" t="str">
        <f>IFERROR(SW[[#This Row],[NOMRE DEL PRODUCTO]],"Sin Datos")</f>
        <v>COMPUTADORA SISTEMAS A</v>
      </c>
      <c r="B65" s="95" t="str">
        <f>IFERROR( 'TABLA DE PRECIOS'!T79,"Sin Datos")</f>
        <v>Sin Datos</v>
      </c>
      <c r="C65" s="93" t="str">
        <f>IFERROR( 'TABLA DE PRECIOS'!V79,"Sin Datos")</f>
        <v>Sin Datos</v>
      </c>
      <c r="D65" s="91" t="str">
        <f>IFERROR( 'TABLA DE PRECIOS'!W79,"Sin Datos")</f>
        <v>Sin Datos</v>
      </c>
      <c r="E65" s="89" t="str">
        <f>IFERROR( 'TABLA DE PRECIOS'!X79,"Sin Datos")</f>
        <v>Sin Datos</v>
      </c>
      <c r="F65" s="87" t="str">
        <f>IFERROR( 'TABLA DE PRECIOS'!S79,"Sin Datos")</f>
        <v>Sin Datos</v>
      </c>
    </row>
    <row r="66" spans="1:6" x14ac:dyDescent="0.2">
      <c r="A66" s="43" t="str">
        <f>IFERROR(SW[[#This Row],[NOMRE DEL PRODUCTO]],"Sin Datos")</f>
        <v>COMPUTADORA ADICIONAL SISTEMA S-100</v>
      </c>
      <c r="B66" s="94" t="str">
        <f>IFERROR( 'TABLA DE PRECIOS'!T80,"Sin Datos")</f>
        <v>Sin Datos</v>
      </c>
      <c r="C66" s="92" t="str">
        <f>IFERROR( 'TABLA DE PRECIOS'!V80,"Sin Datos")</f>
        <v>Sin Datos</v>
      </c>
      <c r="D66" s="90" t="str">
        <f>IFERROR( 'TABLA DE PRECIOS'!W80,"Sin Datos")</f>
        <v>Sin Datos</v>
      </c>
      <c r="E66" s="88" t="str">
        <f>IFERROR( 'TABLA DE PRECIOS'!X80,"Sin Datos")</f>
        <v>Sin Datos</v>
      </c>
      <c r="F66" s="86" t="str">
        <f>IFERROR( 'TABLA DE PRECIOS'!S80,"Sin Datos")</f>
        <v>Sin Datos</v>
      </c>
    </row>
    <row r="67" spans="1:6" x14ac:dyDescent="0.2">
      <c r="A67" s="43" t="str">
        <f>IFERROR(SW[[#This Row],[NOMRE DEL PRODUCTO]],"Sin Datos")</f>
        <v>CONTROL DE ACCESO CA- 002</v>
      </c>
      <c r="B67" s="95" t="str">
        <f>IFERROR( 'TABLA DE PRECIOS'!T81,"Sin Datos")</f>
        <v>Sin Datos</v>
      </c>
      <c r="C67" s="93" t="str">
        <f>IFERROR( 'TABLA DE PRECIOS'!V81,"Sin Datos")</f>
        <v>Sin Datos</v>
      </c>
      <c r="D67" s="91" t="str">
        <f>IFERROR( 'TABLA DE PRECIOS'!W81,"Sin Datos")</f>
        <v>Sin Datos</v>
      </c>
      <c r="E67" s="89" t="str">
        <f>IFERROR( 'TABLA DE PRECIOS'!X81,"Sin Datos")</f>
        <v>Sin Datos</v>
      </c>
      <c r="F67" s="87" t="str">
        <f>IFERROR( 'TABLA DE PRECIOS'!S81,"Sin Datos")</f>
        <v>Sin Datos</v>
      </c>
    </row>
    <row r="68" spans="1:6" x14ac:dyDescent="0.2">
      <c r="A68" s="43" t="str">
        <f>IFERROR(SW[[#This Row],[NOMRE DEL PRODUCTO]],"Sin Datos")</f>
        <v>CONTROL DE ACCESO HUELLA DIGITAL CA-X9</v>
      </c>
      <c r="B68" s="94" t="str">
        <f>IFERROR( 'TABLA DE PRECIOS'!T82,"Sin Datos")</f>
        <v>Sin Datos</v>
      </c>
      <c r="C68" s="92" t="str">
        <f>IFERROR( 'TABLA DE PRECIOS'!V82,"Sin Datos")</f>
        <v>Sin Datos</v>
      </c>
      <c r="D68" s="90" t="str">
        <f>IFERROR( 'TABLA DE PRECIOS'!W82,"Sin Datos")</f>
        <v>Sin Datos</v>
      </c>
      <c r="E68" s="88" t="str">
        <f>IFERROR( 'TABLA DE PRECIOS'!X82,"Sin Datos")</f>
        <v>Sin Datos</v>
      </c>
      <c r="F68" s="86" t="str">
        <f>IFERROR( 'TABLA DE PRECIOS'!S82,"Sin Datos")</f>
        <v>Sin Datos</v>
      </c>
    </row>
    <row r="69" spans="1:6" x14ac:dyDescent="0.2">
      <c r="A69" s="43" t="str">
        <f>IFERROR(SW[[#This Row],[NOMRE DEL PRODUCTO]],"Sin Datos")</f>
        <v>CONTROL DE ACCESO WIEGAND EXTERIORES</v>
      </c>
      <c r="B69" s="95" t="str">
        <f>IFERROR( 'TABLA DE PRECIOS'!T83,"Sin Datos")</f>
        <v>Sin Datos</v>
      </c>
      <c r="C69" s="93" t="str">
        <f>IFERROR( 'TABLA DE PRECIOS'!V83,"Sin Datos")</f>
        <v>Sin Datos</v>
      </c>
      <c r="D69" s="91" t="str">
        <f>IFERROR( 'TABLA DE PRECIOS'!W83,"Sin Datos")</f>
        <v>Sin Datos</v>
      </c>
      <c r="E69" s="89" t="str">
        <f>IFERROR( 'TABLA DE PRECIOS'!X83,"Sin Datos")</f>
        <v>Sin Datos</v>
      </c>
      <c r="F69" s="87" t="str">
        <f>IFERROR( 'TABLA DE PRECIOS'!S83,"Sin Datos")</f>
        <v>Sin Datos</v>
      </c>
    </row>
    <row r="70" spans="1:6" ht="28.5" x14ac:dyDescent="0.2">
      <c r="A70" s="43" t="str">
        <f>IFERROR(SW[[#This Row],[NOMRE DEL PRODUCTO]],"Sin Datos")</f>
        <v>CONTROL REMOTO Y BOTONERA NO TOUCH JUEGO(Caja Blanca)</v>
      </c>
      <c r="B70" s="94" t="str">
        <f>IFERROR( 'TABLA DE PRECIOS'!T84,"Sin Datos")</f>
        <v>Sin Datos</v>
      </c>
      <c r="C70" s="92" t="str">
        <f>IFERROR( 'TABLA DE PRECIOS'!V84,"Sin Datos")</f>
        <v>Sin Datos</v>
      </c>
      <c r="D70" s="90" t="str">
        <f>IFERROR( 'TABLA DE PRECIOS'!W84,"Sin Datos")</f>
        <v>Sin Datos</v>
      </c>
      <c r="E70" s="88" t="str">
        <f>IFERROR( 'TABLA DE PRECIOS'!X84,"Sin Datos")</f>
        <v>Sin Datos</v>
      </c>
      <c r="F70" s="86" t="str">
        <f>IFERROR( 'TABLA DE PRECIOS'!S84,"Sin Datos")</f>
        <v>Sin Datos</v>
      </c>
    </row>
    <row r="71" spans="1:6" x14ac:dyDescent="0.2">
      <c r="A71" s="43" t="str">
        <f>IFERROR(SW[[#This Row],[NOMRE DEL PRODUCTO]],"Sin Datos")</f>
        <v>CONTROL REMOTO RADIO FRECUENCIA</v>
      </c>
      <c r="B71" s="95" t="str">
        <f>IFERROR( 'TABLA DE PRECIOS'!T85,"Sin Datos")</f>
        <v>Sin Datos</v>
      </c>
      <c r="C71" s="93" t="str">
        <f>IFERROR( 'TABLA DE PRECIOS'!V85,"Sin Datos")</f>
        <v>Sin Datos</v>
      </c>
      <c r="D71" s="91" t="str">
        <f>IFERROR( 'TABLA DE PRECIOS'!W85,"Sin Datos")</f>
        <v>Sin Datos</v>
      </c>
      <c r="E71" s="89" t="str">
        <f>IFERROR( 'TABLA DE PRECIOS'!X85,"Sin Datos")</f>
        <v>Sin Datos</v>
      </c>
      <c r="F71" s="87" t="str">
        <f>IFERROR( 'TABLA DE PRECIOS'!S85,"Sin Datos")</f>
        <v>Sin Datos</v>
      </c>
    </row>
    <row r="72" spans="1:6" x14ac:dyDescent="0.2">
      <c r="A72" s="43" t="str">
        <f>IFERROR(SW[[#This Row],[NOMRE DEL PRODUCTO]],"Sin Datos")</f>
        <v>CONTROL REMOTO SOLO DE RADIO FRECUENCIA</v>
      </c>
      <c r="B72" s="94" t="str">
        <f>IFERROR( 'TABLA DE PRECIOS'!T86,"Sin Datos")</f>
        <v>Sin Datos</v>
      </c>
      <c r="C72" s="92" t="str">
        <f>IFERROR( 'TABLA DE PRECIOS'!V86,"Sin Datos")</f>
        <v>Sin Datos</v>
      </c>
      <c r="D72" s="90" t="str">
        <f>IFERROR( 'TABLA DE PRECIOS'!W86,"Sin Datos")</f>
        <v>Sin Datos</v>
      </c>
      <c r="E72" s="88" t="str">
        <f>IFERROR( 'TABLA DE PRECIOS'!X86,"Sin Datos")</f>
        <v>Sin Datos</v>
      </c>
      <c r="F72" s="86" t="str">
        <f>IFERROR( 'TABLA DE PRECIOS'!S86,"Sin Datos")</f>
        <v>Sin Datos</v>
      </c>
    </row>
    <row r="73" spans="1:6" x14ac:dyDescent="0.2">
      <c r="A73" s="43" t="str">
        <f>IFERROR(SW[[#This Row],[NOMRE DEL PRODUCTO]],"Sin Datos")</f>
        <v>CONTROL REMOTO UNIVERSAL RF BRIGE</v>
      </c>
      <c r="B73" s="95" t="str">
        <f>IFERROR( 'TABLA DE PRECIOS'!T87,"Sin Datos")</f>
        <v>Sin Datos</v>
      </c>
      <c r="C73" s="93" t="str">
        <f>IFERROR( 'TABLA DE PRECIOS'!V87,"Sin Datos")</f>
        <v>Sin Datos</v>
      </c>
      <c r="D73" s="91" t="str">
        <f>IFERROR( 'TABLA DE PRECIOS'!W87,"Sin Datos")</f>
        <v>Sin Datos</v>
      </c>
      <c r="E73" s="89" t="str">
        <f>IFERROR( 'TABLA DE PRECIOS'!X87,"Sin Datos")</f>
        <v>Sin Datos</v>
      </c>
      <c r="F73" s="87" t="str">
        <f>IFERROR( 'TABLA DE PRECIOS'!S87,"Sin Datos")</f>
        <v>Sin Datos</v>
      </c>
    </row>
    <row r="74" spans="1:6" x14ac:dyDescent="0.2">
      <c r="A74" s="43" t="str">
        <f>IFERROR(SW[[#This Row],[NOMRE DEL PRODUCTO]],"Sin Datos")</f>
        <v>CONTROLADOR LED</v>
      </c>
      <c r="B74" s="94" t="str">
        <f>IFERROR( 'TABLA DE PRECIOS'!T88,"Sin Datos")</f>
        <v>Sin Datos</v>
      </c>
      <c r="C74" s="92" t="str">
        <f>IFERROR( 'TABLA DE PRECIOS'!V88,"Sin Datos")</f>
        <v>Sin Datos</v>
      </c>
      <c r="D74" s="90" t="str">
        <f>IFERROR( 'TABLA DE PRECIOS'!W88,"Sin Datos")</f>
        <v>Sin Datos</v>
      </c>
      <c r="E74" s="88" t="str">
        <f>IFERROR( 'TABLA DE PRECIOS'!X88,"Sin Datos")</f>
        <v>Sin Datos</v>
      </c>
      <c r="F74" s="86" t="str">
        <f>IFERROR( 'TABLA DE PRECIOS'!S88,"Sin Datos")</f>
        <v>Sin Datos</v>
      </c>
    </row>
    <row r="75" spans="1:6" x14ac:dyDescent="0.2">
      <c r="A75" s="43" t="str">
        <f>IFERROR(SW[[#This Row],[NOMRE DEL PRODUCTO]],"Sin Datos")</f>
        <v xml:space="preserve">COMTROLADOR LED PARA ESCALERAS </v>
      </c>
      <c r="B75" s="95" t="str">
        <f>IFERROR( 'TABLA DE PRECIOS'!T89,"Sin Datos")</f>
        <v>Sin Datos</v>
      </c>
      <c r="C75" s="93" t="str">
        <f>IFERROR( 'TABLA DE PRECIOS'!V89,"Sin Datos")</f>
        <v>Sin Datos</v>
      </c>
      <c r="D75" s="91" t="str">
        <f>IFERROR( 'TABLA DE PRECIOS'!W89,"Sin Datos")</f>
        <v>Sin Datos</v>
      </c>
      <c r="E75" s="89" t="str">
        <f>IFERROR( 'TABLA DE PRECIOS'!X89,"Sin Datos")</f>
        <v>Sin Datos</v>
      </c>
      <c r="F75" s="87" t="str">
        <f>IFERROR( 'TABLA DE PRECIOS'!S89,"Sin Datos")</f>
        <v>Sin Datos</v>
      </c>
    </row>
    <row r="76" spans="1:6" x14ac:dyDescent="0.2">
      <c r="A76" s="43" t="str">
        <f>IFERROR(SW[[#This Row],[NOMRE DEL PRODUCTO]],"Sin Datos")</f>
        <v xml:space="preserve">CONTROLADOR LED SINGS </v>
      </c>
      <c r="B76" s="94" t="str">
        <f>IFERROR( 'TABLA DE PRECIOS'!T90,"Sin Datos")</f>
        <v>Sin Datos</v>
      </c>
      <c r="C76" s="92" t="str">
        <f>IFERROR( 'TABLA DE PRECIOS'!V90,"Sin Datos")</f>
        <v>Sin Datos</v>
      </c>
      <c r="D76" s="90" t="str">
        <f>IFERROR( 'TABLA DE PRECIOS'!W90,"Sin Datos")</f>
        <v>Sin Datos</v>
      </c>
      <c r="E76" s="88" t="str">
        <f>IFERROR( 'TABLA DE PRECIOS'!X90,"Sin Datos")</f>
        <v>Sin Datos</v>
      </c>
      <c r="F76" s="86" t="str">
        <f>IFERROR( 'TABLA DE PRECIOS'!S90,"Sin Datos")</f>
        <v>Sin Datos</v>
      </c>
    </row>
    <row r="77" spans="1:6" x14ac:dyDescent="0.2">
      <c r="A77" s="43" t="str">
        <f>IFERROR(SW[[#This Row],[NOMRE DEL PRODUCTO]],"Sin Datos")</f>
        <v>CHAPAS / CANDADOS CHICOS</v>
      </c>
      <c r="B77" s="95" t="str">
        <f>IFERROR( 'TABLA DE PRECIOS'!T91,"Sin Datos")</f>
        <v>Sin Datos</v>
      </c>
      <c r="C77" s="93" t="str">
        <f>IFERROR( 'TABLA DE PRECIOS'!V91,"Sin Datos")</f>
        <v>Sin Datos</v>
      </c>
      <c r="D77" s="91" t="str">
        <f>IFERROR( 'TABLA DE PRECIOS'!W91,"Sin Datos")</f>
        <v>Sin Datos</v>
      </c>
      <c r="E77" s="89" t="str">
        <f>IFERROR( 'TABLA DE PRECIOS'!X91,"Sin Datos")</f>
        <v>Sin Datos</v>
      </c>
      <c r="F77" s="87" t="str">
        <f>IFERROR( 'TABLA DE PRECIOS'!S91,"Sin Datos")</f>
        <v>Sin Datos</v>
      </c>
    </row>
    <row r="78" spans="1:6" x14ac:dyDescent="0.2">
      <c r="A78" s="43" t="str">
        <f>IFERROR(SW[[#This Row],[NOMRE DEL PRODUCTO]],"Sin Datos")</f>
        <v>CHAPAS / CANDADOS GRNADES</v>
      </c>
      <c r="B78" s="94" t="str">
        <f>IFERROR( 'TABLA DE PRECIOS'!T92,"Sin Datos")</f>
        <v>Sin Datos</v>
      </c>
      <c r="C78" s="92" t="str">
        <f>IFERROR( 'TABLA DE PRECIOS'!V92,"Sin Datos")</f>
        <v>Sin Datos</v>
      </c>
      <c r="D78" s="90" t="str">
        <f>IFERROR( 'TABLA DE PRECIOS'!W92,"Sin Datos")</f>
        <v>Sin Datos</v>
      </c>
      <c r="E78" s="88" t="str">
        <f>IFERROR( 'TABLA DE PRECIOS'!X92,"Sin Datos")</f>
        <v>Sin Datos</v>
      </c>
      <c r="F78" s="86" t="str">
        <f>IFERROR( 'TABLA DE PRECIOS'!S92,"Sin Datos")</f>
        <v>Sin Datos</v>
      </c>
    </row>
    <row r="79" spans="1:6" ht="28.5" x14ac:dyDescent="0.2">
      <c r="A79" s="43" t="str">
        <f>IFERROR(SW[[#This Row],[NOMRE DEL PRODUCTO]],"Sin Datos")</f>
        <v>CHAPA ELECTROMAGNETICA PARA PUERTAS 600Ibs C / Led / 280 kg</v>
      </c>
      <c r="B79" s="95" t="str">
        <f>IFERROR( 'TABLA DE PRECIOS'!T93,"Sin Datos")</f>
        <v>Sin Datos</v>
      </c>
      <c r="C79" s="93" t="str">
        <f>IFERROR( 'TABLA DE PRECIOS'!V93,"Sin Datos")</f>
        <v>Sin Datos</v>
      </c>
      <c r="D79" s="91" t="str">
        <f>IFERROR( 'TABLA DE PRECIOS'!W93,"Sin Datos")</f>
        <v>Sin Datos</v>
      </c>
      <c r="E79" s="89" t="str">
        <f>IFERROR( 'TABLA DE PRECIOS'!X93,"Sin Datos")</f>
        <v>Sin Datos</v>
      </c>
      <c r="F79" s="87" t="str">
        <f>IFERROR( 'TABLA DE PRECIOS'!S93,"Sin Datos")</f>
        <v>Sin Datos</v>
      </c>
    </row>
    <row r="80" spans="1:6" x14ac:dyDescent="0.2">
      <c r="A80" s="43" t="str">
        <f>IFERROR(SW[[#This Row],[NOMRE DEL PRODUCTO]],"Sin Datos")</f>
        <v>ELECTROIMAN EM2805</v>
      </c>
      <c r="B80" s="94">
        <f>IFERROR( 'TABLA DE PRECIOS'!T94,"Sin Datos")</f>
        <v>563.82196721311482</v>
      </c>
      <c r="C80" s="92">
        <f>IFERROR( 'TABLA DE PRECIOS'!V94,"Sin Datos")</f>
        <v>642.75704262295085</v>
      </c>
      <c r="D80" s="90">
        <f>IFERROR( 'TABLA DE PRECIOS'!W94,"Sin Datos")</f>
        <v>676.58636065573774</v>
      </c>
      <c r="E80" s="88">
        <f>IFERROR( 'TABLA DE PRECIOS'!X94,"Sin Datos")</f>
        <v>1003.9193778360657</v>
      </c>
      <c r="F80" s="86">
        <f>IFERROR( 'TABLA DE PRECIOS'!S94,"Sin Datos")</f>
        <v>375.88131147540986</v>
      </c>
    </row>
    <row r="81" spans="1:6" x14ac:dyDescent="0.2">
      <c r="A81" s="43" t="str">
        <f>IFERROR(SW[[#This Row],[NOMRE DEL PRODUCTO]],"Sin Datos")</f>
        <v>ELIMINADOR 12V 1 A</v>
      </c>
      <c r="B81" s="95" t="str">
        <f>IFERROR( 'TABLA DE PRECIOS'!T95,"Sin Datos")</f>
        <v>Sin Datos</v>
      </c>
      <c r="C81" s="93" t="str">
        <f>IFERROR( 'TABLA DE PRECIOS'!V95,"Sin Datos")</f>
        <v>Sin Datos</v>
      </c>
      <c r="D81" s="91" t="str">
        <f>IFERROR( 'TABLA DE PRECIOS'!W95,"Sin Datos")</f>
        <v>Sin Datos</v>
      </c>
      <c r="E81" s="89" t="str">
        <f>IFERROR( 'TABLA DE PRECIOS'!X95,"Sin Datos")</f>
        <v>Sin Datos</v>
      </c>
      <c r="F81" s="87" t="str">
        <f>IFERROR( 'TABLA DE PRECIOS'!S95,"Sin Datos")</f>
        <v>Sin Datos</v>
      </c>
    </row>
    <row r="82" spans="1:6" x14ac:dyDescent="0.2">
      <c r="A82" s="43" t="str">
        <f>IFERROR(SW[[#This Row],[NOMRE DEL PRODUCTO]],"Sin Datos")</f>
        <v>ELIMINADOR 12V 2 A</v>
      </c>
      <c r="B82" s="94" t="str">
        <f>IFERROR( 'TABLA DE PRECIOS'!T96,"Sin Datos")</f>
        <v>Sin Datos</v>
      </c>
      <c r="C82" s="92" t="str">
        <f>IFERROR( 'TABLA DE PRECIOS'!V96,"Sin Datos")</f>
        <v>Sin Datos</v>
      </c>
      <c r="D82" s="90" t="str">
        <f>IFERROR( 'TABLA DE PRECIOS'!W96,"Sin Datos")</f>
        <v>Sin Datos</v>
      </c>
      <c r="E82" s="88" t="str">
        <f>IFERROR( 'TABLA DE PRECIOS'!X96,"Sin Datos")</f>
        <v>Sin Datos</v>
      </c>
      <c r="F82" s="86" t="str">
        <f>IFERROR( 'TABLA DE PRECIOS'!S96,"Sin Datos")</f>
        <v>Sin Datos</v>
      </c>
    </row>
    <row r="83" spans="1:6" x14ac:dyDescent="0.2">
      <c r="A83" s="43" t="str">
        <f>IFERROR(SW[[#This Row],[NOMRE DEL PRODUCTO]],"Sin Datos")</f>
        <v>ENCHUFE INTELIGENTE NEGRO</v>
      </c>
      <c r="B83" s="95" t="str">
        <f>IFERROR( 'TABLA DE PRECIOS'!T97,"Sin Datos")</f>
        <v>Sin Datos</v>
      </c>
      <c r="C83" s="93" t="str">
        <f>IFERROR( 'TABLA DE PRECIOS'!V97,"Sin Datos")</f>
        <v>Sin Datos</v>
      </c>
      <c r="D83" s="91" t="str">
        <f>IFERROR( 'TABLA DE PRECIOS'!W97,"Sin Datos")</f>
        <v>Sin Datos</v>
      </c>
      <c r="E83" s="89" t="str">
        <f>IFERROR( 'TABLA DE PRECIOS'!X97,"Sin Datos")</f>
        <v>Sin Datos</v>
      </c>
      <c r="F83" s="87" t="str">
        <f>IFERROR( 'TABLA DE PRECIOS'!S97,"Sin Datos")</f>
        <v>Sin Datos</v>
      </c>
    </row>
    <row r="84" spans="1:6" x14ac:dyDescent="0.2">
      <c r="A84" s="43" t="str">
        <f>IFERROR(SW[[#This Row],[NOMRE DEL PRODUCTO]],"Sin Datos")</f>
        <v>ENCHUFE INTELIGENTE WIFI</v>
      </c>
      <c r="B84" s="94" t="str">
        <f>IFERROR( 'TABLA DE PRECIOS'!T98,"Sin Datos")</f>
        <v>Sin Datos</v>
      </c>
      <c r="C84" s="92" t="str">
        <f>IFERROR( 'TABLA DE PRECIOS'!V98,"Sin Datos")</f>
        <v>Sin Datos</v>
      </c>
      <c r="D84" s="90" t="str">
        <f>IFERROR( 'TABLA DE PRECIOS'!W98,"Sin Datos")</f>
        <v>Sin Datos</v>
      </c>
      <c r="E84" s="88" t="str">
        <f>IFERROR( 'TABLA DE PRECIOS'!X98,"Sin Datos")</f>
        <v>Sin Datos</v>
      </c>
      <c r="F84" s="86" t="str">
        <f>IFERROR( 'TABLA DE PRECIOS'!S98,"Sin Datos")</f>
        <v>Sin Datos</v>
      </c>
    </row>
    <row r="85" spans="1:6" x14ac:dyDescent="0.2">
      <c r="A85" s="43" t="str">
        <f>IFERROR(SW[[#This Row],[NOMRE DEL PRODUCTO]],"Sin Datos")</f>
        <v>FOCO WI-FI</v>
      </c>
      <c r="B85" s="95" t="str">
        <f>IFERROR( 'TABLA DE PRECIOS'!T99,"Sin Datos")</f>
        <v>Sin Datos</v>
      </c>
      <c r="C85" s="93" t="str">
        <f>IFERROR( 'TABLA DE PRECIOS'!V99,"Sin Datos")</f>
        <v>Sin Datos</v>
      </c>
      <c r="D85" s="91" t="str">
        <f>IFERROR( 'TABLA DE PRECIOS'!W99,"Sin Datos")</f>
        <v>Sin Datos</v>
      </c>
      <c r="E85" s="89" t="str">
        <f>IFERROR( 'TABLA DE PRECIOS'!X99,"Sin Datos")</f>
        <v>Sin Datos</v>
      </c>
      <c r="F85" s="87" t="str">
        <f>IFERROR( 'TABLA DE PRECIOS'!S99,"Sin Datos")</f>
        <v>Sin Datos</v>
      </c>
    </row>
    <row r="86" spans="1:6" x14ac:dyDescent="0.2">
      <c r="A86" s="43" t="str">
        <f>IFERROR(SW[[#This Row],[NOMRE DEL PRODUCTO]],"Sin Datos")</f>
        <v>FUENTE DE PODER 3V =1A</v>
      </c>
      <c r="B86" s="94" t="str">
        <f>IFERROR( 'TABLA DE PRECIOS'!T100,"Sin Datos")</f>
        <v>Sin Datos</v>
      </c>
      <c r="C86" s="92" t="str">
        <f>IFERROR( 'TABLA DE PRECIOS'!V100,"Sin Datos")</f>
        <v>Sin Datos</v>
      </c>
      <c r="D86" s="90" t="str">
        <f>IFERROR( 'TABLA DE PRECIOS'!W100,"Sin Datos")</f>
        <v>Sin Datos</v>
      </c>
      <c r="E86" s="88" t="str">
        <f>IFERROR( 'TABLA DE PRECIOS'!X100,"Sin Datos")</f>
        <v>Sin Datos</v>
      </c>
      <c r="F86" s="86" t="str">
        <f>IFERROR( 'TABLA DE PRECIOS'!S100,"Sin Datos")</f>
        <v>Sin Datos</v>
      </c>
    </row>
    <row r="87" spans="1:6" x14ac:dyDescent="0.2">
      <c r="A87" s="43" t="str">
        <f>IFERROR(SW[[#This Row],[NOMRE DEL PRODUCTO]],"Sin Datos")</f>
        <v>FUENTE DE ALIMENTACION 5v</v>
      </c>
      <c r="B87" s="95" t="str">
        <f>IFERROR( 'TABLA DE PRECIOS'!T101,"Sin Datos")</f>
        <v>Sin Datos</v>
      </c>
      <c r="C87" s="93" t="str">
        <f>IFERROR( 'TABLA DE PRECIOS'!V101,"Sin Datos")</f>
        <v>Sin Datos</v>
      </c>
      <c r="D87" s="91" t="str">
        <f>IFERROR( 'TABLA DE PRECIOS'!W101,"Sin Datos")</f>
        <v>Sin Datos</v>
      </c>
      <c r="E87" s="89" t="str">
        <f>IFERROR( 'TABLA DE PRECIOS'!X101,"Sin Datos")</f>
        <v>Sin Datos</v>
      </c>
      <c r="F87" s="87" t="str">
        <f>IFERROR( 'TABLA DE PRECIOS'!S101,"Sin Datos")</f>
        <v>Sin Datos</v>
      </c>
    </row>
    <row r="88" spans="1:6" x14ac:dyDescent="0.2">
      <c r="A88" s="43" t="str">
        <f>IFERROR(SW[[#This Row],[NOMRE DEL PRODUCTO]],"Sin Datos")</f>
        <v>FUENTE DE PODER 24V = 1.6A</v>
      </c>
      <c r="B88" s="94" t="str">
        <f>IFERROR( 'TABLA DE PRECIOS'!T102,"Sin Datos")</f>
        <v>Sin Datos</v>
      </c>
      <c r="C88" s="92" t="str">
        <f>IFERROR( 'TABLA DE PRECIOS'!V102,"Sin Datos")</f>
        <v>Sin Datos</v>
      </c>
      <c r="D88" s="90" t="str">
        <f>IFERROR( 'TABLA DE PRECIOS'!W102,"Sin Datos")</f>
        <v>Sin Datos</v>
      </c>
      <c r="E88" s="88" t="str">
        <f>IFERROR( 'TABLA DE PRECIOS'!X102,"Sin Datos")</f>
        <v>Sin Datos</v>
      </c>
      <c r="F88" s="86" t="str">
        <f>IFERROR( 'TABLA DE PRECIOS'!S102,"Sin Datos")</f>
        <v>Sin Datos</v>
      </c>
    </row>
    <row r="89" spans="1:6" x14ac:dyDescent="0.2">
      <c r="A89" s="43" t="str">
        <f>IFERROR(SW[[#This Row],[NOMRE DEL PRODUCTO]],"Sin Datos")</f>
        <v>FUENTE DE ALIMENTACION 25v</v>
      </c>
      <c r="B89" s="95" t="str">
        <f>IFERROR( 'TABLA DE PRECIOS'!T103,"Sin Datos")</f>
        <v>Sin Datos</v>
      </c>
      <c r="C89" s="93" t="str">
        <f>IFERROR( 'TABLA DE PRECIOS'!V103,"Sin Datos")</f>
        <v>Sin Datos</v>
      </c>
      <c r="D89" s="91" t="str">
        <f>IFERROR( 'TABLA DE PRECIOS'!W103,"Sin Datos")</f>
        <v>Sin Datos</v>
      </c>
      <c r="E89" s="89" t="str">
        <f>IFERROR( 'TABLA DE PRECIOS'!X103,"Sin Datos")</f>
        <v>Sin Datos</v>
      </c>
      <c r="F89" s="87" t="str">
        <f>IFERROR( 'TABLA DE PRECIOS'!S103,"Sin Datos")</f>
        <v>Sin Datos</v>
      </c>
    </row>
    <row r="90" spans="1:6" x14ac:dyDescent="0.2">
      <c r="A90" s="43" t="str">
        <f>IFERROR(SW[[#This Row],[NOMRE DEL PRODUCTO]],"Sin Datos")</f>
        <v>FUENTE DE ALIMENTACION KK 1295</v>
      </c>
      <c r="B90" s="94" t="str">
        <f>IFERROR( 'TABLA DE PRECIOS'!T104,"Sin Datos")</f>
        <v>Sin Datos</v>
      </c>
      <c r="C90" s="92" t="str">
        <f>IFERROR( 'TABLA DE PRECIOS'!V104,"Sin Datos")</f>
        <v>Sin Datos</v>
      </c>
      <c r="D90" s="90" t="str">
        <f>IFERROR( 'TABLA DE PRECIOS'!W104,"Sin Datos")</f>
        <v>Sin Datos</v>
      </c>
      <c r="E90" s="88" t="str">
        <f>IFERROR( 'TABLA DE PRECIOS'!X104,"Sin Datos")</f>
        <v>Sin Datos</v>
      </c>
      <c r="F90" s="86" t="str">
        <f>IFERROR( 'TABLA DE PRECIOS'!S104,"Sin Datos")</f>
        <v>Sin Datos</v>
      </c>
    </row>
    <row r="91" spans="1:6" x14ac:dyDescent="0.2">
      <c r="A91" s="43" t="str">
        <f>IFERROR(SW[[#This Row],[NOMRE DEL PRODUCTO]],"Sin Datos")</f>
        <v>FUENTE DE PODER MINI 12V CONTROL DE ACCESO</v>
      </c>
      <c r="B91" s="95" t="str">
        <f>IFERROR( 'TABLA DE PRECIOS'!T105,"Sin Datos")</f>
        <v>Sin Datos</v>
      </c>
      <c r="C91" s="93" t="str">
        <f>IFERROR( 'TABLA DE PRECIOS'!V105,"Sin Datos")</f>
        <v>Sin Datos</v>
      </c>
      <c r="D91" s="91" t="str">
        <f>IFERROR( 'TABLA DE PRECIOS'!W105,"Sin Datos")</f>
        <v>Sin Datos</v>
      </c>
      <c r="E91" s="89" t="str">
        <f>IFERROR( 'TABLA DE PRECIOS'!X105,"Sin Datos")</f>
        <v>Sin Datos</v>
      </c>
      <c r="F91" s="87" t="str">
        <f>IFERROR( 'TABLA DE PRECIOS'!S105,"Sin Datos")</f>
        <v>Sin Datos</v>
      </c>
    </row>
    <row r="92" spans="1:6" x14ac:dyDescent="0.2">
      <c r="A92" s="43" t="str">
        <f>IFERROR(SW[[#This Row],[NOMRE DEL PRODUCTO]],"Sin Datos")</f>
        <v>GRAPAS PARA BANDA A/2</v>
      </c>
      <c r="B92" s="94" t="str">
        <f>IFERROR( 'TABLA DE PRECIOS'!T106,"Sin Datos")</f>
        <v>Sin Datos</v>
      </c>
      <c r="C92" s="92" t="str">
        <f>IFERROR( 'TABLA DE PRECIOS'!V106,"Sin Datos")</f>
        <v>Sin Datos</v>
      </c>
      <c r="D92" s="90" t="str">
        <f>IFERROR( 'TABLA DE PRECIOS'!W106,"Sin Datos")</f>
        <v>Sin Datos</v>
      </c>
      <c r="E92" s="88" t="str">
        <f>IFERROR( 'TABLA DE PRECIOS'!X106,"Sin Datos")</f>
        <v>Sin Datos</v>
      </c>
      <c r="F92" s="86" t="str">
        <f>IFERROR( 'TABLA DE PRECIOS'!S106,"Sin Datos")</f>
        <v>Sin Datos</v>
      </c>
    </row>
    <row r="93" spans="1:6" x14ac:dyDescent="0.2">
      <c r="A93" s="43" t="str">
        <f>IFERROR(SW[[#This Row],[NOMRE DEL PRODUCTO]],"Sin Datos")</f>
        <v>GRAPAS  SOPORTE</v>
      </c>
      <c r="B93" s="95" t="str">
        <f>IFERROR( 'TABLA DE PRECIOS'!T107,"Sin Datos")</f>
        <v>Sin Datos</v>
      </c>
      <c r="C93" s="93" t="str">
        <f>IFERROR( 'TABLA DE PRECIOS'!V107,"Sin Datos")</f>
        <v>Sin Datos</v>
      </c>
      <c r="D93" s="91" t="str">
        <f>IFERROR( 'TABLA DE PRECIOS'!W107,"Sin Datos")</f>
        <v>Sin Datos</v>
      </c>
      <c r="E93" s="89" t="str">
        <f>IFERROR( 'TABLA DE PRECIOS'!X107,"Sin Datos")</f>
        <v>Sin Datos</v>
      </c>
      <c r="F93" s="87" t="str">
        <f>IFERROR( 'TABLA DE PRECIOS'!S107,"Sin Datos")</f>
        <v>Sin Datos</v>
      </c>
    </row>
    <row r="94" spans="1:6" x14ac:dyDescent="0.2">
      <c r="A94" s="43" t="str">
        <f>IFERROR(SW[[#This Row],[NOMRE DEL PRODUCTO]],"Sin Datos")</f>
        <v>HUB ZIGBEE GATEWAY CON CABLE</v>
      </c>
      <c r="B94" s="94" t="str">
        <f>IFERROR( 'TABLA DE PRECIOS'!T108,"Sin Datos")</f>
        <v>Sin Datos</v>
      </c>
      <c r="C94" s="92" t="str">
        <f>IFERROR( 'TABLA DE PRECIOS'!V108,"Sin Datos")</f>
        <v>Sin Datos</v>
      </c>
      <c r="D94" s="90" t="str">
        <f>IFERROR( 'TABLA DE PRECIOS'!W108,"Sin Datos")</f>
        <v>Sin Datos</v>
      </c>
      <c r="E94" s="88" t="str">
        <f>IFERROR( 'TABLA DE PRECIOS'!X108,"Sin Datos")</f>
        <v>Sin Datos</v>
      </c>
      <c r="F94" s="86" t="str">
        <f>IFERROR( 'TABLA DE PRECIOS'!S108,"Sin Datos")</f>
        <v>Sin Datos</v>
      </c>
    </row>
    <row r="95" spans="1:6" x14ac:dyDescent="0.2">
      <c r="A95" s="43" t="str">
        <f>IFERROR(SW[[#This Row],[NOMRE DEL PRODUCTO]],"Sin Datos")</f>
        <v>HUB ZIGBEE GATEWAY MINI</v>
      </c>
      <c r="B95" s="95" t="str">
        <f>IFERROR( 'TABLA DE PRECIOS'!T109,"Sin Datos")</f>
        <v>Sin Datos</v>
      </c>
      <c r="C95" s="93" t="str">
        <f>IFERROR( 'TABLA DE PRECIOS'!V109,"Sin Datos")</f>
        <v>Sin Datos</v>
      </c>
      <c r="D95" s="91" t="str">
        <f>IFERROR( 'TABLA DE PRECIOS'!W109,"Sin Datos")</f>
        <v>Sin Datos</v>
      </c>
      <c r="E95" s="89" t="str">
        <f>IFERROR( 'TABLA DE PRECIOS'!X109,"Sin Datos")</f>
        <v>Sin Datos</v>
      </c>
      <c r="F95" s="87" t="str">
        <f>IFERROR( 'TABLA DE PRECIOS'!S109,"Sin Datos")</f>
        <v>Sin Datos</v>
      </c>
    </row>
    <row r="96" spans="1:6" x14ac:dyDescent="0.2">
      <c r="A96" s="43" t="str">
        <f>IFERROR(SW[[#This Row],[NOMRE DEL PRODUCTO]],"Sin Datos")</f>
        <v xml:space="preserve">HUB NEGRO </v>
      </c>
      <c r="B96" s="94" t="str">
        <f>IFERROR( 'TABLA DE PRECIOS'!T110,"Sin Datos")</f>
        <v>Sin Datos</v>
      </c>
      <c r="C96" s="92" t="str">
        <f>IFERROR( 'TABLA DE PRECIOS'!V110,"Sin Datos")</f>
        <v>Sin Datos</v>
      </c>
      <c r="D96" s="90" t="str">
        <f>IFERROR( 'TABLA DE PRECIOS'!W110,"Sin Datos")</f>
        <v>Sin Datos</v>
      </c>
      <c r="E96" s="88" t="str">
        <f>IFERROR( 'TABLA DE PRECIOS'!X110,"Sin Datos")</f>
        <v>Sin Datos</v>
      </c>
      <c r="F96" s="86" t="str">
        <f>IFERROR( 'TABLA DE PRECIOS'!S110,"Sin Datos")</f>
        <v>Sin Datos</v>
      </c>
    </row>
    <row r="97" spans="1:6" x14ac:dyDescent="0.2">
      <c r="A97" s="43" t="str">
        <f>IFERROR(SW[[#This Row],[NOMRE DEL PRODUCTO]],"Sin Datos")</f>
        <v>HUB ZIGBEE /WIFI</v>
      </c>
      <c r="B97" s="95" t="str">
        <f>IFERROR( 'TABLA DE PRECIOS'!T111,"Sin Datos")</f>
        <v>Sin Datos</v>
      </c>
      <c r="C97" s="93" t="str">
        <f>IFERROR( 'TABLA DE PRECIOS'!V111,"Sin Datos")</f>
        <v>Sin Datos</v>
      </c>
      <c r="D97" s="91" t="str">
        <f>IFERROR( 'TABLA DE PRECIOS'!W111,"Sin Datos")</f>
        <v>Sin Datos</v>
      </c>
      <c r="E97" s="89" t="str">
        <f>IFERROR( 'TABLA DE PRECIOS'!X111,"Sin Datos")</f>
        <v>Sin Datos</v>
      </c>
      <c r="F97" s="87" t="str">
        <f>IFERROR( 'TABLA DE PRECIOS'!S111,"Sin Datos")</f>
        <v>Sin Datos</v>
      </c>
    </row>
    <row r="98" spans="1:6" x14ac:dyDescent="0.2">
      <c r="A98" s="43" t="str">
        <f>IFERROR(SW[[#This Row],[NOMRE DEL PRODUCTO]],"Sin Datos")</f>
        <v>INTERRUPTOR DE LUZ INTELIGENTE WI-FI</v>
      </c>
      <c r="B98" s="94" t="str">
        <f>IFERROR( 'TABLA DE PRECIOS'!T112,"Sin Datos")</f>
        <v>Sin Datos</v>
      </c>
      <c r="C98" s="92" t="str">
        <f>IFERROR( 'TABLA DE PRECIOS'!V112,"Sin Datos")</f>
        <v>Sin Datos</v>
      </c>
      <c r="D98" s="90" t="str">
        <f>IFERROR( 'TABLA DE PRECIOS'!W112,"Sin Datos")</f>
        <v>Sin Datos</v>
      </c>
      <c r="E98" s="88" t="str">
        <f>IFERROR( 'TABLA DE PRECIOS'!X112,"Sin Datos")</f>
        <v>Sin Datos</v>
      </c>
      <c r="F98" s="86" t="str">
        <f>IFERROR( 'TABLA DE PRECIOS'!S112,"Sin Datos")</f>
        <v>Sin Datos</v>
      </c>
    </row>
    <row r="99" spans="1:6" x14ac:dyDescent="0.2">
      <c r="A99" s="43" t="str">
        <f>IFERROR(SW[[#This Row],[NOMRE DEL PRODUCTO]],"Sin Datos")</f>
        <v>INTERRUPOR INTELIGENTE MINI</v>
      </c>
      <c r="B99" s="95" t="str">
        <f>IFERROR( 'TABLA DE PRECIOS'!T113,"Sin Datos")</f>
        <v>Sin Datos</v>
      </c>
      <c r="C99" s="93" t="str">
        <f>IFERROR( 'TABLA DE PRECIOS'!V113,"Sin Datos")</f>
        <v>Sin Datos</v>
      </c>
      <c r="D99" s="91" t="str">
        <f>IFERROR( 'TABLA DE PRECIOS'!W113,"Sin Datos")</f>
        <v>Sin Datos</v>
      </c>
      <c r="E99" s="89" t="str">
        <f>IFERROR( 'TABLA DE PRECIOS'!X113,"Sin Datos")</f>
        <v>Sin Datos</v>
      </c>
      <c r="F99" s="87" t="str">
        <f>IFERROR( 'TABLA DE PRECIOS'!S113,"Sin Datos")</f>
        <v>Sin Datos</v>
      </c>
    </row>
    <row r="100" spans="1:6" x14ac:dyDescent="0.2">
      <c r="A100" s="43" t="str">
        <f>IFERROR(SW[[#This Row],[NOMRE DEL PRODUCTO]],"Sin Datos")</f>
        <v>INTERRUPTOR MODULADOR NS-105</v>
      </c>
      <c r="B100" s="94" t="str">
        <f>IFERROR( 'TABLA DE PRECIOS'!T114,"Sin Datos")</f>
        <v>Sin Datos</v>
      </c>
      <c r="C100" s="92" t="str">
        <f>IFERROR( 'TABLA DE PRECIOS'!V114,"Sin Datos")</f>
        <v>Sin Datos</v>
      </c>
      <c r="D100" s="90" t="str">
        <f>IFERROR( 'TABLA DE PRECIOS'!W114,"Sin Datos")</f>
        <v>Sin Datos</v>
      </c>
      <c r="E100" s="88" t="str">
        <f>IFERROR( 'TABLA DE PRECIOS'!X114,"Sin Datos")</f>
        <v>Sin Datos</v>
      </c>
      <c r="F100" s="86" t="str">
        <f>IFERROR( 'TABLA DE PRECIOS'!S114,"Sin Datos")</f>
        <v>Sin Datos</v>
      </c>
    </row>
    <row r="101" spans="1:6" x14ac:dyDescent="0.2">
      <c r="A101" s="43" t="str">
        <f>IFERROR(SW[[#This Row],[NOMRE DEL PRODUCTO]],"Sin Datos")</f>
        <v>INTERMEDIO PERSIANAS CLUTCH     (EXTENCIONES)</v>
      </c>
      <c r="B101" s="95" t="str">
        <f>IFERROR( 'TABLA DE PRECIOS'!T115,"Sin Datos")</f>
        <v>Sin Datos</v>
      </c>
      <c r="C101" s="93" t="str">
        <f>IFERROR( 'TABLA DE PRECIOS'!V115,"Sin Datos")</f>
        <v>Sin Datos</v>
      </c>
      <c r="D101" s="91" t="str">
        <f>IFERROR( 'TABLA DE PRECIOS'!W115,"Sin Datos")</f>
        <v>Sin Datos</v>
      </c>
      <c r="E101" s="89" t="str">
        <f>IFERROR( 'TABLA DE PRECIOS'!X115,"Sin Datos")</f>
        <v>Sin Datos</v>
      </c>
      <c r="F101" s="87" t="str">
        <f>IFERROR( 'TABLA DE PRECIOS'!S115,"Sin Datos")</f>
        <v>Sin Datos</v>
      </c>
    </row>
    <row r="102" spans="1:6" x14ac:dyDescent="0.2">
      <c r="A102" s="43" t="str">
        <f>IFERROR(SW[[#This Row],[NOMRE DEL PRODUCTO]],"Sin Datos")</f>
        <v xml:space="preserve">IR BULLET NETWORK CAMARA </v>
      </c>
      <c r="B102" s="94" t="str">
        <f>IFERROR( 'TABLA DE PRECIOS'!T116,"Sin Datos")</f>
        <v>Sin Datos</v>
      </c>
      <c r="C102" s="92" t="str">
        <f>IFERROR( 'TABLA DE PRECIOS'!V116,"Sin Datos")</f>
        <v>Sin Datos</v>
      </c>
      <c r="D102" s="90" t="str">
        <f>IFERROR( 'TABLA DE PRECIOS'!W116,"Sin Datos")</f>
        <v>Sin Datos</v>
      </c>
      <c r="E102" s="88" t="str">
        <f>IFERROR( 'TABLA DE PRECIOS'!X116,"Sin Datos")</f>
        <v>Sin Datos</v>
      </c>
      <c r="F102" s="86" t="str">
        <f>IFERROR( 'TABLA DE PRECIOS'!S116,"Sin Datos")</f>
        <v>Sin Datos</v>
      </c>
    </row>
    <row r="103" spans="1:6" ht="28.5" x14ac:dyDescent="0.2">
      <c r="A103" s="43" t="str">
        <f>IFERROR(SW[[#This Row],[NOMRE DEL PRODUCTO]],"Sin Datos")</f>
        <v xml:space="preserve">JUEGO DE POLEAS RIEL DEL CABEZAL P/PUERTAS COMERCIALES </v>
      </c>
      <c r="B103" s="95" t="str">
        <f>IFERROR( 'TABLA DE PRECIOS'!T117,"Sin Datos")</f>
        <v>Sin Datos</v>
      </c>
      <c r="C103" s="93" t="str">
        <f>IFERROR( 'TABLA DE PRECIOS'!V117,"Sin Datos")</f>
        <v>Sin Datos</v>
      </c>
      <c r="D103" s="91" t="str">
        <f>IFERROR( 'TABLA DE PRECIOS'!W117,"Sin Datos")</f>
        <v>Sin Datos</v>
      </c>
      <c r="E103" s="89" t="str">
        <f>IFERROR( 'TABLA DE PRECIOS'!X117,"Sin Datos")</f>
        <v>Sin Datos</v>
      </c>
      <c r="F103" s="87" t="str">
        <f>IFERROR( 'TABLA DE PRECIOS'!S117,"Sin Datos")</f>
        <v>Sin Datos</v>
      </c>
    </row>
    <row r="104" spans="1:6" x14ac:dyDescent="0.2">
      <c r="A104" s="43" t="str">
        <f>IFERROR(SW[[#This Row],[NOMRE DEL PRODUCTO]],"Sin Datos")</f>
        <v>KIT CONTROL DE ACCESO WIRELES</v>
      </c>
      <c r="B104" s="94" t="str">
        <f>IFERROR( 'TABLA DE PRECIOS'!T118,"Sin Datos")</f>
        <v>Sin Datos</v>
      </c>
      <c r="C104" s="92" t="str">
        <f>IFERROR( 'TABLA DE PRECIOS'!V118,"Sin Datos")</f>
        <v>Sin Datos</v>
      </c>
      <c r="D104" s="90" t="str">
        <f>IFERROR( 'TABLA DE PRECIOS'!W118,"Sin Datos")</f>
        <v>Sin Datos</v>
      </c>
      <c r="E104" s="88" t="str">
        <f>IFERROR( 'TABLA DE PRECIOS'!X118,"Sin Datos")</f>
        <v>Sin Datos</v>
      </c>
      <c r="F104" s="86" t="str">
        <f>IFERROR( 'TABLA DE PRECIOS'!S118,"Sin Datos")</f>
        <v>Sin Datos</v>
      </c>
    </row>
    <row r="105" spans="1:6" x14ac:dyDescent="0.2">
      <c r="A105" s="43" t="str">
        <f>IFERROR(SW[[#This Row],[NOMRE DEL PRODUCTO]],"Sin Datos")</f>
        <v>KIT/DG SW A/3 DOBLE + SENSOR DE MOVIMIENTO</v>
      </c>
      <c r="B105" s="95" t="str">
        <f>IFERROR( 'TABLA DE PRECIOS'!T119,"Sin Datos")</f>
        <v>Sin Datos</v>
      </c>
      <c r="C105" s="93" t="str">
        <f>IFERROR( 'TABLA DE PRECIOS'!V119,"Sin Datos")</f>
        <v>Sin Datos</v>
      </c>
      <c r="D105" s="91" t="str">
        <f>IFERROR( 'TABLA DE PRECIOS'!W119,"Sin Datos")</f>
        <v>Sin Datos</v>
      </c>
      <c r="E105" s="89" t="str">
        <f>IFERROR( 'TABLA DE PRECIOS'!X119,"Sin Datos")</f>
        <v>Sin Datos</v>
      </c>
      <c r="F105" s="87" t="str">
        <f>IFERROR( 'TABLA DE PRECIOS'!S119,"Sin Datos")</f>
        <v>Sin Datos</v>
      </c>
    </row>
    <row r="106" spans="1:6" x14ac:dyDescent="0.2">
      <c r="A106" s="43" t="str">
        <f>IFERROR(SW[[#This Row],[NOMRE DEL PRODUCTO]],"Sin Datos")</f>
        <v>KIT/DG SW 100s/CONTROL DE ACCESO WIFI</v>
      </c>
      <c r="B106" s="94" t="str">
        <f>IFERROR( 'TABLA DE PRECIOS'!T120,"Sin Datos")</f>
        <v>Sin Datos</v>
      </c>
      <c r="C106" s="92" t="str">
        <f>IFERROR( 'TABLA DE PRECIOS'!V120,"Sin Datos")</f>
        <v>Sin Datos</v>
      </c>
      <c r="D106" s="90" t="str">
        <f>IFERROR( 'TABLA DE PRECIOS'!W120,"Sin Datos")</f>
        <v>Sin Datos</v>
      </c>
      <c r="E106" s="88" t="str">
        <f>IFERROR( 'TABLA DE PRECIOS'!X120,"Sin Datos")</f>
        <v>Sin Datos</v>
      </c>
      <c r="F106" s="86" t="str">
        <f>IFERROR( 'TABLA DE PRECIOS'!S120,"Sin Datos")</f>
        <v>Sin Datos</v>
      </c>
    </row>
    <row r="107" spans="1:6" x14ac:dyDescent="0.2">
      <c r="A107" s="43" t="str">
        <f>IFERROR(SW[[#This Row],[NOMRE DEL PRODUCTO]],"Sin Datos")</f>
        <v>LUCES DE COLORES CINTA LED</v>
      </c>
      <c r="B107" s="95" t="str">
        <f>IFERROR( 'TABLA DE PRECIOS'!T121,"Sin Datos")</f>
        <v>Sin Datos</v>
      </c>
      <c r="C107" s="93" t="str">
        <f>IFERROR( 'TABLA DE PRECIOS'!V121,"Sin Datos")</f>
        <v>Sin Datos</v>
      </c>
      <c r="D107" s="91" t="str">
        <f>IFERROR( 'TABLA DE PRECIOS'!W121,"Sin Datos")</f>
        <v>Sin Datos</v>
      </c>
      <c r="E107" s="89" t="str">
        <f>IFERROR( 'TABLA DE PRECIOS'!X121,"Sin Datos")</f>
        <v>Sin Datos</v>
      </c>
      <c r="F107" s="87" t="str">
        <f>IFERROR( 'TABLA DE PRECIOS'!S121,"Sin Datos")</f>
        <v>Sin Datos</v>
      </c>
    </row>
    <row r="108" spans="1:6" x14ac:dyDescent="0.2">
      <c r="A108" s="43" t="str">
        <f>IFERROR(SW[[#This Row],[NOMRE DEL PRODUCTO]],"Sin Datos")</f>
        <v xml:space="preserve">MODULO GENERADOR DE PULSO </v>
      </c>
      <c r="B108" s="94" t="str">
        <f>IFERROR( 'TABLA DE PRECIOS'!T122,"Sin Datos")</f>
        <v>Sin Datos</v>
      </c>
      <c r="C108" s="92" t="str">
        <f>IFERROR( 'TABLA DE PRECIOS'!V122,"Sin Datos")</f>
        <v>Sin Datos</v>
      </c>
      <c r="D108" s="90" t="str">
        <f>IFERROR( 'TABLA DE PRECIOS'!W122,"Sin Datos")</f>
        <v>Sin Datos</v>
      </c>
      <c r="E108" s="88" t="str">
        <f>IFERROR( 'TABLA DE PRECIOS'!X122,"Sin Datos")</f>
        <v>Sin Datos</v>
      </c>
      <c r="F108" s="86" t="str">
        <f>IFERROR( 'TABLA DE PRECIOS'!S122,"Sin Datos")</f>
        <v>Sin Datos</v>
      </c>
    </row>
    <row r="109" spans="1:6" x14ac:dyDescent="0.2">
      <c r="A109" s="43" t="str">
        <f>IFERROR(SW[[#This Row],[NOMRE DEL PRODUCTO]],"Sin Datos")</f>
        <v>MODULO ZIGBEE SWITCH</v>
      </c>
      <c r="B109" s="95" t="str">
        <f>IFERROR( 'TABLA DE PRECIOS'!T123,"Sin Datos")</f>
        <v>Sin Datos</v>
      </c>
      <c r="C109" s="93" t="str">
        <f>IFERROR( 'TABLA DE PRECIOS'!V123,"Sin Datos")</f>
        <v>Sin Datos</v>
      </c>
      <c r="D109" s="91" t="str">
        <f>IFERROR( 'TABLA DE PRECIOS'!W123,"Sin Datos")</f>
        <v>Sin Datos</v>
      </c>
      <c r="E109" s="89" t="str">
        <f>IFERROR( 'TABLA DE PRECIOS'!X123,"Sin Datos")</f>
        <v>Sin Datos</v>
      </c>
      <c r="F109" s="87" t="str">
        <f>IFERROR( 'TABLA DE PRECIOS'!S123,"Sin Datos")</f>
        <v>Sin Datos</v>
      </c>
    </row>
    <row r="110" spans="1:6" x14ac:dyDescent="0.2">
      <c r="A110" s="43" t="str">
        <f>IFERROR(SW[[#This Row],[NOMRE DEL PRODUCTO]],"Sin Datos")</f>
        <v>MODULO WIFI SWITCH 1 APAGADOR</v>
      </c>
      <c r="B110" s="94" t="str">
        <f>IFERROR( 'TABLA DE PRECIOS'!T124,"Sin Datos")</f>
        <v>Sin Datos</v>
      </c>
      <c r="C110" s="92" t="str">
        <f>IFERROR( 'TABLA DE PRECIOS'!V124,"Sin Datos")</f>
        <v>Sin Datos</v>
      </c>
      <c r="D110" s="90" t="str">
        <f>IFERROR( 'TABLA DE PRECIOS'!W124,"Sin Datos")</f>
        <v>Sin Datos</v>
      </c>
      <c r="E110" s="88" t="str">
        <f>IFERROR( 'TABLA DE PRECIOS'!X124,"Sin Datos")</f>
        <v>Sin Datos</v>
      </c>
      <c r="F110" s="86" t="str">
        <f>IFERROR( 'TABLA DE PRECIOS'!S124,"Sin Datos")</f>
        <v>Sin Datos</v>
      </c>
    </row>
    <row r="111" spans="1:6" x14ac:dyDescent="0.2">
      <c r="A111" s="43" t="str">
        <f>IFERROR(SW[[#This Row],[NOMRE DEL PRODUCTO]],"Sin Datos")</f>
        <v>MODULO WIFI SWITCH 2 APAGADOR</v>
      </c>
      <c r="B111" s="95" t="str">
        <f>IFERROR( 'TABLA DE PRECIOS'!T125,"Sin Datos")</f>
        <v>Sin Datos</v>
      </c>
      <c r="C111" s="93" t="str">
        <f>IFERROR( 'TABLA DE PRECIOS'!V125,"Sin Datos")</f>
        <v>Sin Datos</v>
      </c>
      <c r="D111" s="91" t="str">
        <f>IFERROR( 'TABLA DE PRECIOS'!W125,"Sin Datos")</f>
        <v>Sin Datos</v>
      </c>
      <c r="E111" s="89" t="str">
        <f>IFERROR( 'TABLA DE PRECIOS'!X125,"Sin Datos")</f>
        <v>Sin Datos</v>
      </c>
      <c r="F111" s="87" t="str">
        <f>IFERROR( 'TABLA DE PRECIOS'!S125,"Sin Datos")</f>
        <v>Sin Datos</v>
      </c>
    </row>
    <row r="112" spans="1:6" x14ac:dyDescent="0.2">
      <c r="A112" s="43" t="str">
        <f>IFERROR(SW[[#This Row],[NOMRE DEL PRODUCTO]],"Sin Datos")</f>
        <v>MODULO ZIGBEE SWICH 2 CANAL</v>
      </c>
      <c r="B112" s="94" t="str">
        <f>IFERROR( 'TABLA DE PRECIOS'!T126,"Sin Datos")</f>
        <v>Sin Datos</v>
      </c>
      <c r="C112" s="92" t="str">
        <f>IFERROR( 'TABLA DE PRECIOS'!V126,"Sin Datos")</f>
        <v>Sin Datos</v>
      </c>
      <c r="D112" s="90" t="str">
        <f>IFERROR( 'TABLA DE PRECIOS'!W126,"Sin Datos")</f>
        <v>Sin Datos</v>
      </c>
      <c r="E112" s="88" t="str">
        <f>IFERROR( 'TABLA DE PRECIOS'!X126,"Sin Datos")</f>
        <v>Sin Datos</v>
      </c>
      <c r="F112" s="86" t="str">
        <f>IFERROR( 'TABLA DE PRECIOS'!S126,"Sin Datos")</f>
        <v>Sin Datos</v>
      </c>
    </row>
    <row r="113" spans="1:6" x14ac:dyDescent="0.2">
      <c r="A113" s="43" t="str">
        <f>IFERROR(SW[[#This Row],[NOMRE DEL PRODUCTO]],"Sin Datos")</f>
        <v>MODULO WIFI 1 CANAL</v>
      </c>
      <c r="B113" s="95" t="str">
        <f>IFERROR( 'TABLA DE PRECIOS'!T127,"Sin Datos")</f>
        <v>Sin Datos</v>
      </c>
      <c r="C113" s="93" t="str">
        <f>IFERROR( 'TABLA DE PRECIOS'!V127,"Sin Datos")</f>
        <v>Sin Datos</v>
      </c>
      <c r="D113" s="91" t="str">
        <f>IFERROR( 'TABLA DE PRECIOS'!W127,"Sin Datos")</f>
        <v>Sin Datos</v>
      </c>
      <c r="E113" s="89" t="str">
        <f>IFERROR( 'TABLA DE PRECIOS'!X127,"Sin Datos")</f>
        <v>Sin Datos</v>
      </c>
      <c r="F113" s="87" t="str">
        <f>IFERROR( 'TABLA DE PRECIOS'!S127,"Sin Datos")</f>
        <v>Sin Datos</v>
      </c>
    </row>
    <row r="114" spans="1:6" x14ac:dyDescent="0.2">
      <c r="A114" s="43" t="str">
        <f>IFERROR(SW[[#This Row],[NOMRE DEL PRODUCTO]],"Sin Datos")</f>
        <v>MODULO ZIGBEE 1 CANAL</v>
      </c>
      <c r="B114" s="94" t="str">
        <f>IFERROR( 'TABLA DE PRECIOS'!T128,"Sin Datos")</f>
        <v>Sin Datos</v>
      </c>
      <c r="C114" s="92" t="str">
        <f>IFERROR( 'TABLA DE PRECIOS'!V128,"Sin Datos")</f>
        <v>Sin Datos</v>
      </c>
      <c r="D114" s="90" t="str">
        <f>IFERROR( 'TABLA DE PRECIOS'!W128,"Sin Datos")</f>
        <v>Sin Datos</v>
      </c>
      <c r="E114" s="88" t="str">
        <f>IFERROR( 'TABLA DE PRECIOS'!X128,"Sin Datos")</f>
        <v>Sin Datos</v>
      </c>
      <c r="F114" s="86" t="str">
        <f>IFERROR( 'TABLA DE PRECIOS'!S128,"Sin Datos")</f>
        <v>Sin Datos</v>
      </c>
    </row>
    <row r="115" spans="1:6" x14ac:dyDescent="0.2">
      <c r="A115" s="43" t="str">
        <f>IFERROR(SW[[#This Row],[NOMRE DEL PRODUCTO]],"Sin Datos")</f>
        <v xml:space="preserve">MOTOR PARA CORTINA </v>
      </c>
      <c r="B115" s="95" t="str">
        <f>IFERROR( 'TABLA DE PRECIOS'!T129,"Sin Datos")</f>
        <v>Sin Datos</v>
      </c>
      <c r="C115" s="93" t="str">
        <f>IFERROR( 'TABLA DE PRECIOS'!V129,"Sin Datos")</f>
        <v>Sin Datos</v>
      </c>
      <c r="D115" s="91" t="str">
        <f>IFERROR( 'TABLA DE PRECIOS'!W129,"Sin Datos")</f>
        <v>Sin Datos</v>
      </c>
      <c r="E115" s="89" t="str">
        <f>IFERROR( 'TABLA DE PRECIOS'!X129,"Sin Datos")</f>
        <v>Sin Datos</v>
      </c>
      <c r="F115" s="87" t="str">
        <f>IFERROR( 'TABLA DE PRECIOS'!S129,"Sin Datos")</f>
        <v>Sin Datos</v>
      </c>
    </row>
    <row r="116" spans="1:6" x14ac:dyDescent="0.2">
      <c r="A116" s="43" t="str">
        <f>IFERROR(SW[[#This Row],[NOMRE DEL PRODUCTO]],"Sin Datos")</f>
        <v>MOTOR  TUBULAR ZIGBEE CHICO</v>
      </c>
      <c r="B116" s="94" t="str">
        <f>IFERROR( 'TABLA DE PRECIOS'!T130,"Sin Datos")</f>
        <v>Sin Datos</v>
      </c>
      <c r="C116" s="92" t="str">
        <f>IFERROR( 'TABLA DE PRECIOS'!V130,"Sin Datos")</f>
        <v>Sin Datos</v>
      </c>
      <c r="D116" s="90" t="str">
        <f>IFERROR( 'TABLA DE PRECIOS'!W130,"Sin Datos")</f>
        <v>Sin Datos</v>
      </c>
      <c r="E116" s="88" t="str">
        <f>IFERROR( 'TABLA DE PRECIOS'!X130,"Sin Datos")</f>
        <v>Sin Datos</v>
      </c>
      <c r="F116" s="86" t="str">
        <f>IFERROR( 'TABLA DE PRECIOS'!S130,"Sin Datos")</f>
        <v>Sin Datos</v>
      </c>
    </row>
    <row r="117" spans="1:6" x14ac:dyDescent="0.2">
      <c r="A117" s="43" t="str">
        <f>IFERROR(SW[[#This Row],[NOMRE DEL PRODUCTO]],"Sin Datos")</f>
        <v>MOTOR TUBULAR WIFI CHICO</v>
      </c>
      <c r="B117" s="95" t="str">
        <f>IFERROR( 'TABLA DE PRECIOS'!T131,"Sin Datos")</f>
        <v>Sin Datos</v>
      </c>
      <c r="C117" s="93" t="str">
        <f>IFERROR( 'TABLA DE PRECIOS'!V131,"Sin Datos")</f>
        <v>Sin Datos</v>
      </c>
      <c r="D117" s="91" t="str">
        <f>IFERROR( 'TABLA DE PRECIOS'!W131,"Sin Datos")</f>
        <v>Sin Datos</v>
      </c>
      <c r="E117" s="89" t="str">
        <f>IFERROR( 'TABLA DE PRECIOS'!X131,"Sin Datos")</f>
        <v>Sin Datos</v>
      </c>
      <c r="F117" s="87" t="str">
        <f>IFERROR( 'TABLA DE PRECIOS'!S131,"Sin Datos")</f>
        <v>Sin Datos</v>
      </c>
    </row>
    <row r="118" spans="1:6" x14ac:dyDescent="0.2">
      <c r="A118" s="43" t="str">
        <f>IFERROR(SW[[#This Row],[NOMRE DEL PRODUCTO]],"Sin Datos")</f>
        <v>MOTOR  TUBULAR ZIGBEE GRNADE</v>
      </c>
      <c r="B118" s="94" t="str">
        <f>IFERROR( 'TABLA DE PRECIOS'!T132,"Sin Datos")</f>
        <v>Sin Datos</v>
      </c>
      <c r="C118" s="92" t="str">
        <f>IFERROR( 'TABLA DE PRECIOS'!V132,"Sin Datos")</f>
        <v>Sin Datos</v>
      </c>
      <c r="D118" s="90" t="str">
        <f>IFERROR( 'TABLA DE PRECIOS'!W132,"Sin Datos")</f>
        <v>Sin Datos</v>
      </c>
      <c r="E118" s="88" t="str">
        <f>IFERROR( 'TABLA DE PRECIOS'!X132,"Sin Datos")</f>
        <v>Sin Datos</v>
      </c>
      <c r="F118" s="86" t="str">
        <f>IFERROR( 'TABLA DE PRECIOS'!S132,"Sin Datos")</f>
        <v>Sin Datos</v>
      </c>
    </row>
    <row r="119" spans="1:6" x14ac:dyDescent="0.2">
      <c r="A119" s="43" t="str">
        <f>IFERROR(SW[[#This Row],[NOMRE DEL PRODUCTO]],"Sin Datos")</f>
        <v>OPERADOR AUTOMATICO PARA PUERTA ABATIBLE S-100</v>
      </c>
      <c r="B119" s="95" t="str">
        <f>IFERROR( 'TABLA DE PRECIOS'!T133,"Sin Datos")</f>
        <v>Sin Datos</v>
      </c>
      <c r="C119" s="93" t="str">
        <f>IFERROR( 'TABLA DE PRECIOS'!V133,"Sin Datos")</f>
        <v>Sin Datos</v>
      </c>
      <c r="D119" s="91" t="str">
        <f>IFERROR( 'TABLA DE PRECIOS'!W133,"Sin Datos")</f>
        <v>Sin Datos</v>
      </c>
      <c r="E119" s="89" t="str">
        <f>IFERROR( 'TABLA DE PRECIOS'!X133,"Sin Datos")</f>
        <v>Sin Datos</v>
      </c>
      <c r="F119" s="87" t="str">
        <f>IFERROR( 'TABLA DE PRECIOS'!S133,"Sin Datos")</f>
        <v>Sin Datos</v>
      </c>
    </row>
    <row r="120" spans="1:6" x14ac:dyDescent="0.2">
      <c r="A120" s="43" t="str">
        <f>IFERROR(SW[[#This Row],[NOMRE DEL PRODUCTO]],"Sin Datos")</f>
        <v>OPERADOR PARA VENTANAS ABATABLE S-50</v>
      </c>
      <c r="B120" s="94" t="str">
        <f>IFERROR( 'TABLA DE PRECIOS'!T134,"Sin Datos")</f>
        <v>Sin Datos</v>
      </c>
      <c r="C120" s="92" t="str">
        <f>IFERROR( 'TABLA DE PRECIOS'!V134,"Sin Datos")</f>
        <v>Sin Datos</v>
      </c>
      <c r="D120" s="90" t="str">
        <f>IFERROR( 'TABLA DE PRECIOS'!W134,"Sin Datos")</f>
        <v>Sin Datos</v>
      </c>
      <c r="E120" s="88" t="str">
        <f>IFERROR( 'TABLA DE PRECIOS'!X134,"Sin Datos")</f>
        <v>Sin Datos</v>
      </c>
      <c r="F120" s="86" t="str">
        <f>IFERROR( 'TABLA DE PRECIOS'!S134,"Sin Datos")</f>
        <v>Sin Datos</v>
      </c>
    </row>
    <row r="121" spans="1:6" x14ac:dyDescent="0.2">
      <c r="A121" s="43" t="str">
        <f>IFERROR(SW[[#This Row],[NOMRE DEL PRODUCTO]],"Sin Datos")</f>
        <v>RELEVADOR 1 CANAL RADIO FRECUENCIA</v>
      </c>
      <c r="B121" s="95" t="str">
        <f>IFERROR( 'TABLA DE PRECIOS'!T135,"Sin Datos")</f>
        <v>Sin Datos</v>
      </c>
      <c r="C121" s="93" t="str">
        <f>IFERROR( 'TABLA DE PRECIOS'!V135,"Sin Datos")</f>
        <v>Sin Datos</v>
      </c>
      <c r="D121" s="91" t="str">
        <f>IFERROR( 'TABLA DE PRECIOS'!W135,"Sin Datos")</f>
        <v>Sin Datos</v>
      </c>
      <c r="E121" s="89" t="str">
        <f>IFERROR( 'TABLA DE PRECIOS'!X135,"Sin Datos")</f>
        <v>Sin Datos</v>
      </c>
      <c r="F121" s="87" t="str">
        <f>IFERROR( 'TABLA DE PRECIOS'!S135,"Sin Datos")</f>
        <v>Sin Datos</v>
      </c>
    </row>
    <row r="122" spans="1:6" x14ac:dyDescent="0.2">
      <c r="A122" s="43" t="str">
        <f>IFERROR(SW[[#This Row],[NOMRE DEL PRODUCTO]],"Sin Datos")</f>
        <v>RELEVADOR WIFI 2 CANALES</v>
      </c>
      <c r="B122" s="94" t="str">
        <f>IFERROR( 'TABLA DE PRECIOS'!T136,"Sin Datos")</f>
        <v>Sin Datos</v>
      </c>
      <c r="C122" s="92" t="str">
        <f>IFERROR( 'TABLA DE PRECIOS'!V136,"Sin Datos")</f>
        <v>Sin Datos</v>
      </c>
      <c r="D122" s="90" t="str">
        <f>IFERROR( 'TABLA DE PRECIOS'!W136,"Sin Datos")</f>
        <v>Sin Datos</v>
      </c>
      <c r="E122" s="88" t="str">
        <f>IFERROR( 'TABLA DE PRECIOS'!X136,"Sin Datos")</f>
        <v>Sin Datos</v>
      </c>
      <c r="F122" s="86" t="str">
        <f>IFERROR( 'TABLA DE PRECIOS'!S136,"Sin Datos")</f>
        <v>Sin Datos</v>
      </c>
    </row>
    <row r="123" spans="1:6" x14ac:dyDescent="0.2">
      <c r="A123" s="43" t="str">
        <f>IFERROR(SW[[#This Row],[NOMRE DEL PRODUCTO]],"Sin Datos")</f>
        <v>RELEVADOR 4 CANALES</v>
      </c>
      <c r="B123" s="95" t="str">
        <f>IFERROR( 'TABLA DE PRECIOS'!T137,"Sin Datos")</f>
        <v>Sin Datos</v>
      </c>
      <c r="C123" s="93" t="str">
        <f>IFERROR( 'TABLA DE PRECIOS'!V137,"Sin Datos")</f>
        <v>Sin Datos</v>
      </c>
      <c r="D123" s="91" t="str">
        <f>IFERROR( 'TABLA DE PRECIOS'!W137,"Sin Datos")</f>
        <v>Sin Datos</v>
      </c>
      <c r="E123" s="89" t="str">
        <f>IFERROR( 'TABLA DE PRECIOS'!X137,"Sin Datos")</f>
        <v>Sin Datos</v>
      </c>
      <c r="F123" s="87" t="str">
        <f>IFERROR( 'TABLA DE PRECIOS'!S137,"Sin Datos")</f>
        <v>Sin Datos</v>
      </c>
    </row>
    <row r="124" spans="1:6" ht="28.5" x14ac:dyDescent="0.2">
      <c r="A124" s="43" t="str">
        <f>IFERROR(SW[[#This Row],[NOMRE DEL PRODUCTO]],"Sin Datos")</f>
        <v>RELEVADOR  ENCLAVAMIENTO WIFI 1 CANAL (Etiqueta Amarilla)</v>
      </c>
      <c r="B124" s="94" t="str">
        <f>IFERROR( 'TABLA DE PRECIOS'!T138,"Sin Datos")</f>
        <v>Sin Datos</v>
      </c>
      <c r="C124" s="92" t="str">
        <f>IFERROR( 'TABLA DE PRECIOS'!V138,"Sin Datos")</f>
        <v>Sin Datos</v>
      </c>
      <c r="D124" s="90" t="str">
        <f>IFERROR( 'TABLA DE PRECIOS'!W138,"Sin Datos")</f>
        <v>Sin Datos</v>
      </c>
      <c r="E124" s="88" t="str">
        <f>IFERROR( 'TABLA DE PRECIOS'!X138,"Sin Datos")</f>
        <v>Sin Datos</v>
      </c>
      <c r="F124" s="86" t="str">
        <f>IFERROR( 'TABLA DE PRECIOS'!S138,"Sin Datos")</f>
        <v>Sin Datos</v>
      </c>
    </row>
    <row r="125" spans="1:6" x14ac:dyDescent="0.2">
      <c r="A125" s="43" t="str">
        <f>IFERROR(SW[[#This Row],[NOMRE DEL PRODUCTO]],"Sin Datos")</f>
        <v>RELEVADOR DE CANALES RW-02</v>
      </c>
      <c r="B125" s="95" t="str">
        <f>IFERROR( 'TABLA DE PRECIOS'!T139,"Sin Datos")</f>
        <v>Sin Datos</v>
      </c>
      <c r="C125" s="93" t="str">
        <f>IFERROR( 'TABLA DE PRECIOS'!V139,"Sin Datos")</f>
        <v>Sin Datos</v>
      </c>
      <c r="D125" s="91" t="str">
        <f>IFERROR( 'TABLA DE PRECIOS'!W139,"Sin Datos")</f>
        <v>Sin Datos</v>
      </c>
      <c r="E125" s="89" t="str">
        <f>IFERROR( 'TABLA DE PRECIOS'!X139,"Sin Datos")</f>
        <v>Sin Datos</v>
      </c>
      <c r="F125" s="87" t="str">
        <f>IFERROR( 'TABLA DE PRECIOS'!S139,"Sin Datos")</f>
        <v>Sin Datos</v>
      </c>
    </row>
    <row r="126" spans="1:6" x14ac:dyDescent="0.2">
      <c r="A126" s="43" t="str">
        <f>IFERROR(SW[[#This Row],[NOMRE DEL PRODUCTO]],"Sin Datos")</f>
        <v>RELEVADOR 4 CANALES S-04</v>
      </c>
      <c r="B126" s="94" t="str">
        <f>IFERROR( 'TABLA DE PRECIOS'!T140,"Sin Datos")</f>
        <v>Sin Datos</v>
      </c>
      <c r="C126" s="92" t="str">
        <f>IFERROR( 'TABLA DE PRECIOS'!V140,"Sin Datos")</f>
        <v>Sin Datos</v>
      </c>
      <c r="D126" s="90" t="str">
        <f>IFERROR( 'TABLA DE PRECIOS'!W140,"Sin Datos")</f>
        <v>Sin Datos</v>
      </c>
      <c r="E126" s="88" t="str">
        <f>IFERROR( 'TABLA DE PRECIOS'!X140,"Sin Datos")</f>
        <v>Sin Datos</v>
      </c>
      <c r="F126" s="86" t="str">
        <f>IFERROR( 'TABLA DE PRECIOS'!S140,"Sin Datos")</f>
        <v>Sin Datos</v>
      </c>
    </row>
    <row r="127" spans="1:6" x14ac:dyDescent="0.2">
      <c r="A127" s="43" t="str">
        <f>IFERROR(SW[[#This Row],[NOMRE DEL PRODUCTO]],"Sin Datos")</f>
        <v>RELEVADOR WIFI 1 CANAL</v>
      </c>
      <c r="B127" s="95" t="str">
        <f>IFERROR( 'TABLA DE PRECIOS'!T141,"Sin Datos")</f>
        <v>Sin Datos</v>
      </c>
      <c r="C127" s="93" t="str">
        <f>IFERROR( 'TABLA DE PRECIOS'!V141,"Sin Datos")</f>
        <v>Sin Datos</v>
      </c>
      <c r="D127" s="91" t="str">
        <f>IFERROR( 'TABLA DE PRECIOS'!W141,"Sin Datos")</f>
        <v>Sin Datos</v>
      </c>
      <c r="E127" s="89" t="str">
        <f>IFERROR( 'TABLA DE PRECIOS'!X141,"Sin Datos")</f>
        <v>Sin Datos</v>
      </c>
      <c r="F127" s="87" t="str">
        <f>IFERROR( 'TABLA DE PRECIOS'!S141,"Sin Datos")</f>
        <v>Sin Datos</v>
      </c>
    </row>
    <row r="128" spans="1:6" x14ac:dyDescent="0.2">
      <c r="A128" s="43" t="str">
        <f>IFERROR(SW[[#This Row],[NOMRE DEL PRODUCTO]],"Sin Datos")</f>
        <v>REPETIDOR ZIGBEE  USB</v>
      </c>
      <c r="B128" s="94" t="str">
        <f>IFERROR( 'TABLA DE PRECIOS'!T142,"Sin Datos")</f>
        <v>Sin Datos</v>
      </c>
      <c r="C128" s="92" t="str">
        <f>IFERROR( 'TABLA DE PRECIOS'!V142,"Sin Datos")</f>
        <v>Sin Datos</v>
      </c>
      <c r="D128" s="90" t="str">
        <f>IFERROR( 'TABLA DE PRECIOS'!W142,"Sin Datos")</f>
        <v>Sin Datos</v>
      </c>
      <c r="E128" s="88" t="str">
        <f>IFERROR( 'TABLA DE PRECIOS'!X142,"Sin Datos")</f>
        <v>Sin Datos</v>
      </c>
      <c r="F128" s="86" t="str">
        <f>IFERROR( 'TABLA DE PRECIOS'!S142,"Sin Datos")</f>
        <v>Sin Datos</v>
      </c>
    </row>
    <row r="129" spans="1:6" x14ac:dyDescent="0.2">
      <c r="A129" s="43" t="str">
        <f>IFERROR(SW[[#This Row],[NOMRE DEL PRODUCTO]],"Sin Datos")</f>
        <v>REVESTIMIENTO ANTICORROCION EN AEROSOL</v>
      </c>
      <c r="B129" s="95" t="str">
        <f>IFERROR( 'TABLA DE PRECIOS'!T143,"Sin Datos")</f>
        <v>Sin Datos</v>
      </c>
      <c r="C129" s="93" t="str">
        <f>IFERROR( 'TABLA DE PRECIOS'!V143,"Sin Datos")</f>
        <v>Sin Datos</v>
      </c>
      <c r="D129" s="91" t="str">
        <f>IFERROR( 'TABLA DE PRECIOS'!W143,"Sin Datos")</f>
        <v>Sin Datos</v>
      </c>
      <c r="E129" s="89" t="str">
        <f>IFERROR( 'TABLA DE PRECIOS'!X143,"Sin Datos")</f>
        <v>Sin Datos</v>
      </c>
      <c r="F129" s="87" t="str">
        <f>IFERROR( 'TABLA DE PRECIOS'!S143,"Sin Datos")</f>
        <v>Sin Datos</v>
      </c>
    </row>
    <row r="130" spans="1:6" x14ac:dyDescent="0.2">
      <c r="A130" s="43" t="str">
        <f>IFERROR(SW[[#This Row],[NOMRE DEL PRODUCTO]],"Sin Datos")</f>
        <v>SENSOR DE GAS WIFI</v>
      </c>
      <c r="B130" s="94" t="str">
        <f>IFERROR( 'TABLA DE PRECIOS'!T144,"Sin Datos")</f>
        <v>Sin Datos</v>
      </c>
      <c r="C130" s="92" t="str">
        <f>IFERROR( 'TABLA DE PRECIOS'!V144,"Sin Datos")</f>
        <v>Sin Datos</v>
      </c>
      <c r="D130" s="90" t="str">
        <f>IFERROR( 'TABLA DE PRECIOS'!W144,"Sin Datos")</f>
        <v>Sin Datos</v>
      </c>
      <c r="E130" s="88" t="str">
        <f>IFERROR( 'TABLA DE PRECIOS'!X144,"Sin Datos")</f>
        <v>Sin Datos</v>
      </c>
      <c r="F130" s="86" t="str">
        <f>IFERROR( 'TABLA DE PRECIOS'!S144,"Sin Datos")</f>
        <v>Sin Datos</v>
      </c>
    </row>
    <row r="131" spans="1:6" x14ac:dyDescent="0.2">
      <c r="A131" s="43" t="str">
        <f>IFERROR(SW[[#This Row],[NOMRE DEL PRODUCTO]],"Sin Datos")</f>
        <v>SENSOR DE HUMO</v>
      </c>
      <c r="B131" s="95" t="str">
        <f>IFERROR( 'TABLA DE PRECIOS'!T145,"Sin Datos")</f>
        <v>Sin Datos</v>
      </c>
      <c r="C131" s="93" t="str">
        <f>IFERROR( 'TABLA DE PRECIOS'!V145,"Sin Datos")</f>
        <v>Sin Datos</v>
      </c>
      <c r="D131" s="91" t="str">
        <f>IFERROR( 'TABLA DE PRECIOS'!W145,"Sin Datos")</f>
        <v>Sin Datos</v>
      </c>
      <c r="E131" s="89" t="str">
        <f>IFERROR( 'TABLA DE PRECIOS'!X145,"Sin Datos")</f>
        <v>Sin Datos</v>
      </c>
      <c r="F131" s="87" t="str">
        <f>IFERROR( 'TABLA DE PRECIOS'!S145,"Sin Datos")</f>
        <v>Sin Datos</v>
      </c>
    </row>
    <row r="132" spans="1:6" x14ac:dyDescent="0.2">
      <c r="A132" s="43" t="str">
        <f>IFERROR(SW[[#This Row],[NOMRE DEL PRODUCTO]],"Sin Datos")</f>
        <v>SENSOR DE HUMO GENERAL (CAJA NARANJA)</v>
      </c>
      <c r="B132" s="94" t="str">
        <f>IFERROR( 'TABLA DE PRECIOS'!T146,"Sin Datos")</f>
        <v>Sin Datos</v>
      </c>
      <c r="C132" s="92" t="str">
        <f>IFERROR( 'TABLA DE PRECIOS'!V146,"Sin Datos")</f>
        <v>Sin Datos</v>
      </c>
      <c r="D132" s="90" t="str">
        <f>IFERROR( 'TABLA DE PRECIOS'!W146,"Sin Datos")</f>
        <v>Sin Datos</v>
      </c>
      <c r="E132" s="88" t="str">
        <f>IFERROR( 'TABLA DE PRECIOS'!X146,"Sin Datos")</f>
        <v>Sin Datos</v>
      </c>
      <c r="F132" s="86" t="str">
        <f>IFERROR( 'TABLA DE PRECIOS'!S146,"Sin Datos")</f>
        <v>Sin Datos</v>
      </c>
    </row>
    <row r="133" spans="1:6" x14ac:dyDescent="0.2">
      <c r="A133" s="43" t="str">
        <f>IFERROR(SW[[#This Row],[NOMRE DEL PRODUCTO]],"Sin Datos")</f>
        <v>SENSOR DE HUMO INDICADOR DE FLASH</v>
      </c>
      <c r="B133" s="95" t="str">
        <f>IFERROR( 'TABLA DE PRECIOS'!T147,"Sin Datos")</f>
        <v>Sin Datos</v>
      </c>
      <c r="C133" s="93" t="str">
        <f>IFERROR( 'TABLA DE PRECIOS'!V147,"Sin Datos")</f>
        <v>Sin Datos</v>
      </c>
      <c r="D133" s="91" t="str">
        <f>IFERROR( 'TABLA DE PRECIOS'!W147,"Sin Datos")</f>
        <v>Sin Datos</v>
      </c>
      <c r="E133" s="89" t="str">
        <f>IFERROR( 'TABLA DE PRECIOS'!X147,"Sin Datos")</f>
        <v>Sin Datos</v>
      </c>
      <c r="F133" s="87" t="str">
        <f>IFERROR( 'TABLA DE PRECIOS'!S147,"Sin Datos")</f>
        <v>Sin Datos</v>
      </c>
    </row>
    <row r="134" spans="1:6" x14ac:dyDescent="0.2">
      <c r="A134" s="43" t="str">
        <f>IFERROR(SW[[#This Row],[NOMRE DEL PRODUCTO]],"Sin Datos")</f>
        <v>SENSOR DE HUMO WIFI</v>
      </c>
      <c r="B134" s="94" t="str">
        <f>IFERROR( 'TABLA DE PRECIOS'!T148,"Sin Datos")</f>
        <v>Sin Datos</v>
      </c>
      <c r="C134" s="92" t="str">
        <f>IFERROR( 'TABLA DE PRECIOS'!V148,"Sin Datos")</f>
        <v>Sin Datos</v>
      </c>
      <c r="D134" s="90" t="str">
        <f>IFERROR( 'TABLA DE PRECIOS'!W148,"Sin Datos")</f>
        <v>Sin Datos</v>
      </c>
      <c r="E134" s="88" t="str">
        <f>IFERROR( 'TABLA DE PRECIOS'!X148,"Sin Datos")</f>
        <v>Sin Datos</v>
      </c>
      <c r="F134" s="86" t="str">
        <f>IFERROR( 'TABLA DE PRECIOS'!S148,"Sin Datos")</f>
        <v>Sin Datos</v>
      </c>
    </row>
    <row r="135" spans="1:6" x14ac:dyDescent="0.2">
      <c r="A135" s="43" t="str">
        <f>IFERROR(SW[[#This Row],[NOMRE DEL PRODUCTO]],"Sin Datos")</f>
        <v>SENSOR DE MOVIMIENTO</v>
      </c>
      <c r="B135" s="95">
        <f>IFERROR( 'TABLA DE PRECIOS'!T149,"Sin Datos")</f>
        <v>563.82196721311482</v>
      </c>
      <c r="C135" s="93">
        <f>IFERROR( 'TABLA DE PRECIOS'!V149,"Sin Datos")</f>
        <v>642.75704262295085</v>
      </c>
      <c r="D135" s="91">
        <f>IFERROR( 'TABLA DE PRECIOS'!W149,"Sin Datos")</f>
        <v>676.58636065573774</v>
      </c>
      <c r="E135" s="89">
        <f>IFERROR( 'TABLA DE PRECIOS'!X149,"Sin Datos")</f>
        <v>1003.9193778360657</v>
      </c>
      <c r="F135" s="87">
        <f>IFERROR( 'TABLA DE PRECIOS'!S149,"Sin Datos")</f>
        <v>375.88131147540986</v>
      </c>
    </row>
    <row r="136" spans="1:6" x14ac:dyDescent="0.2">
      <c r="A136" s="43" t="str">
        <f>IFERROR(SW[[#This Row],[NOMRE DEL PRODUCTO]],"Sin Datos")</f>
        <v>SENSOR DE MOVIMIENTO PIR ZIGBEE</v>
      </c>
      <c r="B136" s="94" t="str">
        <f>IFERROR( 'TABLA DE PRECIOS'!T150,"Sin Datos")</f>
        <v>Sin Datos</v>
      </c>
      <c r="C136" s="92" t="str">
        <f>IFERROR( 'TABLA DE PRECIOS'!V150,"Sin Datos")</f>
        <v>Sin Datos</v>
      </c>
      <c r="D136" s="90" t="str">
        <f>IFERROR( 'TABLA DE PRECIOS'!W150,"Sin Datos")</f>
        <v>Sin Datos</v>
      </c>
      <c r="E136" s="88" t="str">
        <f>IFERROR( 'TABLA DE PRECIOS'!X150,"Sin Datos")</f>
        <v>Sin Datos</v>
      </c>
      <c r="F136" s="86" t="str">
        <f>IFERROR( 'TABLA DE PRECIOS'!S150,"Sin Datos")</f>
        <v>Sin Datos</v>
      </c>
    </row>
    <row r="137" spans="1:6" x14ac:dyDescent="0.2">
      <c r="A137" s="43" t="str">
        <f>IFERROR(SW[[#This Row],[NOMRE DEL PRODUCTO]],"Sin Datos")</f>
        <v>SENSOR DE MOVIMIENTO AQARA</v>
      </c>
      <c r="B137" s="95" t="str">
        <f>IFERROR( 'TABLA DE PRECIOS'!T151,"Sin Datos")</f>
        <v>Sin Datos</v>
      </c>
      <c r="C137" s="93" t="str">
        <f>IFERROR( 'TABLA DE PRECIOS'!V151,"Sin Datos")</f>
        <v>Sin Datos</v>
      </c>
      <c r="D137" s="91" t="str">
        <f>IFERROR( 'TABLA DE PRECIOS'!W151,"Sin Datos")</f>
        <v>Sin Datos</v>
      </c>
      <c r="E137" s="89" t="str">
        <f>IFERROR( 'TABLA DE PRECIOS'!X151,"Sin Datos")</f>
        <v>Sin Datos</v>
      </c>
      <c r="F137" s="87" t="str">
        <f>IFERROR( 'TABLA DE PRECIOS'!S151,"Sin Datos")</f>
        <v>Sin Datos</v>
      </c>
    </row>
    <row r="138" spans="1:6" x14ac:dyDescent="0.2">
      <c r="A138" s="43" t="str">
        <f>IFERROR(SW[[#This Row],[NOMRE DEL PRODUCTO]],"Sin Datos")</f>
        <v>SENSOR DE MOVIMIENTO SONOFF</v>
      </c>
      <c r="B138" s="94" t="str">
        <f>IFERROR( 'TABLA DE PRECIOS'!T152,"Sin Datos")</f>
        <v>Sin Datos</v>
      </c>
      <c r="C138" s="92" t="str">
        <f>IFERROR( 'TABLA DE PRECIOS'!V152,"Sin Datos")</f>
        <v>Sin Datos</v>
      </c>
      <c r="D138" s="90" t="str">
        <f>IFERROR( 'TABLA DE PRECIOS'!W152,"Sin Datos")</f>
        <v>Sin Datos</v>
      </c>
      <c r="E138" s="88" t="str">
        <f>IFERROR( 'TABLA DE PRECIOS'!X152,"Sin Datos")</f>
        <v>Sin Datos</v>
      </c>
      <c r="F138" s="86" t="str">
        <f>IFERROR( 'TABLA DE PRECIOS'!S152,"Sin Datos")</f>
        <v>Sin Datos</v>
      </c>
    </row>
    <row r="139" spans="1:6" x14ac:dyDescent="0.2">
      <c r="A139" s="43" t="str">
        <f>IFERROR(SW[[#This Row],[NOMRE DEL PRODUCTO]],"Sin Datos")</f>
        <v>SENSOR DE PUERTA MINI</v>
      </c>
      <c r="B139" s="95" t="str">
        <f>IFERROR( 'TABLA DE PRECIOS'!T153,"Sin Datos")</f>
        <v>Sin Datos</v>
      </c>
      <c r="C139" s="93" t="str">
        <f>IFERROR( 'TABLA DE PRECIOS'!V153,"Sin Datos")</f>
        <v>Sin Datos</v>
      </c>
      <c r="D139" s="91" t="str">
        <f>IFERROR( 'TABLA DE PRECIOS'!W153,"Sin Datos")</f>
        <v>Sin Datos</v>
      </c>
      <c r="E139" s="89" t="str">
        <f>IFERROR( 'TABLA DE PRECIOS'!X153,"Sin Datos")</f>
        <v>Sin Datos</v>
      </c>
      <c r="F139" s="87" t="str">
        <f>IFERROR( 'TABLA DE PRECIOS'!S153,"Sin Datos")</f>
        <v>Sin Datos</v>
      </c>
    </row>
    <row r="140" spans="1:6" x14ac:dyDescent="0.2">
      <c r="A140" s="43" t="str">
        <f>IFERROR(SW[[#This Row],[NOMRE DEL PRODUCTO]],"Sin Datos")</f>
        <v>SENSOR D PUERTA / VENTANA BLANCO WI-FI</v>
      </c>
      <c r="B140" s="94" t="str">
        <f>IFERROR( 'TABLA DE PRECIOS'!T154,"Sin Datos")</f>
        <v>Sin Datos</v>
      </c>
      <c r="C140" s="92" t="str">
        <f>IFERROR( 'TABLA DE PRECIOS'!V154,"Sin Datos")</f>
        <v>Sin Datos</v>
      </c>
      <c r="D140" s="90" t="str">
        <f>IFERROR( 'TABLA DE PRECIOS'!W154,"Sin Datos")</f>
        <v>Sin Datos</v>
      </c>
      <c r="E140" s="88" t="str">
        <f>IFERROR( 'TABLA DE PRECIOS'!X154,"Sin Datos")</f>
        <v>Sin Datos</v>
      </c>
      <c r="F140" s="86" t="str">
        <f>IFERROR( 'TABLA DE PRECIOS'!S154,"Sin Datos")</f>
        <v>Sin Datos</v>
      </c>
    </row>
    <row r="141" spans="1:6" x14ac:dyDescent="0.2">
      <c r="A141" s="43" t="str">
        <f>IFERROR(SW[[#This Row],[NOMRE DEL PRODUCTO]],"Sin Datos")</f>
        <v>SENSOR DE PUERTA /VENTANA MINI</v>
      </c>
      <c r="B141" s="95" t="str">
        <f>IFERROR( 'TABLA DE PRECIOS'!T155,"Sin Datos")</f>
        <v>Sin Datos</v>
      </c>
      <c r="C141" s="93" t="str">
        <f>IFERROR( 'TABLA DE PRECIOS'!V155,"Sin Datos")</f>
        <v>Sin Datos</v>
      </c>
      <c r="D141" s="91" t="str">
        <f>IFERROR( 'TABLA DE PRECIOS'!W155,"Sin Datos")</f>
        <v>Sin Datos</v>
      </c>
      <c r="E141" s="89" t="str">
        <f>IFERROR( 'TABLA DE PRECIOS'!X155,"Sin Datos")</f>
        <v>Sin Datos</v>
      </c>
      <c r="F141" s="87" t="str">
        <f>IFERROR( 'TABLA DE PRECIOS'!S155,"Sin Datos")</f>
        <v>Sin Datos</v>
      </c>
    </row>
    <row r="142" spans="1:6" x14ac:dyDescent="0.2">
      <c r="A142" s="43" t="str">
        <f>IFERROR(SW[[#This Row],[NOMRE DEL PRODUCTO]],"Sin Datos")</f>
        <v xml:space="preserve">SENSOR  DE PUERTA /VENTANA SONOFF DW2 - WIFI </v>
      </c>
      <c r="B142" s="94" t="str">
        <f>IFERROR( 'TABLA DE PRECIOS'!T156,"Sin Datos")</f>
        <v>Sin Datos</v>
      </c>
      <c r="C142" s="92" t="str">
        <f>IFERROR( 'TABLA DE PRECIOS'!V156,"Sin Datos")</f>
        <v>Sin Datos</v>
      </c>
      <c r="D142" s="90" t="str">
        <f>IFERROR( 'TABLA DE PRECIOS'!W156,"Sin Datos")</f>
        <v>Sin Datos</v>
      </c>
      <c r="E142" s="88" t="str">
        <f>IFERROR( 'TABLA DE PRECIOS'!X156,"Sin Datos")</f>
        <v>Sin Datos</v>
      </c>
      <c r="F142" s="86" t="str">
        <f>IFERROR( 'TABLA DE PRECIOS'!S156,"Sin Datos")</f>
        <v>Sin Datos</v>
      </c>
    </row>
    <row r="143" spans="1:6" x14ac:dyDescent="0.2">
      <c r="A143" s="43" t="str">
        <f>IFERROR(SW[[#This Row],[NOMRE DEL PRODUCTO]],"Sin Datos")</f>
        <v>SENSOR DE PUERTA/VENTANA ZIGBEE</v>
      </c>
      <c r="B143" s="95" t="str">
        <f>IFERROR( 'TABLA DE PRECIOS'!T157,"Sin Datos")</f>
        <v>Sin Datos</v>
      </c>
      <c r="C143" s="93" t="str">
        <f>IFERROR( 'TABLA DE PRECIOS'!V157,"Sin Datos")</f>
        <v>Sin Datos</v>
      </c>
      <c r="D143" s="91" t="str">
        <f>IFERROR( 'TABLA DE PRECIOS'!W157,"Sin Datos")</f>
        <v>Sin Datos</v>
      </c>
      <c r="E143" s="89" t="str">
        <f>IFERROR( 'TABLA DE PRECIOS'!X157,"Sin Datos")</f>
        <v>Sin Datos</v>
      </c>
      <c r="F143" s="87" t="str">
        <f>IFERROR( 'TABLA DE PRECIOS'!S157,"Sin Datos")</f>
        <v>Sin Datos</v>
      </c>
    </row>
    <row r="144" spans="1:6" x14ac:dyDescent="0.2">
      <c r="A144" s="43" t="str">
        <f>IFERROR(SW[[#This Row],[NOMRE DEL PRODUCTO]],"Sin Datos")</f>
        <v>SENSOR PARA CORTINAS AUTO</v>
      </c>
      <c r="B144" s="94" t="str">
        <f>IFERROR( 'TABLA DE PRECIOS'!T158,"Sin Datos")</f>
        <v>Sin Datos</v>
      </c>
      <c r="C144" s="92" t="str">
        <f>IFERROR( 'TABLA DE PRECIOS'!V158,"Sin Datos")</f>
        <v>Sin Datos</v>
      </c>
      <c r="D144" s="90" t="str">
        <f>IFERROR( 'TABLA DE PRECIOS'!W158,"Sin Datos")</f>
        <v>Sin Datos</v>
      </c>
      <c r="E144" s="88" t="str">
        <f>IFERROR( 'TABLA DE PRECIOS'!X158,"Sin Datos")</f>
        <v>Sin Datos</v>
      </c>
      <c r="F144" s="86" t="str">
        <f>IFERROR( 'TABLA DE PRECIOS'!S158,"Sin Datos")</f>
        <v>Sin Datos</v>
      </c>
    </row>
    <row r="145" spans="1:6" x14ac:dyDescent="0.2">
      <c r="A145" s="43" t="str">
        <f>IFERROR(SW[[#This Row],[NOMRE DEL PRODUCTO]],"Sin Datos")</f>
        <v xml:space="preserve">SENSOR SWITCH DE NIVEL DE AGUA </v>
      </c>
      <c r="B145" s="95" t="str">
        <f>IFERROR( 'TABLA DE PRECIOS'!T159,"Sin Datos")</f>
        <v>Sin Datos</v>
      </c>
      <c r="C145" s="93" t="str">
        <f>IFERROR( 'TABLA DE PRECIOS'!V159,"Sin Datos")</f>
        <v>Sin Datos</v>
      </c>
      <c r="D145" s="91" t="str">
        <f>IFERROR( 'TABLA DE PRECIOS'!W159,"Sin Datos")</f>
        <v>Sin Datos</v>
      </c>
      <c r="E145" s="89" t="str">
        <f>IFERROR( 'TABLA DE PRECIOS'!X159,"Sin Datos")</f>
        <v>Sin Datos</v>
      </c>
      <c r="F145" s="87" t="str">
        <f>IFERROR( 'TABLA DE PRECIOS'!S159,"Sin Datos")</f>
        <v>Sin Datos</v>
      </c>
    </row>
    <row r="146" spans="1:6" x14ac:dyDescent="0.2">
      <c r="A146" s="43" t="str">
        <f>IFERROR(SW[[#This Row],[NOMRE DEL PRODUCTO]],"Sin Datos")</f>
        <v>SENSOR DE VIENTO Y LLUVIA</v>
      </c>
      <c r="B146" s="94" t="str">
        <f>IFERROR( 'TABLA DE PRECIOS'!T160,"Sin Datos")</f>
        <v>Sin Datos</v>
      </c>
      <c r="C146" s="92" t="str">
        <f>IFERROR( 'TABLA DE PRECIOS'!V160,"Sin Datos")</f>
        <v>Sin Datos</v>
      </c>
      <c r="D146" s="90" t="str">
        <f>IFERROR( 'TABLA DE PRECIOS'!W160,"Sin Datos")</f>
        <v>Sin Datos</v>
      </c>
      <c r="E146" s="88" t="str">
        <f>IFERROR( 'TABLA DE PRECIOS'!X160,"Sin Datos")</f>
        <v>Sin Datos</v>
      </c>
      <c r="F146" s="86" t="str">
        <f>IFERROR( 'TABLA DE PRECIOS'!S160,"Sin Datos")</f>
        <v>Sin Datos</v>
      </c>
    </row>
    <row r="147" spans="1:6" x14ac:dyDescent="0.2">
      <c r="A147" s="43" t="str">
        <f>IFERROR(SW[[#This Row],[NOMRE DEL PRODUCTO]],"Sin Datos")</f>
        <v>SENSOR SONOFF DW1</v>
      </c>
      <c r="B147" s="95" t="str">
        <f>IFERROR( 'TABLA DE PRECIOS'!T161,"Sin Datos")</f>
        <v>Sin Datos</v>
      </c>
      <c r="C147" s="93" t="str">
        <f>IFERROR( 'TABLA DE PRECIOS'!V161,"Sin Datos")</f>
        <v>Sin Datos</v>
      </c>
      <c r="D147" s="91" t="str">
        <f>IFERROR( 'TABLA DE PRECIOS'!W161,"Sin Datos")</f>
        <v>Sin Datos</v>
      </c>
      <c r="E147" s="89" t="str">
        <f>IFERROR( 'TABLA DE PRECIOS'!X161,"Sin Datos")</f>
        <v>Sin Datos</v>
      </c>
      <c r="F147" s="87" t="str">
        <f>IFERROR( 'TABLA DE PRECIOS'!S161,"Sin Datos")</f>
        <v>Sin Datos</v>
      </c>
    </row>
    <row r="148" spans="1:6" x14ac:dyDescent="0.2">
      <c r="A148" s="43" t="str">
        <f>IFERROR(SW[[#This Row],[NOMRE DEL PRODUCTO]],"Sin Datos")</f>
        <v>SENSOR WIFI PUERTA/VENTANA</v>
      </c>
      <c r="B148" s="94" t="str">
        <f>IFERROR( 'TABLA DE PRECIOS'!T162,"Sin Datos")</f>
        <v>Sin Datos</v>
      </c>
      <c r="C148" s="92" t="str">
        <f>IFERROR( 'TABLA DE PRECIOS'!V162,"Sin Datos")</f>
        <v>Sin Datos</v>
      </c>
      <c r="D148" s="90" t="str">
        <f>IFERROR( 'TABLA DE PRECIOS'!W162,"Sin Datos")</f>
        <v>Sin Datos</v>
      </c>
      <c r="E148" s="88" t="str">
        <f>IFERROR( 'TABLA DE PRECIOS'!X162,"Sin Datos")</f>
        <v>Sin Datos</v>
      </c>
      <c r="F148" s="86" t="str">
        <f>IFERROR( 'TABLA DE PRECIOS'!S162,"Sin Datos")</f>
        <v>Sin Datos</v>
      </c>
    </row>
    <row r="149" spans="1:6" x14ac:dyDescent="0.2">
      <c r="A149" s="43" t="str">
        <f>IFERROR(SW[[#This Row],[NOMRE DEL PRODUCTO]],"Sin Datos")</f>
        <v xml:space="preserve">SISTEMA A/2 </v>
      </c>
      <c r="B149" s="95">
        <f>IFERROR( 'TABLA DE PRECIOS'!T163,"Sin Datos")</f>
        <v>8757.8287500000006</v>
      </c>
      <c r="C149" s="93">
        <f>IFERROR( 'TABLA DE PRECIOS'!V163,"Sin Datos")</f>
        <v>9983.9247750000013</v>
      </c>
      <c r="D149" s="91">
        <f>IFERROR( 'TABLA DE PRECIOS'!W163,"Sin Datos")</f>
        <v>10509.3945</v>
      </c>
      <c r="E149" s="89">
        <f>IFERROR( 'TABLA DE PRECIOS'!X163,"Sin Datos")</f>
        <v>14140.551052000001</v>
      </c>
      <c r="F149" s="87">
        <f>IFERROR( 'TABLA DE PRECIOS'!S163,"Sin Datos")</f>
        <v>5838.5524999999998</v>
      </c>
    </row>
    <row r="150" spans="1:6" x14ac:dyDescent="0.2">
      <c r="A150" s="43" t="str">
        <f>IFERROR(SW[[#This Row],[NOMRE DEL PRODUCTO]],"Sin Datos")</f>
        <v>SISTEMA A/3</v>
      </c>
      <c r="B150" s="94">
        <f>IFERROR( 'TABLA DE PRECIOS'!T164,"Sin Datos")</f>
        <v>9228.911250000001</v>
      </c>
      <c r="C150" s="92">
        <f>IFERROR( 'TABLA DE PRECIOS'!V164,"Sin Datos")</f>
        <v>10520.958825000002</v>
      </c>
      <c r="D150" s="90">
        <f>IFERROR( 'TABLA DE PRECIOS'!W164,"Sin Datos")</f>
        <v>11074.693500000001</v>
      </c>
      <c r="E150" s="88">
        <f>IFERROR( 'TABLA DE PRECIOS'!X164,"Sin Datos")</f>
        <v>14895.790516000001</v>
      </c>
      <c r="F150" s="86">
        <f>IFERROR( 'TABLA DE PRECIOS'!S164,"Sin Datos")</f>
        <v>6152.607500000001</v>
      </c>
    </row>
    <row r="151" spans="1:6" x14ac:dyDescent="0.2">
      <c r="A151" s="43" t="str">
        <f>IFERROR(SW[[#This Row],[NOMRE DEL PRODUCTO]],"Sin Datos")</f>
        <v>SISTEMA CORREDIZO 3 HOJAS</v>
      </c>
      <c r="B151" s="95" t="str">
        <f>IFERROR( 'TABLA DE PRECIOS'!T165,"Sin Datos")</f>
        <v>Sin Datos</v>
      </c>
      <c r="C151" s="93" t="str">
        <f>IFERROR( 'TABLA DE PRECIOS'!V165,"Sin Datos")</f>
        <v>Sin Datos</v>
      </c>
      <c r="D151" s="91" t="str">
        <f>IFERROR( 'TABLA DE PRECIOS'!W165,"Sin Datos")</f>
        <v>Sin Datos</v>
      </c>
      <c r="E151" s="89" t="str">
        <f>IFERROR( 'TABLA DE PRECIOS'!X165,"Sin Datos")</f>
        <v>Sin Datos</v>
      </c>
      <c r="F151" s="87" t="str">
        <f>IFERROR( 'TABLA DE PRECIOS'!S165,"Sin Datos")</f>
        <v>Sin Datos</v>
      </c>
    </row>
    <row r="152" spans="1:6" x14ac:dyDescent="0.2">
      <c r="A152" s="43" t="str">
        <f>IFERROR(SW[[#This Row],[NOMRE DEL PRODUCTO]],"Sin Datos")</f>
        <v>SISTEMA CORREDIZO "S"</v>
      </c>
      <c r="B152" s="94" t="str">
        <f>IFERROR( 'TABLA DE PRECIOS'!T166,"Sin Datos")</f>
        <v>Sin Datos</v>
      </c>
      <c r="C152" s="92" t="str">
        <f>IFERROR( 'TABLA DE PRECIOS'!V166,"Sin Datos")</f>
        <v>Sin Datos</v>
      </c>
      <c r="D152" s="90" t="str">
        <f>IFERROR( 'TABLA DE PRECIOS'!W166,"Sin Datos")</f>
        <v>Sin Datos</v>
      </c>
      <c r="E152" s="88" t="str">
        <f>IFERROR( 'TABLA DE PRECIOS'!X166,"Sin Datos")</f>
        <v>Sin Datos</v>
      </c>
      <c r="F152" s="86" t="str">
        <f>IFERROR( 'TABLA DE PRECIOS'!S166,"Sin Datos")</f>
        <v>Sin Datos</v>
      </c>
    </row>
    <row r="153" spans="1:6" x14ac:dyDescent="0.2">
      <c r="A153" s="43" t="str">
        <f>IFERROR(SW[[#This Row],[NOMRE DEL PRODUCTO]],"Sin Datos")</f>
        <v xml:space="preserve"> SISTEMA DGSW APP VENTANA SMART</v>
      </c>
      <c r="B153" s="95" t="str">
        <f>IFERROR( 'TABLA DE PRECIOS'!T167,"Sin Datos")</f>
        <v>Sin Datos</v>
      </c>
      <c r="C153" s="93" t="str">
        <f>IFERROR( 'TABLA DE PRECIOS'!V167,"Sin Datos")</f>
        <v>Sin Datos</v>
      </c>
      <c r="D153" s="91" t="str">
        <f>IFERROR( 'TABLA DE PRECIOS'!W167,"Sin Datos")</f>
        <v>Sin Datos</v>
      </c>
      <c r="E153" s="89" t="str">
        <f>IFERROR( 'TABLA DE PRECIOS'!X167,"Sin Datos")</f>
        <v>Sin Datos</v>
      </c>
      <c r="F153" s="87" t="str">
        <f>IFERROR( 'TABLA DE PRECIOS'!S167,"Sin Datos")</f>
        <v>Sin Datos</v>
      </c>
    </row>
    <row r="154" spans="1:6" x14ac:dyDescent="0.2">
      <c r="A154" s="43" t="str">
        <f>IFERROR(SW[[#This Row],[NOMRE DEL PRODUCTO]],"Sin Datos")</f>
        <v xml:space="preserve">SISTEMA DGSW A/1  BLANCO </v>
      </c>
      <c r="B154" s="94" t="str">
        <f>IFERROR( 'TABLA DE PRECIOS'!T168,"Sin Datos")</f>
        <v>Sin Datos</v>
      </c>
      <c r="C154" s="92" t="str">
        <f>IFERROR( 'TABLA DE PRECIOS'!V168,"Sin Datos")</f>
        <v>Sin Datos</v>
      </c>
      <c r="D154" s="90" t="str">
        <f>IFERROR( 'TABLA DE PRECIOS'!W168,"Sin Datos")</f>
        <v>Sin Datos</v>
      </c>
      <c r="E154" s="88" t="str">
        <f>IFERROR( 'TABLA DE PRECIOS'!X168,"Sin Datos")</f>
        <v>Sin Datos</v>
      </c>
      <c r="F154" s="86" t="str">
        <f>IFERROR( 'TABLA DE PRECIOS'!S168,"Sin Datos")</f>
        <v>Sin Datos</v>
      </c>
    </row>
    <row r="155" spans="1:6" x14ac:dyDescent="0.2">
      <c r="A155" s="43" t="str">
        <f>IFERROR(SW[[#This Row],[NOMRE DEL PRODUCTO]],"Sin Datos")</f>
        <v>SISTEMA DGSW A/1 NEGRO</v>
      </c>
      <c r="B155" s="95" t="str">
        <f>IFERROR( 'TABLA DE PRECIOS'!T169,"Sin Datos")</f>
        <v>Sin Datos</v>
      </c>
      <c r="C155" s="93" t="str">
        <f>IFERROR( 'TABLA DE PRECIOS'!V169,"Sin Datos")</f>
        <v>Sin Datos</v>
      </c>
      <c r="D155" s="91" t="str">
        <f>IFERROR( 'TABLA DE PRECIOS'!W169,"Sin Datos")</f>
        <v>Sin Datos</v>
      </c>
      <c r="E155" s="89" t="str">
        <f>IFERROR( 'TABLA DE PRECIOS'!X169,"Sin Datos")</f>
        <v>Sin Datos</v>
      </c>
      <c r="F155" s="87" t="str">
        <f>IFERROR( 'TABLA DE PRECIOS'!S169,"Sin Datos")</f>
        <v>Sin Datos</v>
      </c>
    </row>
    <row r="156" spans="1:6" x14ac:dyDescent="0.2">
      <c r="A156" s="43" t="str">
        <f>IFERROR(SW[[#This Row],[NOMRE DEL PRODUCTO]],"Sin Datos")</f>
        <v>SISTEMA DE PROYECCION</v>
      </c>
      <c r="B156" s="94">
        <f>IFERROR( 'TABLA DE PRECIOS'!T170,"Sin Datos")</f>
        <v>3889.0401241935488</v>
      </c>
      <c r="C156" s="92">
        <f>IFERROR( 'TABLA DE PRECIOS'!V170,"Sin Datos")</f>
        <v>4433.5057415806459</v>
      </c>
      <c r="D156" s="90">
        <f>IFERROR( 'TABLA DE PRECIOS'!W170,"Sin Datos")</f>
        <v>4666.8481490322583</v>
      </c>
      <c r="E156" s="88">
        <f>IFERROR( 'TABLA DE PRECIOS'!X170,"Sin Datos")</f>
        <v>6334.9091271070974</v>
      </c>
      <c r="F156" s="86">
        <f>IFERROR( 'TABLA DE PRECIOS'!S170,"Sin Datos")</f>
        <v>2592.6934161290324</v>
      </c>
    </row>
    <row r="157" spans="1:6" x14ac:dyDescent="0.2">
      <c r="A157" s="43" t="str">
        <f>IFERROR(SW[[#This Row],[NOMRE DEL PRODUCTO]],"Sin Datos")</f>
        <v>CHAPA DE SEGURIDAD</v>
      </c>
      <c r="B157" s="95" t="str">
        <f>IFERROR( 'TABLA DE PRECIOS'!T171,"Sin Datos")</f>
        <v>Sin Datos</v>
      </c>
      <c r="C157" s="93" t="str">
        <f>IFERROR( 'TABLA DE PRECIOS'!V171,"Sin Datos")</f>
        <v>Sin Datos</v>
      </c>
      <c r="D157" s="91" t="str">
        <f>IFERROR( 'TABLA DE PRECIOS'!W171,"Sin Datos")</f>
        <v>Sin Datos</v>
      </c>
      <c r="E157" s="89" t="str">
        <f>IFERROR( 'TABLA DE PRECIOS'!X171,"Sin Datos")</f>
        <v>Sin Datos</v>
      </c>
      <c r="F157" s="87" t="str">
        <f>IFERROR( 'TABLA DE PRECIOS'!S171,"Sin Datos")</f>
        <v>Sin Datos</v>
      </c>
    </row>
    <row r="158" spans="1:6" x14ac:dyDescent="0.2">
      <c r="A158" s="43" t="str">
        <f>IFERROR(SW[[#This Row],[NOMRE DEL PRODUCTO]],"Sin Datos")</f>
        <v>SISTEMA DE PROYECCION DOBLE CADENA</v>
      </c>
      <c r="B158" s="94" t="str">
        <f>IFERROR( 'TABLA DE PRECIOS'!T172,"Sin Datos")</f>
        <v>Sin Datos</v>
      </c>
      <c r="C158" s="92" t="str">
        <f>IFERROR( 'TABLA DE PRECIOS'!V172,"Sin Datos")</f>
        <v>Sin Datos</v>
      </c>
      <c r="D158" s="90" t="str">
        <f>IFERROR( 'TABLA DE PRECIOS'!W172,"Sin Datos")</f>
        <v>Sin Datos</v>
      </c>
      <c r="E158" s="88" t="str">
        <f>IFERROR( 'TABLA DE PRECIOS'!X172,"Sin Datos")</f>
        <v>Sin Datos</v>
      </c>
      <c r="F158" s="86" t="str">
        <f>IFERROR( 'TABLA DE PRECIOS'!S172,"Sin Datos")</f>
        <v>Sin Datos</v>
      </c>
    </row>
    <row r="159" spans="1:6" x14ac:dyDescent="0.2">
      <c r="A159" s="43" t="str">
        <f>IFERROR(SW[[#This Row],[NOMRE DEL PRODUCTO]],"Sin Datos")</f>
        <v>SISTEMA S1</v>
      </c>
      <c r="B159" s="95">
        <f>IFERROR( 'TABLA DE PRECIOS'!T173,"Sin Datos")</f>
        <v>5566.6652758064511</v>
      </c>
      <c r="C159" s="93">
        <f>IFERROR( 'TABLA DE PRECIOS'!V173,"Sin Datos")</f>
        <v>6345.998414419354</v>
      </c>
      <c r="D159" s="91">
        <f>IFERROR( 'TABLA DE PRECIOS'!W173,"Sin Datos")</f>
        <v>6679.9983309677409</v>
      </c>
      <c r="E159" s="89">
        <f>IFERROR( 'TABLA DE PRECIOS'!X173,"Sin Datos")</f>
        <v>9024.4777701729017</v>
      </c>
      <c r="F159" s="87">
        <f>IFERROR( 'TABLA DE PRECIOS'!S173,"Sin Datos")</f>
        <v>3711.1101838709674</v>
      </c>
    </row>
    <row r="160" spans="1:6" x14ac:dyDescent="0.2">
      <c r="A160" s="43" t="str">
        <f>IFERROR(SW[[#This Row],[NOMRE DEL PRODUCTO]],"Sin Datos")</f>
        <v>SISTEMA S2</v>
      </c>
      <c r="B160" s="94" t="str">
        <f>IFERROR( 'TABLA DE PRECIOS'!T174,"Sin Datos")</f>
        <v>Sin Datos</v>
      </c>
      <c r="C160" s="92" t="str">
        <f>IFERROR( 'TABLA DE PRECIOS'!V174,"Sin Datos")</f>
        <v>Sin Datos</v>
      </c>
      <c r="D160" s="90" t="str">
        <f>IFERROR( 'TABLA DE PRECIOS'!W174,"Sin Datos")</f>
        <v>Sin Datos</v>
      </c>
      <c r="E160" s="88" t="str">
        <f>IFERROR( 'TABLA DE PRECIOS'!X174,"Sin Datos")</f>
        <v>Sin Datos</v>
      </c>
      <c r="F160" s="86" t="str">
        <f>IFERROR( 'TABLA DE PRECIOS'!S174,"Sin Datos")</f>
        <v>Sin Datos</v>
      </c>
    </row>
    <row r="161" spans="1:6" x14ac:dyDescent="0.2">
      <c r="A161" s="43" t="str">
        <f>IFERROR(SW[[#This Row],[NOMRE DEL PRODUCTO]],"Sin Datos")</f>
        <v>SMART GARAGE (Caja Azul)</v>
      </c>
      <c r="B161" s="95" t="str">
        <f>IFERROR( 'TABLA DE PRECIOS'!T175,"Sin Datos")</f>
        <v>Sin Datos</v>
      </c>
      <c r="C161" s="93" t="str">
        <f>IFERROR( 'TABLA DE PRECIOS'!V175,"Sin Datos")</f>
        <v>Sin Datos</v>
      </c>
      <c r="D161" s="91" t="str">
        <f>IFERROR( 'TABLA DE PRECIOS'!W175,"Sin Datos")</f>
        <v>Sin Datos</v>
      </c>
      <c r="E161" s="89" t="str">
        <f>IFERROR( 'TABLA DE PRECIOS'!X175,"Sin Datos")</f>
        <v>Sin Datos</v>
      </c>
      <c r="F161" s="87" t="str">
        <f>IFERROR( 'TABLA DE PRECIOS'!S175,"Sin Datos")</f>
        <v>Sin Datos</v>
      </c>
    </row>
    <row r="162" spans="1:6" x14ac:dyDescent="0.2">
      <c r="A162" s="43" t="str">
        <f>IFERROR(SW[[#This Row],[NOMRE DEL PRODUCTO]],"Sin Datos")</f>
        <v>SMART  IR  GRANDE CONTOL REMOTO</v>
      </c>
      <c r="B162" s="94" t="str">
        <f>IFERROR( 'TABLA DE PRECIOS'!T176,"Sin Datos")</f>
        <v>Sin Datos</v>
      </c>
      <c r="C162" s="92" t="str">
        <f>IFERROR( 'TABLA DE PRECIOS'!V176,"Sin Datos")</f>
        <v>Sin Datos</v>
      </c>
      <c r="D162" s="90" t="str">
        <f>IFERROR( 'TABLA DE PRECIOS'!W176,"Sin Datos")</f>
        <v>Sin Datos</v>
      </c>
      <c r="E162" s="88" t="str">
        <f>IFERROR( 'TABLA DE PRECIOS'!X176,"Sin Datos")</f>
        <v>Sin Datos</v>
      </c>
      <c r="F162" s="86" t="str">
        <f>IFERROR( 'TABLA DE PRECIOS'!S176,"Sin Datos")</f>
        <v>Sin Datos</v>
      </c>
    </row>
    <row r="163" spans="1:6" x14ac:dyDescent="0.2">
      <c r="A163" s="43" t="str">
        <f>IFERROR(SW[[#This Row],[NOMRE DEL PRODUCTO]],"Sin Datos")</f>
        <v>SMART  IR  MINI CONTROL REMOTO</v>
      </c>
      <c r="B163" s="95" t="str">
        <f>IFERROR( 'TABLA DE PRECIOS'!T177,"Sin Datos")</f>
        <v>Sin Datos</v>
      </c>
      <c r="C163" s="93" t="str">
        <f>IFERROR( 'TABLA DE PRECIOS'!V177,"Sin Datos")</f>
        <v>Sin Datos</v>
      </c>
      <c r="D163" s="91" t="str">
        <f>IFERROR( 'TABLA DE PRECIOS'!W177,"Sin Datos")</f>
        <v>Sin Datos</v>
      </c>
      <c r="E163" s="89" t="str">
        <f>IFERROR( 'TABLA DE PRECIOS'!X177,"Sin Datos")</f>
        <v>Sin Datos</v>
      </c>
      <c r="F163" s="87" t="str">
        <f>IFERROR( 'TABLA DE PRECIOS'!S177,"Sin Datos")</f>
        <v>Sin Datos</v>
      </c>
    </row>
    <row r="164" spans="1:6" x14ac:dyDescent="0.2">
      <c r="A164" s="43" t="str">
        <f>IFERROR(SW[[#This Row],[NOMRE DEL PRODUCTO]],"Sin Datos")</f>
        <v xml:space="preserve">SMART LOCK </v>
      </c>
      <c r="B164" s="94" t="str">
        <f>IFERROR( 'TABLA DE PRECIOS'!T178,"Sin Datos")</f>
        <v>Sin Datos</v>
      </c>
      <c r="C164" s="92" t="str">
        <f>IFERROR( 'TABLA DE PRECIOS'!V178,"Sin Datos")</f>
        <v>Sin Datos</v>
      </c>
      <c r="D164" s="90" t="str">
        <f>IFERROR( 'TABLA DE PRECIOS'!W178,"Sin Datos")</f>
        <v>Sin Datos</v>
      </c>
      <c r="E164" s="88" t="str">
        <f>IFERROR( 'TABLA DE PRECIOS'!X178,"Sin Datos")</f>
        <v>Sin Datos</v>
      </c>
      <c r="F164" s="86" t="str">
        <f>IFERROR( 'TABLA DE PRECIOS'!S178,"Sin Datos")</f>
        <v>Sin Datos</v>
      </c>
    </row>
    <row r="165" spans="1:6" x14ac:dyDescent="0.2">
      <c r="A165" s="43" t="str">
        <f>IFERROR(SW[[#This Row],[NOMRE DEL PRODUCTO]],"Sin Datos")</f>
        <v xml:space="preserve">SMART LOCK RECTANGULAR </v>
      </c>
      <c r="B165" s="95" t="str">
        <f>IFERROR( 'TABLA DE PRECIOS'!T179,"Sin Datos")</f>
        <v>Sin Datos</v>
      </c>
      <c r="C165" s="93" t="str">
        <f>IFERROR( 'TABLA DE PRECIOS'!V179,"Sin Datos")</f>
        <v>Sin Datos</v>
      </c>
      <c r="D165" s="91" t="str">
        <f>IFERROR( 'TABLA DE PRECIOS'!W179,"Sin Datos")</f>
        <v>Sin Datos</v>
      </c>
      <c r="E165" s="89" t="str">
        <f>IFERROR( 'TABLA DE PRECIOS'!X179,"Sin Datos")</f>
        <v>Sin Datos</v>
      </c>
      <c r="F165" s="87" t="str">
        <f>IFERROR( 'TABLA DE PRECIOS'!S179,"Sin Datos")</f>
        <v>Sin Datos</v>
      </c>
    </row>
    <row r="166" spans="1:6" x14ac:dyDescent="0.2">
      <c r="A166" s="43" t="str">
        <f>IFERROR(SW[[#This Row],[NOMRE DEL PRODUCTO]],"Sin Datos")</f>
        <v>SMART SWICH MINI WIFI</v>
      </c>
      <c r="B166" s="94" t="str">
        <f>IFERROR( 'TABLA DE PRECIOS'!T180,"Sin Datos")</f>
        <v>Sin Datos</v>
      </c>
      <c r="C166" s="92" t="str">
        <f>IFERROR( 'TABLA DE PRECIOS'!V180,"Sin Datos")</f>
        <v>Sin Datos</v>
      </c>
      <c r="D166" s="90" t="str">
        <f>IFERROR( 'TABLA DE PRECIOS'!W180,"Sin Datos")</f>
        <v>Sin Datos</v>
      </c>
      <c r="E166" s="88" t="str">
        <f>IFERROR( 'TABLA DE PRECIOS'!X180,"Sin Datos")</f>
        <v>Sin Datos</v>
      </c>
      <c r="F166" s="86" t="str">
        <f>IFERROR( 'TABLA DE PRECIOS'!S180,"Sin Datos")</f>
        <v>Sin Datos</v>
      </c>
    </row>
    <row r="167" spans="1:6" x14ac:dyDescent="0.2">
      <c r="A167" s="43" t="str">
        <f>IFERROR(SW[[#This Row],[NOMRE DEL PRODUCTO]],"Sin Datos")</f>
        <v>SOPORTE EN U</v>
      </c>
      <c r="B167" s="95" t="str">
        <f>IFERROR( 'TABLA DE PRECIOS'!T181,"Sin Datos")</f>
        <v>Sin Datos</v>
      </c>
      <c r="C167" s="93" t="str">
        <f>IFERROR( 'TABLA DE PRECIOS'!V181,"Sin Datos")</f>
        <v>Sin Datos</v>
      </c>
      <c r="D167" s="91" t="str">
        <f>IFERROR( 'TABLA DE PRECIOS'!W181,"Sin Datos")</f>
        <v>Sin Datos</v>
      </c>
      <c r="E167" s="89" t="str">
        <f>IFERROR( 'TABLA DE PRECIOS'!X181,"Sin Datos")</f>
        <v>Sin Datos</v>
      </c>
      <c r="F167" s="87" t="str">
        <f>IFERROR( 'TABLA DE PRECIOS'!S181,"Sin Datos")</f>
        <v>Sin Datos</v>
      </c>
    </row>
    <row r="168" spans="1:6" x14ac:dyDescent="0.2">
      <c r="A168" s="43" t="str">
        <f>IFERROR(SW[[#This Row],[NOMRE DEL PRODUCTO]],"Sin Datos")</f>
        <v>TARJETAS DE ACCESO</v>
      </c>
      <c r="B168" s="94" t="str">
        <f>IFERROR( 'TABLA DE PRECIOS'!T182,"Sin Datos")</f>
        <v>Sin Datos</v>
      </c>
      <c r="C168" s="92" t="str">
        <f>IFERROR( 'TABLA DE PRECIOS'!V182,"Sin Datos")</f>
        <v>Sin Datos</v>
      </c>
      <c r="D168" s="90" t="str">
        <f>IFERROR( 'TABLA DE PRECIOS'!W182,"Sin Datos")</f>
        <v>Sin Datos</v>
      </c>
      <c r="E168" s="88" t="str">
        <f>IFERROR( 'TABLA DE PRECIOS'!X182,"Sin Datos")</f>
        <v>Sin Datos</v>
      </c>
      <c r="F168" s="86" t="str">
        <f>IFERROR( 'TABLA DE PRECIOS'!S182,"Sin Datos")</f>
        <v>Sin Datos</v>
      </c>
    </row>
    <row r="169" spans="1:6" x14ac:dyDescent="0.2">
      <c r="A169" s="43" t="str">
        <f>IFERROR(SW[[#This Row],[NOMRE DEL PRODUCTO]],"Sin Datos")</f>
        <v xml:space="preserve">TARJETA DE MEMORIA ADATA </v>
      </c>
      <c r="B169" s="95" t="str">
        <f>IFERROR( 'TABLA DE PRECIOS'!T183,"Sin Datos")</f>
        <v>Sin Datos</v>
      </c>
      <c r="C169" s="93" t="str">
        <f>IFERROR( 'TABLA DE PRECIOS'!V183,"Sin Datos")</f>
        <v>Sin Datos</v>
      </c>
      <c r="D169" s="91" t="str">
        <f>IFERROR( 'TABLA DE PRECIOS'!W183,"Sin Datos")</f>
        <v>Sin Datos</v>
      </c>
      <c r="E169" s="89" t="str">
        <f>IFERROR( 'TABLA DE PRECIOS'!X183,"Sin Datos")</f>
        <v>Sin Datos</v>
      </c>
      <c r="F169" s="87" t="str">
        <f>IFERROR( 'TABLA DE PRECIOS'!S183,"Sin Datos")</f>
        <v>Sin Datos</v>
      </c>
    </row>
    <row r="170" spans="1:6" x14ac:dyDescent="0.2">
      <c r="A170" s="43" t="str">
        <f>IFERROR(SW[[#This Row],[NOMRE DEL PRODUCTO]],"Sin Datos")</f>
        <v>TARJETA RFID (Venta/Paquete 50Pz.)</v>
      </c>
      <c r="B170" s="94" t="str">
        <f>IFERROR( 'TABLA DE PRECIOS'!T184,"Sin Datos")</f>
        <v>Sin Datos</v>
      </c>
      <c r="C170" s="92" t="str">
        <f>IFERROR( 'TABLA DE PRECIOS'!V184,"Sin Datos")</f>
        <v>Sin Datos</v>
      </c>
      <c r="D170" s="90" t="str">
        <f>IFERROR( 'TABLA DE PRECIOS'!W184,"Sin Datos")</f>
        <v>Sin Datos</v>
      </c>
      <c r="E170" s="88" t="str">
        <f>IFERROR( 'TABLA DE PRECIOS'!X184,"Sin Datos")</f>
        <v>Sin Datos</v>
      </c>
      <c r="F170" s="86" t="str">
        <f>IFERROR( 'TABLA DE PRECIOS'!S184,"Sin Datos")</f>
        <v>Sin Datos</v>
      </c>
    </row>
    <row r="171" spans="1:6" x14ac:dyDescent="0.2">
      <c r="A171" s="43" t="str">
        <f>IFERROR(SW[[#This Row],[NOMRE DEL PRODUCTO]],"Sin Datos")</f>
        <v>TRASMISOR de HD VIDEO</v>
      </c>
      <c r="B171" s="95" t="str">
        <f>IFERROR( 'TABLA DE PRECIOS'!T185,"Sin Datos")</f>
        <v>Sin Datos</v>
      </c>
      <c r="C171" s="93" t="str">
        <f>IFERROR( 'TABLA DE PRECIOS'!V185,"Sin Datos")</f>
        <v>Sin Datos</v>
      </c>
      <c r="D171" s="91" t="str">
        <f>IFERROR( 'TABLA DE PRECIOS'!W185,"Sin Datos")</f>
        <v>Sin Datos</v>
      </c>
      <c r="E171" s="89" t="str">
        <f>IFERROR( 'TABLA DE PRECIOS'!X185,"Sin Datos")</f>
        <v>Sin Datos</v>
      </c>
      <c r="F171" s="87" t="str">
        <f>IFERROR( 'TABLA DE PRECIOS'!S185,"Sin Datos")</f>
        <v>Sin Datos</v>
      </c>
    </row>
    <row r="172" spans="1:6" x14ac:dyDescent="0.2">
      <c r="A172" s="43" t="str">
        <f>IFERROR(SW[[#This Row],[NOMRE DEL PRODUCTO]],"Sin Datos")</f>
        <v xml:space="preserve"> TIMBRE CON VIDEO WIFI</v>
      </c>
      <c r="B172" s="94" t="str">
        <f>IFERROR( 'TABLA DE PRECIOS'!T186,"Sin Datos")</f>
        <v>Sin Datos</v>
      </c>
      <c r="C172" s="92" t="str">
        <f>IFERROR( 'TABLA DE PRECIOS'!V186,"Sin Datos")</f>
        <v>Sin Datos</v>
      </c>
      <c r="D172" s="90" t="str">
        <f>IFERROR( 'TABLA DE PRECIOS'!W186,"Sin Datos")</f>
        <v>Sin Datos</v>
      </c>
      <c r="E172" s="88" t="str">
        <f>IFERROR( 'TABLA DE PRECIOS'!X186,"Sin Datos")</f>
        <v>Sin Datos</v>
      </c>
      <c r="F172" s="86" t="str">
        <f>IFERROR( 'TABLA DE PRECIOS'!S186,"Sin Datos")</f>
        <v>Sin Datos</v>
      </c>
    </row>
    <row r="173" spans="1:6" x14ac:dyDescent="0.2">
      <c r="A173" s="43" t="str">
        <f>IFERROR(SW[[#This Row],[NOMRE DEL PRODUCTO]],"Sin Datos")</f>
        <v xml:space="preserve">WIRELESS SWITCH </v>
      </c>
      <c r="B173" s="95" t="str">
        <f>IFERROR( 'TABLA DE PRECIOS'!T187,"Sin Datos")</f>
        <v>Sin Datos</v>
      </c>
      <c r="C173" s="93" t="str">
        <f>IFERROR( 'TABLA DE PRECIOS'!V187,"Sin Datos")</f>
        <v>Sin Datos</v>
      </c>
      <c r="D173" s="91" t="str">
        <f>IFERROR( 'TABLA DE PRECIOS'!W187,"Sin Datos")</f>
        <v>Sin Datos</v>
      </c>
      <c r="E173" s="89" t="str">
        <f>IFERROR( 'TABLA DE PRECIOS'!X187,"Sin Datos")</f>
        <v>Sin Datos</v>
      </c>
      <c r="F173" s="87" t="str">
        <f>IFERROR( 'TABLA DE PRECIOS'!S187,"Sin Datos")</f>
        <v>Sin Datos</v>
      </c>
    </row>
    <row r="174" spans="1:6" x14ac:dyDescent="0.2">
      <c r="A174" s="43" t="str">
        <f>IFERROR(SW[[#This Row],[NOMRE DEL PRODUCTO]],"Sin Datos")</f>
        <v>WIFI CONTROL VALVE</v>
      </c>
      <c r="B174" s="94" t="str">
        <f>IFERROR( 'TABLA DE PRECIOS'!T188,"Sin Datos")</f>
        <v>Sin Datos</v>
      </c>
      <c r="C174" s="92" t="str">
        <f>IFERROR( 'TABLA DE PRECIOS'!V188,"Sin Datos")</f>
        <v>Sin Datos</v>
      </c>
      <c r="D174" s="90" t="str">
        <f>IFERROR( 'TABLA DE PRECIOS'!W188,"Sin Datos")</f>
        <v>Sin Datos</v>
      </c>
      <c r="E174" s="88" t="str">
        <f>IFERROR( 'TABLA DE PRECIOS'!X188,"Sin Datos")</f>
        <v>Sin Datos</v>
      </c>
      <c r="F174" s="86" t="str">
        <f>IFERROR( 'TABLA DE PRECIOS'!S188,"Sin Datos")</f>
        <v>Sin Datos</v>
      </c>
    </row>
    <row r="175" spans="1:6" x14ac:dyDescent="0.2">
      <c r="A175" s="43" t="str">
        <f>IFERROR(SW[[#This Row],[NOMRE DEL PRODUCTO]],"Sin Datos")</f>
        <v>SISTEMA S2-A</v>
      </c>
      <c r="B175" s="95" t="str">
        <f>IFERROR( 'TABLA DE PRECIOS'!T189,"Sin Datos")</f>
        <v>Sin Datos</v>
      </c>
      <c r="C175" s="93" t="str">
        <f>IFERROR( 'TABLA DE PRECIOS'!V189,"Sin Datos")</f>
        <v>Sin Datos</v>
      </c>
      <c r="D175" s="91" t="str">
        <f>IFERROR( 'TABLA DE PRECIOS'!W189,"Sin Datos")</f>
        <v>Sin Datos</v>
      </c>
      <c r="E175" s="89" t="str">
        <f>IFERROR( 'TABLA DE PRECIOS'!X189,"Sin Datos")</f>
        <v>Sin Datos</v>
      </c>
      <c r="F175" s="87" t="str">
        <f>IFERROR( 'TABLA DE PRECIOS'!S189,"Sin Datos")</f>
        <v>Sin Datos</v>
      </c>
    </row>
    <row r="176" spans="1:6" x14ac:dyDescent="0.2">
      <c r="A176" s="43" t="str">
        <f>IFERROR(SW[[#This Row],[NOMRE DEL PRODUCTO]],"Sin Datos")</f>
        <v>CERRADURA INTELIGENTE  SLIM</v>
      </c>
      <c r="B176" s="94" t="str">
        <f>IFERROR( 'TABLA DE PRECIOS'!T190,"Sin Datos")</f>
        <v>Sin Datos</v>
      </c>
      <c r="C176" s="92" t="str">
        <f>IFERROR( 'TABLA DE PRECIOS'!V190,"Sin Datos")</f>
        <v>Sin Datos</v>
      </c>
      <c r="D176" s="90" t="str">
        <f>IFERROR( 'TABLA DE PRECIOS'!W190,"Sin Datos")</f>
        <v>Sin Datos</v>
      </c>
      <c r="E176" s="88" t="str">
        <f>IFERROR( 'TABLA DE PRECIOS'!X190,"Sin Datos")</f>
        <v>Sin Datos</v>
      </c>
      <c r="F176" s="86" t="str">
        <f>IFERROR( 'TABLA DE PRECIOS'!S190,"Sin Datos")</f>
        <v>Sin Datos</v>
      </c>
    </row>
    <row r="177" spans="1:6" ht="28.5" x14ac:dyDescent="0.2">
      <c r="A177" s="43" t="str">
        <f>IFERROR(SW[[#This Row],[NOMRE DEL PRODUCTO]],"Sin Datos")</f>
        <v>JUEGO DE CARRETILLAS GRANDES PARA PUERTAS DE CRISTAL</v>
      </c>
      <c r="B177" s="95" t="str">
        <f>IFERROR( 'TABLA DE PRECIOS'!T191,"Sin Datos")</f>
        <v>Sin Datos</v>
      </c>
      <c r="C177" s="93" t="str">
        <f>IFERROR( 'TABLA DE PRECIOS'!V191,"Sin Datos")</f>
        <v>Sin Datos</v>
      </c>
      <c r="D177" s="91" t="str">
        <f>IFERROR( 'TABLA DE PRECIOS'!W191,"Sin Datos")</f>
        <v>Sin Datos</v>
      </c>
      <c r="E177" s="89" t="str">
        <f>IFERROR( 'TABLA DE PRECIOS'!X191,"Sin Datos")</f>
        <v>Sin Datos</v>
      </c>
      <c r="F177" s="87" t="str">
        <f>IFERROR( 'TABLA DE PRECIOS'!S191,"Sin Datos")</f>
        <v>Sin Datos</v>
      </c>
    </row>
    <row r="178" spans="1:6" x14ac:dyDescent="0.2">
      <c r="A178" s="43" t="str">
        <f>IFERROR(SW[[#This Row],[NOMRE DEL PRODUCTO]],"Sin Datos")</f>
        <v>CERRADURA INTELIGENTE APARTAMENTO</v>
      </c>
      <c r="B178" s="94" t="str">
        <f>IFERROR( 'TABLA DE PRECIOS'!T192,"Sin Datos")</f>
        <v>Sin Datos</v>
      </c>
      <c r="C178" s="92" t="str">
        <f>IFERROR( 'TABLA DE PRECIOS'!V192,"Sin Datos")</f>
        <v>Sin Datos</v>
      </c>
      <c r="D178" s="90" t="str">
        <f>IFERROR( 'TABLA DE PRECIOS'!W192,"Sin Datos")</f>
        <v>Sin Datos</v>
      </c>
      <c r="E178" s="88" t="str">
        <f>IFERROR( 'TABLA DE PRECIOS'!X192,"Sin Datos")</f>
        <v>Sin Datos</v>
      </c>
      <c r="F178" s="86" t="str">
        <f>IFERROR( 'TABLA DE PRECIOS'!S192,"Sin Datos")</f>
        <v>Sin Datos</v>
      </c>
    </row>
    <row r="179" spans="1:6" x14ac:dyDescent="0.2">
      <c r="A179" s="43" t="str">
        <f>IFERROR(SW[[#This Row],[NOMRE DEL PRODUCTO]],"Sin Datos")</f>
        <v>COMPLEMENTO DE CHAPA (PIEZAS SUELTAS)</v>
      </c>
      <c r="B179" s="95" t="str">
        <f>IFERROR( 'TABLA DE PRECIOS'!T193,"Sin Datos")</f>
        <v>Sin Datos</v>
      </c>
      <c r="C179" s="93" t="str">
        <f>IFERROR( 'TABLA DE PRECIOS'!V193,"Sin Datos")</f>
        <v>Sin Datos</v>
      </c>
      <c r="D179" s="91" t="str">
        <f>IFERROR( 'TABLA DE PRECIOS'!W193,"Sin Datos")</f>
        <v>Sin Datos</v>
      </c>
      <c r="E179" s="89" t="str">
        <f>IFERROR( 'TABLA DE PRECIOS'!X193,"Sin Datos")</f>
        <v>Sin Datos</v>
      </c>
      <c r="F179" s="87" t="str">
        <f>IFERROR( 'TABLA DE PRECIOS'!S193,"Sin Datos")</f>
        <v>Sin Datos</v>
      </c>
    </row>
    <row r="180" spans="1:6" x14ac:dyDescent="0.2">
      <c r="A180" s="43" t="str">
        <f>IFERROR(SW[[#This Row],[NOMRE DEL PRODUCTO]],"Sin Datos")</f>
        <v>PERCIANAS BLACK OUT (METRO 2)</v>
      </c>
      <c r="B180" s="94" t="str">
        <f>IFERROR( 'TABLA DE PRECIOS'!T194,"Sin Datos")</f>
        <v>Sin Datos</v>
      </c>
      <c r="C180" s="92" t="str">
        <f>IFERROR( 'TABLA DE PRECIOS'!V194,"Sin Datos")</f>
        <v>Sin Datos</v>
      </c>
      <c r="D180" s="90" t="str">
        <f>IFERROR( 'TABLA DE PRECIOS'!W194,"Sin Datos")</f>
        <v>Sin Datos</v>
      </c>
      <c r="E180" s="88" t="str">
        <f>IFERROR( 'TABLA DE PRECIOS'!X194,"Sin Datos")</f>
        <v>Sin Datos</v>
      </c>
      <c r="F180" s="86" t="str">
        <f>IFERROR( 'TABLA DE PRECIOS'!S194,"Sin Datos")</f>
        <v>Sin Datos</v>
      </c>
    </row>
    <row r="181" spans="1:6" x14ac:dyDescent="0.2">
      <c r="A181" s="43" t="str">
        <f>IFERROR(SW[[#This Row],[NOMRE DEL PRODUCTO]],"Sin Datos")</f>
        <v>SENSOR DE PRESENCIA</v>
      </c>
      <c r="B181" s="95" t="str">
        <f>IFERROR( 'TABLA DE PRECIOS'!T195,"Sin Datos")</f>
        <v>Sin Datos</v>
      </c>
      <c r="C181" s="93" t="str">
        <f>IFERROR( 'TABLA DE PRECIOS'!V195,"Sin Datos")</f>
        <v>Sin Datos</v>
      </c>
      <c r="D181" s="91" t="str">
        <f>IFERROR( 'TABLA DE PRECIOS'!W195,"Sin Datos")</f>
        <v>Sin Datos</v>
      </c>
      <c r="E181" s="89" t="str">
        <f>IFERROR( 'TABLA DE PRECIOS'!X195,"Sin Datos")</f>
        <v>Sin Datos</v>
      </c>
      <c r="F181" s="87" t="str">
        <f>IFERROR( 'TABLA DE PRECIOS'!S195,"Sin Datos")</f>
        <v>Sin Datos</v>
      </c>
    </row>
    <row r="182" spans="1:6" x14ac:dyDescent="0.2">
      <c r="A182" s="43" t="str">
        <f>IFERROR(SW[[#This Row],[NOMRE DEL PRODUCTO]],"Sin Datos")</f>
        <v xml:space="preserve">SELECTOR DE LLAVES </v>
      </c>
      <c r="B182" s="94" t="str">
        <f>IFERROR( 'TABLA DE PRECIOS'!T196,"Sin Datos")</f>
        <v>Sin Datos</v>
      </c>
      <c r="C182" s="92" t="str">
        <f>IFERROR( 'TABLA DE PRECIOS'!V196,"Sin Datos")</f>
        <v>Sin Datos</v>
      </c>
      <c r="D182" s="90" t="str">
        <f>IFERROR( 'TABLA DE PRECIOS'!W196,"Sin Datos")</f>
        <v>Sin Datos</v>
      </c>
      <c r="E182" s="88" t="str">
        <f>IFERROR( 'TABLA DE PRECIOS'!X196,"Sin Datos")</f>
        <v>Sin Datos</v>
      </c>
      <c r="F182" s="86" t="str">
        <f>IFERROR( 'TABLA DE PRECIOS'!S196,"Sin Datos")</f>
        <v>Sin Datos</v>
      </c>
    </row>
    <row r="183" spans="1:6" x14ac:dyDescent="0.2">
      <c r="A183" s="43" t="str">
        <f>IFERROR(SW[[#This Row],[NOMRE DEL PRODUCTO]],"Sin Datos")</f>
        <v>SOPORTE PALETA PARA PUERTAS DE CRISTAL</v>
      </c>
      <c r="B183" s="95" t="str">
        <f>IFERROR( 'TABLA DE PRECIOS'!T197,"Sin Datos")</f>
        <v>Sin Datos</v>
      </c>
      <c r="C183" s="93" t="str">
        <f>IFERROR( 'TABLA DE PRECIOS'!V197,"Sin Datos")</f>
        <v>Sin Datos</v>
      </c>
      <c r="D183" s="91" t="str">
        <f>IFERROR( 'TABLA DE PRECIOS'!W197,"Sin Datos")</f>
        <v>Sin Datos</v>
      </c>
      <c r="E183" s="89" t="str">
        <f>IFERROR( 'TABLA DE PRECIOS'!X197,"Sin Datos")</f>
        <v>Sin Datos</v>
      </c>
      <c r="F183" s="87" t="str">
        <f>IFERROR( 'TABLA DE PRECIOS'!S197,"Sin Datos")</f>
        <v>Sin Datos</v>
      </c>
    </row>
    <row r="184" spans="1:6" x14ac:dyDescent="0.2">
      <c r="A184" s="43" t="str">
        <f>IFERROR(SW[[#This Row],[NOMRE DEL PRODUCTO]],"Sin Datos")</f>
        <v xml:space="preserve">SISTEMA TELESCOPICO MANUAL </v>
      </c>
      <c r="B184" s="94" t="str">
        <f>IFERROR( 'TABLA DE PRECIOS'!T198,"Sin Datos")</f>
        <v>Sin Datos</v>
      </c>
      <c r="C184" s="92" t="str">
        <f>IFERROR( 'TABLA DE PRECIOS'!V198,"Sin Datos")</f>
        <v>Sin Datos</v>
      </c>
      <c r="D184" s="90" t="str">
        <f>IFERROR( 'TABLA DE PRECIOS'!W198,"Sin Datos")</f>
        <v>Sin Datos</v>
      </c>
      <c r="E184" s="88" t="str">
        <f>IFERROR( 'TABLA DE PRECIOS'!X198,"Sin Datos")</f>
        <v>Sin Datos</v>
      </c>
      <c r="F184" s="86" t="str">
        <f>IFERROR( 'TABLA DE PRECIOS'!S198,"Sin Datos")</f>
        <v>Sin Datos</v>
      </c>
    </row>
    <row r="185" spans="1:6" x14ac:dyDescent="0.2">
      <c r="A185" s="43" t="str">
        <f>IFERROR(SW[[#This Row],[NOMRE DEL PRODUCTO]],"Sin Datos")</f>
        <v>CARRETILLA PARA CANCEL</v>
      </c>
      <c r="B185" s="95" t="str">
        <f>IFERROR( 'TABLA DE PRECIOS'!T199,"Sin Datos")</f>
        <v>Sin Datos</v>
      </c>
      <c r="C185" s="93" t="str">
        <f>IFERROR( 'TABLA DE PRECIOS'!V199,"Sin Datos")</f>
        <v>Sin Datos</v>
      </c>
      <c r="D185" s="91" t="str">
        <f>IFERROR( 'TABLA DE PRECIOS'!W199,"Sin Datos")</f>
        <v>Sin Datos</v>
      </c>
      <c r="E185" s="89" t="str">
        <f>IFERROR( 'TABLA DE PRECIOS'!X199,"Sin Datos")</f>
        <v>Sin Datos</v>
      </c>
      <c r="F185" s="87" t="str">
        <f>IFERROR( 'TABLA DE PRECIOS'!S199,"Sin Datos")</f>
        <v>Sin Datos</v>
      </c>
    </row>
    <row r="186" spans="1:6" x14ac:dyDescent="0.2">
      <c r="A186" s="43" t="str">
        <f>IFERROR(SW[[#This Row],[NOMRE DEL PRODUCTO]],"Sin Datos")</f>
        <v>SWITCH CON LLAVE  PLATEADO</v>
      </c>
      <c r="B186" s="94" t="str">
        <f>IFERROR( 'TABLA DE PRECIOS'!T200,"Sin Datos")</f>
        <v>Sin Datos</v>
      </c>
      <c r="C186" s="92" t="str">
        <f>IFERROR( 'TABLA DE PRECIOS'!V200,"Sin Datos")</f>
        <v>Sin Datos</v>
      </c>
      <c r="D186" s="90" t="str">
        <f>IFERROR( 'TABLA DE PRECIOS'!W200,"Sin Datos")</f>
        <v>Sin Datos</v>
      </c>
      <c r="E186" s="88" t="str">
        <f>IFERROR( 'TABLA DE PRECIOS'!X200,"Sin Datos")</f>
        <v>Sin Datos</v>
      </c>
      <c r="F186" s="86" t="str">
        <f>IFERROR( 'TABLA DE PRECIOS'!S200,"Sin Datos")</f>
        <v>Sin Datos</v>
      </c>
    </row>
    <row r="187" spans="1:6" x14ac:dyDescent="0.2">
      <c r="A187" s="43" t="str">
        <f>IFERROR(SW[[#This Row],[NOMRE DEL PRODUCTO]],"Sin Datos")</f>
        <v>SWITCH CON LLAVE DORADO</v>
      </c>
      <c r="B187" s="95" t="str">
        <f>IFERROR( 'TABLA DE PRECIOS'!T201,"Sin Datos")</f>
        <v>Sin Datos</v>
      </c>
      <c r="C187" s="93" t="str">
        <f>IFERROR( 'TABLA DE PRECIOS'!V201,"Sin Datos")</f>
        <v>Sin Datos</v>
      </c>
      <c r="D187" s="91" t="str">
        <f>IFERROR( 'TABLA DE PRECIOS'!W201,"Sin Datos")</f>
        <v>Sin Datos</v>
      </c>
      <c r="E187" s="89" t="str">
        <f>IFERROR( 'TABLA DE PRECIOS'!X201,"Sin Datos")</f>
        <v>Sin Datos</v>
      </c>
      <c r="F187" s="87" t="str">
        <f>IFERROR( 'TABLA DE PRECIOS'!S201,"Sin Datos")</f>
        <v>Sin Datos</v>
      </c>
    </row>
    <row r="188" spans="1:6" x14ac:dyDescent="0.2">
      <c r="A188" s="43" t="str">
        <f>IFERROR(SW[[#This Row],[NOMRE DEL PRODUCTO]],"Sin Datos")</f>
        <v>SISTEMA TELESCOPICO AUTOMATIZADO</v>
      </c>
      <c r="B188" s="94">
        <f>IFERROR( 'TABLA DE PRECIOS'!T202,"Sin Datos")</f>
        <v>45449.80619469026</v>
      </c>
      <c r="C188" s="92">
        <f>IFERROR( 'TABLA DE PRECIOS'!V202,"Sin Datos")</f>
        <v>51812.779061946894</v>
      </c>
      <c r="D188" s="90">
        <f>IFERROR( 'TABLA DE PRECIOS'!W202,"Sin Datos")</f>
        <v>54539.767433628309</v>
      </c>
      <c r="E188" s="88">
        <f>IFERROR( 'TABLA DE PRECIOS'!X202,"Sin Datos")</f>
        <v>72965.129291327423</v>
      </c>
      <c r="F188" s="86">
        <f>IFERROR( 'TABLA DE PRECIOS'!S202,"Sin Datos")</f>
        <v>30299.870796460174</v>
      </c>
    </row>
    <row r="189" spans="1:6" x14ac:dyDescent="0.2">
      <c r="A189" s="43" t="str">
        <f>IFERROR(SW[[#This Row],[NOMRE DEL PRODUCTO]],"Sin Datos")</f>
        <v xml:space="preserve">SENSOR DE FUNCION DUAL </v>
      </c>
      <c r="B189" s="95">
        <f>IFERROR( 'TABLA DE PRECIOS'!T203,"Sin Datos")</f>
        <v>1916.9946885245904</v>
      </c>
      <c r="C189" s="93">
        <f>IFERROR( 'TABLA DE PRECIOS'!V203,"Sin Datos")</f>
        <v>2185.373944918033</v>
      </c>
      <c r="D189" s="91">
        <f>IFERROR( 'TABLA DE PRECIOS'!W203,"Sin Datos")</f>
        <v>2300.3936262295083</v>
      </c>
      <c r="E189" s="89">
        <f>IFERROR( 'TABLA DE PRECIOS'!X203,"Sin Datos")</f>
        <v>3173.3258846426234</v>
      </c>
      <c r="F189" s="87">
        <f>IFERROR( 'TABLA DE PRECIOS'!S203,"Sin Datos")</f>
        <v>1277.9964590163936</v>
      </c>
    </row>
    <row r="190" spans="1:6" x14ac:dyDescent="0.2">
      <c r="A190" s="43" t="str">
        <f>IFERROR(SW[[#This Row],[NOMRE DEL PRODUCTO]],"Sin Datos")</f>
        <v xml:space="preserve">SOPORTE PARA ELECTROIMAN EM2805 </v>
      </c>
      <c r="B190" s="94">
        <f>IFERROR( 'TABLA DE PRECIOS'!T204,"Sin Datos")</f>
        <v>394.67537704918033</v>
      </c>
      <c r="C190" s="92">
        <f>IFERROR( 'TABLA DE PRECIOS'!V204,"Sin Datos")</f>
        <v>449.92992983606558</v>
      </c>
      <c r="D190" s="90">
        <f>IFERROR( 'TABLA DE PRECIOS'!W204,"Sin Datos")</f>
        <v>473.61045245901641</v>
      </c>
      <c r="E190" s="88">
        <f>IFERROR( 'TABLA DE PRECIOS'!X204,"Sin Datos")</f>
        <v>732.743564485246</v>
      </c>
      <c r="F190" s="86">
        <f>IFERROR( 'TABLA DE PRECIOS'!S204,"Sin Datos")</f>
        <v>263.11691803278688</v>
      </c>
    </row>
    <row r="191" spans="1:6" x14ac:dyDescent="0.2">
      <c r="A191" s="43" t="str">
        <f>IFERROR(SW[[#This Row],[NOMRE DEL PRODUCTO]],"Sin Datos")</f>
        <v xml:space="preserve">SISTEMA  AUTOMATIZADO (Piezas Sobrantes) </v>
      </c>
      <c r="B191" s="95" t="str">
        <f>IFERROR( 'TABLA DE PRECIOS'!T205,"Sin Datos")</f>
        <v>Sin Datos</v>
      </c>
      <c r="C191" s="93" t="str">
        <f>IFERROR( 'TABLA DE PRECIOS'!V205,"Sin Datos")</f>
        <v>Sin Datos</v>
      </c>
      <c r="D191" s="91" t="str">
        <f>IFERROR( 'TABLA DE PRECIOS'!W205,"Sin Datos")</f>
        <v>Sin Datos</v>
      </c>
      <c r="E191" s="89" t="str">
        <f>IFERROR( 'TABLA DE PRECIOS'!X205,"Sin Datos")</f>
        <v>Sin Datos</v>
      </c>
      <c r="F191" s="87" t="str">
        <f>IFERROR( 'TABLA DE PRECIOS'!S205,"Sin Datos")</f>
        <v>Sin Datos</v>
      </c>
    </row>
    <row r="192" spans="1:6" x14ac:dyDescent="0.2">
      <c r="A192" s="43" t="str">
        <f>IFERROR(SW[[#This Row],[NOMRE DEL PRODUCTO]],"Sin Datos")</f>
        <v>SENSOR DE PRESENCIA ULTRA</v>
      </c>
      <c r="B192" s="94" t="str">
        <f>IFERROR( 'TABLA DE PRECIOS'!T206,"Sin Datos")</f>
        <v>Sin Datos</v>
      </c>
      <c r="C192" s="92" t="str">
        <f>IFERROR( 'TABLA DE PRECIOS'!V206,"Sin Datos")</f>
        <v>Sin Datos</v>
      </c>
      <c r="D192" s="90" t="str">
        <f>IFERROR( 'TABLA DE PRECIOS'!W206,"Sin Datos")</f>
        <v>Sin Datos</v>
      </c>
      <c r="E192" s="88" t="str">
        <f>IFERROR( 'TABLA DE PRECIOS'!X206,"Sin Datos")</f>
        <v>Sin Datos</v>
      </c>
      <c r="F192" s="86" t="str">
        <f>IFERROR( 'TABLA DE PRECIOS'!S206,"Sin Datos")</f>
        <v>Sin Datos</v>
      </c>
    </row>
    <row r="193" spans="1:6" x14ac:dyDescent="0.2">
      <c r="A193" s="43" t="str">
        <f>IFERROR(SW[[#This Row],[NOMRE DEL PRODUCTO]],"Sin Datos")</f>
        <v>BOTON DE PANICO</v>
      </c>
      <c r="B193" s="95" t="str">
        <f>IFERROR( 'TABLA DE PRECIOS'!T207,"Sin Datos")</f>
        <v>Sin Datos</v>
      </c>
      <c r="C193" s="93" t="str">
        <f>IFERROR( 'TABLA DE PRECIOS'!V207,"Sin Datos")</f>
        <v>Sin Datos</v>
      </c>
      <c r="D193" s="91" t="str">
        <f>IFERROR( 'TABLA DE PRECIOS'!W207,"Sin Datos")</f>
        <v>Sin Datos</v>
      </c>
      <c r="E193" s="89" t="str">
        <f>IFERROR( 'TABLA DE PRECIOS'!X207,"Sin Datos")</f>
        <v>Sin Datos</v>
      </c>
      <c r="F193" s="87" t="str">
        <f>IFERROR( 'TABLA DE PRECIOS'!S207,"Sin Datos")</f>
        <v>Sin Datos</v>
      </c>
    </row>
    <row r="194" spans="1:6" x14ac:dyDescent="0.2">
      <c r="A194" s="43" t="str">
        <f>IFERROR(SW[[#This Row],[NOMRE DEL PRODUCTO]],"Sin Datos")</f>
        <v>APAGADOR WI-FI NEGRO PLACA DE CRISTAL 2 APAGADOR</v>
      </c>
      <c r="B194" s="94" t="str">
        <f>IFERROR( 'TABLA DE PRECIOS'!T208,"Sin Datos")</f>
        <v>Sin Datos</v>
      </c>
      <c r="C194" s="92" t="str">
        <f>IFERROR( 'TABLA DE PRECIOS'!V208,"Sin Datos")</f>
        <v>Sin Datos</v>
      </c>
      <c r="D194" s="90" t="str">
        <f>IFERROR( 'TABLA DE PRECIOS'!W208,"Sin Datos")</f>
        <v>Sin Datos</v>
      </c>
      <c r="E194" s="88" t="str">
        <f>IFERROR( 'TABLA DE PRECIOS'!X208,"Sin Datos")</f>
        <v>Sin Datos</v>
      </c>
      <c r="F194" s="86" t="str">
        <f>IFERROR( 'TABLA DE PRECIOS'!S208,"Sin Datos")</f>
        <v>Sin Datos</v>
      </c>
    </row>
    <row r="195" spans="1:6" ht="28.5" x14ac:dyDescent="0.2">
      <c r="A195" s="43" t="str">
        <f>IFERROR(SW[[#This Row],[NOMRE DEL PRODUCTO]],"Sin Datos")</f>
        <v>APAGADOR 1 APAGADOR C/ENCHUFEWI-FI PLACA CRISTAL NEGRO</v>
      </c>
      <c r="B195" s="95" t="str">
        <f>IFERROR( 'TABLA DE PRECIOS'!T209,"Sin Datos")</f>
        <v>Sin Datos</v>
      </c>
      <c r="C195" s="93" t="str">
        <f>IFERROR( 'TABLA DE PRECIOS'!V209,"Sin Datos")</f>
        <v>Sin Datos</v>
      </c>
      <c r="D195" s="91" t="str">
        <f>IFERROR( 'TABLA DE PRECIOS'!W209,"Sin Datos")</f>
        <v>Sin Datos</v>
      </c>
      <c r="E195" s="89" t="str">
        <f>IFERROR( 'TABLA DE PRECIOS'!X209,"Sin Datos")</f>
        <v>Sin Datos</v>
      </c>
      <c r="F195" s="87" t="str">
        <f>IFERROR( 'TABLA DE PRECIOS'!S209,"Sin Datos")</f>
        <v>Sin Datos</v>
      </c>
    </row>
    <row r="196" spans="1:6" x14ac:dyDescent="0.2">
      <c r="A196" s="43" t="str">
        <f>IFERROR(SW[[#This Row],[NOMRE DEL PRODUCTO]],"Sin Datos")</f>
        <v xml:space="preserve">CERRADURA MECANICA DE 11 DIGITOS ABATIBLE </v>
      </c>
      <c r="B196" s="94" t="str">
        <f>IFERROR( 'TABLA DE PRECIOS'!T210,"Sin Datos")</f>
        <v>Sin Datos</v>
      </c>
      <c r="C196" s="92" t="str">
        <f>IFERROR( 'TABLA DE PRECIOS'!V210,"Sin Datos")</f>
        <v>Sin Datos</v>
      </c>
      <c r="D196" s="90" t="str">
        <f>IFERROR( 'TABLA DE PRECIOS'!W210,"Sin Datos")</f>
        <v>Sin Datos</v>
      </c>
      <c r="E196" s="88" t="str">
        <f>IFERROR( 'TABLA DE PRECIOS'!X210,"Sin Datos")</f>
        <v>Sin Datos</v>
      </c>
      <c r="F196" s="86" t="str">
        <f>IFERROR( 'TABLA DE PRECIOS'!S210,"Sin Datos")</f>
        <v>Sin Datos</v>
      </c>
    </row>
    <row r="197" spans="1:6" x14ac:dyDescent="0.2">
      <c r="A197" s="43" t="str">
        <f>IFERROR(SW[[#This Row],[NOMRE DEL PRODUCTO]],"Sin Datos")</f>
        <v xml:space="preserve">CERRADURA MECANICA DE 11 DIGITOS CORREDIZA </v>
      </c>
      <c r="B197" s="95" t="str">
        <f>IFERROR( 'TABLA DE PRECIOS'!T211,"Sin Datos")</f>
        <v>Sin Datos</v>
      </c>
      <c r="C197" s="93" t="str">
        <f>IFERROR( 'TABLA DE PRECIOS'!V211,"Sin Datos")</f>
        <v>Sin Datos</v>
      </c>
      <c r="D197" s="91" t="str">
        <f>IFERROR( 'TABLA DE PRECIOS'!W211,"Sin Datos")</f>
        <v>Sin Datos</v>
      </c>
      <c r="E197" s="89" t="str">
        <f>IFERROR( 'TABLA DE PRECIOS'!X211,"Sin Datos")</f>
        <v>Sin Datos</v>
      </c>
      <c r="F197" s="87" t="str">
        <f>IFERROR( 'TABLA DE PRECIOS'!S211,"Sin Datos")</f>
        <v>Sin Datos</v>
      </c>
    </row>
    <row r="198" spans="1:6" ht="28.5" x14ac:dyDescent="0.2">
      <c r="A198" s="43" t="str">
        <f>IFERROR(SW[[#This Row],[NOMRE DEL PRODUCTO]],"Sin Datos")</f>
        <v>VISOR INTELIGENTE WI-FI ** (COMPRA MINIMA 2 PRODUCTOS) **</v>
      </c>
      <c r="B198" s="94" t="str">
        <f>IFERROR( 'TABLA DE PRECIOS'!T212,"Sin Datos")</f>
        <v>Sin Datos</v>
      </c>
      <c r="C198" s="92" t="str">
        <f>IFERROR( 'TABLA DE PRECIOS'!V212,"Sin Datos")</f>
        <v>Sin Datos</v>
      </c>
      <c r="D198" s="90" t="str">
        <f>IFERROR( 'TABLA DE PRECIOS'!W212,"Sin Datos")</f>
        <v>Sin Datos</v>
      </c>
      <c r="E198" s="88" t="str">
        <f>IFERROR( 'TABLA DE PRECIOS'!X212,"Sin Datos")</f>
        <v>Sin Datos</v>
      </c>
      <c r="F198" s="86" t="str">
        <f>IFERROR( 'TABLA DE PRECIOS'!S212,"Sin Datos")</f>
        <v>Sin Datos</v>
      </c>
    </row>
    <row r="199" spans="1:6" x14ac:dyDescent="0.2">
      <c r="A199" s="43">
        <f>IFERROR(SW[[#This Row],[NOMRE DEL PRODUCTO]],"Sin Datos")</f>
        <v>0</v>
      </c>
      <c r="B199" s="95" t="str">
        <f>IFERROR( 'TABLA DE PRECIOS'!T213,"Sin Datos")</f>
        <v>Sin Datos</v>
      </c>
      <c r="C199" s="93" t="str">
        <f>IFERROR( 'TABLA DE PRECIOS'!V213,"Sin Datos")</f>
        <v>Sin Datos</v>
      </c>
      <c r="D199" s="91" t="str">
        <f>IFERROR( 'TABLA DE PRECIOS'!W213,"Sin Datos")</f>
        <v>Sin Datos</v>
      </c>
      <c r="E199" s="89" t="str">
        <f>IFERROR( 'TABLA DE PRECIOS'!X213,"Sin Datos")</f>
        <v>Sin Datos</v>
      </c>
      <c r="F199" s="87" t="str">
        <f>IFERROR( 'TABLA DE PRECIOS'!S213,"Sin Datos")</f>
        <v>Sin Datos</v>
      </c>
    </row>
    <row r="200" spans="1:6" x14ac:dyDescent="0.2">
      <c r="A200" s="44" t="str">
        <f>IFERROR(SW[[#This Row],[NOMRE DEL PRODUCTO]],"Sin Datos")</f>
        <v>Sin Datos</v>
      </c>
      <c r="B200" s="94">
        <f>IFERROR( 'TABLA DE PRECIOS'!T214,"Sin Datos")</f>
        <v>0</v>
      </c>
      <c r="C200" s="92">
        <f>IFERROR( 'TABLA DE PRECIOS'!V214,"Sin Datos")</f>
        <v>0</v>
      </c>
      <c r="D200" s="90">
        <f>IFERROR( 'TABLA DE PRECIOS'!W214,"Sin Datos")</f>
        <v>0</v>
      </c>
      <c r="E200" s="88">
        <f>IFERROR( 'TABLA DE PRECIOS'!X214,"Sin Datos")</f>
        <v>0</v>
      </c>
      <c r="F200" s="86">
        <f>IFERROR( 'TABLA DE PRECIOS'!S214,"Sin Datos")</f>
        <v>0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5ED7B-1B59-47F4-976F-43718EB166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TABLA DGSW PRECIOS</vt:lpstr>
      <vt:lpstr>TABLA DE PRECIOS</vt:lpstr>
      <vt:lpstr>PRODUCTOS</vt:lpstr>
      <vt:lpstr>PRECIOS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monted</dc:creator>
  <cp:lastModifiedBy>OFICINA</cp:lastModifiedBy>
  <dcterms:created xsi:type="dcterms:W3CDTF">2022-07-05T17:44:57Z</dcterms:created>
  <dcterms:modified xsi:type="dcterms:W3CDTF">2023-07-14T15:22:44Z</dcterms:modified>
</cp:coreProperties>
</file>