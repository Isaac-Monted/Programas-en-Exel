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9\Desktop\"/>
    </mc:Choice>
  </mc:AlternateContent>
  <xr:revisionPtr revIDLastSave="0" documentId="13_ncr:1_{7B357A5B-9402-4818-898D-F05EDCB51FB0}" xr6:coauthVersionLast="47" xr6:coauthVersionMax="47" xr10:uidLastSave="{00000000-0000-0000-0000-000000000000}"/>
  <bookViews>
    <workbookView xWindow="-120" yWindow="-120" windowWidth="20730" windowHeight="11040" activeTab="3" xr2:uid="{7FAA761A-2627-48E2-BC4C-75192F38BC4C}"/>
  </bookViews>
  <sheets>
    <sheet name="Catalogo de Codigos " sheetId="1" r:id="rId1"/>
    <sheet name="Codigos Espesificos" sheetId="4" r:id="rId2"/>
    <sheet name="Todos los Codigos" sheetId="3" r:id="rId3"/>
    <sheet name="Codigos Esp IMG" sheetId="5" r:id="rId4"/>
    <sheet name="PRODUCTOS" sheetId="2" state="hidden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4" l="1"/>
  <c r="K199" i="2" l="1"/>
  <c r="J199" i="2"/>
  <c r="I199" i="2"/>
  <c r="B199" i="2"/>
  <c r="K198" i="2"/>
  <c r="J198" i="2"/>
  <c r="I198" i="2"/>
  <c r="B198" i="2"/>
  <c r="K197" i="2"/>
  <c r="J197" i="2"/>
  <c r="I197" i="2"/>
  <c r="B197" i="2"/>
  <c r="K196" i="2"/>
  <c r="J196" i="2"/>
  <c r="I196" i="2"/>
  <c r="B196" i="2"/>
  <c r="K195" i="2"/>
  <c r="J195" i="2"/>
  <c r="I195" i="2"/>
  <c r="B195" i="2"/>
  <c r="K194" i="2"/>
  <c r="J194" i="2"/>
  <c r="I194" i="2"/>
  <c r="B194" i="2"/>
  <c r="K193" i="2"/>
  <c r="J193" i="2"/>
  <c r="I193" i="2"/>
  <c r="B193" i="2"/>
  <c r="K192" i="2"/>
  <c r="J192" i="2"/>
  <c r="I192" i="2"/>
  <c r="B192" i="2"/>
  <c r="K191" i="2"/>
  <c r="J191" i="2"/>
  <c r="I191" i="2"/>
  <c r="B191" i="2"/>
  <c r="K190" i="2"/>
  <c r="J190" i="2"/>
  <c r="I190" i="2"/>
  <c r="B190" i="2"/>
  <c r="K189" i="2"/>
  <c r="J189" i="2"/>
  <c r="I189" i="2"/>
  <c r="B189" i="2"/>
  <c r="K188" i="2"/>
  <c r="J188" i="2"/>
  <c r="I188" i="2"/>
  <c r="B188" i="2"/>
  <c r="K187" i="2"/>
  <c r="J187" i="2"/>
  <c r="I187" i="2"/>
  <c r="B187" i="2"/>
  <c r="K186" i="2"/>
  <c r="J186" i="2"/>
  <c r="I186" i="2"/>
  <c r="B186" i="2"/>
  <c r="K185" i="2"/>
  <c r="J185" i="2"/>
  <c r="I185" i="2"/>
  <c r="B185" i="2"/>
  <c r="K184" i="2"/>
  <c r="J184" i="2"/>
  <c r="I184" i="2"/>
  <c r="B184" i="2"/>
  <c r="K183" i="2"/>
  <c r="J183" i="2"/>
  <c r="I183" i="2"/>
  <c r="B183" i="2"/>
  <c r="K182" i="2"/>
  <c r="J182" i="2"/>
  <c r="I182" i="2"/>
  <c r="B182" i="2"/>
  <c r="K181" i="2"/>
  <c r="J181" i="2"/>
  <c r="I181" i="2"/>
  <c r="B181" i="2"/>
  <c r="K180" i="2"/>
  <c r="J180" i="2"/>
  <c r="I180" i="2"/>
  <c r="B180" i="2"/>
  <c r="K179" i="2"/>
  <c r="J179" i="2"/>
  <c r="I179" i="2"/>
  <c r="B179" i="2"/>
  <c r="K178" i="2"/>
  <c r="J178" i="2"/>
  <c r="I178" i="2"/>
  <c r="B178" i="2"/>
  <c r="K177" i="2"/>
  <c r="J177" i="2"/>
  <c r="I177" i="2"/>
  <c r="B177" i="2"/>
  <c r="K176" i="2"/>
  <c r="J176" i="2"/>
  <c r="I176" i="2"/>
  <c r="B176" i="2"/>
  <c r="K175" i="2"/>
  <c r="J175" i="2"/>
  <c r="I175" i="2"/>
  <c r="B175" i="2"/>
  <c r="K174" i="2"/>
  <c r="J174" i="2"/>
  <c r="I174" i="2"/>
  <c r="B174" i="2"/>
  <c r="K173" i="2"/>
  <c r="J173" i="2"/>
  <c r="I173" i="2"/>
  <c r="B173" i="2"/>
  <c r="K172" i="2"/>
  <c r="J172" i="2"/>
  <c r="I172" i="2"/>
  <c r="B172" i="2"/>
  <c r="K171" i="2"/>
  <c r="J171" i="2"/>
  <c r="I171" i="2"/>
  <c r="B171" i="2"/>
  <c r="K170" i="2"/>
  <c r="J170" i="2"/>
  <c r="I170" i="2"/>
  <c r="B170" i="2"/>
  <c r="K169" i="2"/>
  <c r="J169" i="2"/>
  <c r="I169" i="2"/>
  <c r="B169" i="2"/>
  <c r="K168" i="2"/>
  <c r="J168" i="2"/>
  <c r="I168" i="2"/>
  <c r="B168" i="2"/>
  <c r="K167" i="2"/>
  <c r="J167" i="2"/>
  <c r="I167" i="2"/>
  <c r="B167" i="2"/>
  <c r="K166" i="2"/>
  <c r="J166" i="2"/>
  <c r="I166" i="2"/>
  <c r="B166" i="2"/>
  <c r="K165" i="2"/>
  <c r="J165" i="2"/>
  <c r="I165" i="2"/>
  <c r="B165" i="2"/>
  <c r="K164" i="2"/>
  <c r="J164" i="2"/>
  <c r="I164" i="2"/>
  <c r="B164" i="2"/>
  <c r="K163" i="2"/>
  <c r="J163" i="2"/>
  <c r="I163" i="2"/>
  <c r="B163" i="2"/>
  <c r="K162" i="2"/>
  <c r="J162" i="2"/>
  <c r="I162" i="2"/>
  <c r="B162" i="2"/>
  <c r="K161" i="2"/>
  <c r="J161" i="2"/>
  <c r="I161" i="2"/>
  <c r="B161" i="2"/>
  <c r="K160" i="2"/>
  <c r="J160" i="2"/>
  <c r="I160" i="2"/>
  <c r="B160" i="2"/>
  <c r="K159" i="2"/>
  <c r="J159" i="2"/>
  <c r="I159" i="2"/>
  <c r="B159" i="2"/>
  <c r="K158" i="2"/>
  <c r="J158" i="2"/>
  <c r="I158" i="2"/>
  <c r="B158" i="2"/>
  <c r="K157" i="2"/>
  <c r="J157" i="2"/>
  <c r="I157" i="2"/>
  <c r="B157" i="2"/>
  <c r="K156" i="2"/>
  <c r="J156" i="2"/>
  <c r="I156" i="2"/>
  <c r="B156" i="2"/>
  <c r="K155" i="2"/>
  <c r="J155" i="2"/>
  <c r="I155" i="2"/>
  <c r="B155" i="2"/>
  <c r="K154" i="2"/>
  <c r="J154" i="2"/>
  <c r="I154" i="2"/>
  <c r="B154" i="2"/>
  <c r="K153" i="2"/>
  <c r="J153" i="2"/>
  <c r="I153" i="2"/>
  <c r="B153" i="2"/>
  <c r="K152" i="2"/>
  <c r="J152" i="2"/>
  <c r="I152" i="2"/>
  <c r="B152" i="2"/>
  <c r="K151" i="2"/>
  <c r="J151" i="2"/>
  <c r="I151" i="2"/>
  <c r="B151" i="2"/>
  <c r="K150" i="2"/>
  <c r="J150" i="2"/>
  <c r="I150" i="2"/>
  <c r="B150" i="2"/>
  <c r="K149" i="2"/>
  <c r="J149" i="2"/>
  <c r="I149" i="2"/>
  <c r="B149" i="2"/>
  <c r="K148" i="2"/>
  <c r="J148" i="2"/>
  <c r="I148" i="2"/>
  <c r="B148" i="2"/>
  <c r="K147" i="2"/>
  <c r="J147" i="2"/>
  <c r="I147" i="2"/>
  <c r="B147" i="2"/>
  <c r="K146" i="2"/>
  <c r="J146" i="2"/>
  <c r="I146" i="2"/>
  <c r="B146" i="2"/>
  <c r="K145" i="2"/>
  <c r="J145" i="2"/>
  <c r="I145" i="2"/>
  <c r="B145" i="2"/>
  <c r="K144" i="2"/>
  <c r="J144" i="2"/>
  <c r="I144" i="2"/>
  <c r="B144" i="2"/>
  <c r="K143" i="2"/>
  <c r="J143" i="2"/>
  <c r="I143" i="2"/>
  <c r="B143" i="2"/>
  <c r="K142" i="2"/>
  <c r="J142" i="2"/>
  <c r="I142" i="2"/>
  <c r="B142" i="2"/>
  <c r="K141" i="2"/>
  <c r="J141" i="2"/>
  <c r="I141" i="2"/>
  <c r="B141" i="2"/>
  <c r="K140" i="2"/>
  <c r="J140" i="2"/>
  <c r="I140" i="2"/>
  <c r="B140" i="2"/>
  <c r="K139" i="2"/>
  <c r="J139" i="2"/>
  <c r="I139" i="2"/>
  <c r="B139" i="2"/>
  <c r="K138" i="2"/>
  <c r="J138" i="2"/>
  <c r="I138" i="2"/>
  <c r="B138" i="2"/>
  <c r="K137" i="2"/>
  <c r="J137" i="2"/>
  <c r="I137" i="2"/>
  <c r="B137" i="2"/>
  <c r="K136" i="2"/>
  <c r="J136" i="2"/>
  <c r="I136" i="2"/>
  <c r="B136" i="2"/>
  <c r="K135" i="2"/>
  <c r="J135" i="2"/>
  <c r="I135" i="2"/>
  <c r="B135" i="2"/>
  <c r="K134" i="2"/>
  <c r="J134" i="2"/>
  <c r="I134" i="2"/>
  <c r="B134" i="2"/>
  <c r="K133" i="2"/>
  <c r="J133" i="2"/>
  <c r="I133" i="2"/>
  <c r="B133" i="2"/>
  <c r="K132" i="2"/>
  <c r="J132" i="2"/>
  <c r="I132" i="2"/>
  <c r="B132" i="2"/>
  <c r="K131" i="2"/>
  <c r="J131" i="2"/>
  <c r="I131" i="2"/>
  <c r="B131" i="2"/>
  <c r="K130" i="2"/>
  <c r="J130" i="2"/>
  <c r="I130" i="2"/>
  <c r="B130" i="2"/>
  <c r="K129" i="2"/>
  <c r="J129" i="2"/>
  <c r="I129" i="2"/>
  <c r="B129" i="2"/>
  <c r="K128" i="2"/>
  <c r="J128" i="2"/>
  <c r="I128" i="2"/>
  <c r="B128" i="2"/>
  <c r="K127" i="2"/>
  <c r="J127" i="2"/>
  <c r="I127" i="2"/>
  <c r="B127" i="2"/>
  <c r="K126" i="2"/>
  <c r="J126" i="2"/>
  <c r="I126" i="2"/>
  <c r="B126" i="2"/>
  <c r="K125" i="2"/>
  <c r="J125" i="2"/>
  <c r="I125" i="2"/>
  <c r="B125" i="2"/>
  <c r="K124" i="2"/>
  <c r="J124" i="2"/>
  <c r="I124" i="2"/>
  <c r="B124" i="2"/>
  <c r="K123" i="2"/>
  <c r="J123" i="2"/>
  <c r="I123" i="2"/>
  <c r="B123" i="2"/>
  <c r="K122" i="2"/>
  <c r="J122" i="2"/>
  <c r="I122" i="2"/>
  <c r="B122" i="2"/>
  <c r="K121" i="2"/>
  <c r="J121" i="2"/>
  <c r="I121" i="2"/>
  <c r="B121" i="2"/>
  <c r="K120" i="2"/>
  <c r="J120" i="2"/>
  <c r="I120" i="2"/>
  <c r="B120" i="2"/>
  <c r="K119" i="2"/>
  <c r="J119" i="2"/>
  <c r="I119" i="2"/>
  <c r="B119" i="2"/>
  <c r="K118" i="2"/>
  <c r="J118" i="2"/>
  <c r="I118" i="2"/>
  <c r="B118" i="2"/>
  <c r="K117" i="2"/>
  <c r="J117" i="2"/>
  <c r="I117" i="2"/>
  <c r="B117" i="2"/>
  <c r="K116" i="2"/>
  <c r="J116" i="2"/>
  <c r="I116" i="2"/>
  <c r="B116" i="2"/>
  <c r="K115" i="2"/>
  <c r="J115" i="2"/>
  <c r="I115" i="2"/>
  <c r="B115" i="2"/>
  <c r="K114" i="2"/>
  <c r="J114" i="2"/>
  <c r="I114" i="2"/>
  <c r="B114" i="2"/>
  <c r="K113" i="2"/>
  <c r="J113" i="2"/>
  <c r="I113" i="2"/>
  <c r="B113" i="2"/>
  <c r="K112" i="2"/>
  <c r="J112" i="2"/>
  <c r="I112" i="2"/>
  <c r="B112" i="2"/>
  <c r="K111" i="2"/>
  <c r="J111" i="2"/>
  <c r="I111" i="2"/>
  <c r="B111" i="2"/>
  <c r="K110" i="2"/>
  <c r="J110" i="2"/>
  <c r="I110" i="2"/>
  <c r="B110" i="2"/>
  <c r="K109" i="2"/>
  <c r="J109" i="2"/>
  <c r="I109" i="2"/>
  <c r="B109" i="2"/>
  <c r="K108" i="2"/>
  <c r="J108" i="2"/>
  <c r="I108" i="2"/>
  <c r="B108" i="2"/>
  <c r="K107" i="2"/>
  <c r="J107" i="2"/>
  <c r="I107" i="2"/>
  <c r="B107" i="2"/>
  <c r="K106" i="2"/>
  <c r="J106" i="2"/>
  <c r="I106" i="2"/>
  <c r="B106" i="2"/>
  <c r="K105" i="2"/>
  <c r="J105" i="2"/>
  <c r="I105" i="2"/>
  <c r="B105" i="2"/>
  <c r="K104" i="2"/>
  <c r="J104" i="2"/>
  <c r="I104" i="2"/>
  <c r="B104" i="2"/>
  <c r="K103" i="2"/>
  <c r="J103" i="2"/>
  <c r="I103" i="2"/>
  <c r="B103" i="2"/>
  <c r="K102" i="2"/>
  <c r="J102" i="2"/>
  <c r="I102" i="2"/>
  <c r="B102" i="2"/>
  <c r="K101" i="2"/>
  <c r="J101" i="2"/>
  <c r="I101" i="2"/>
  <c r="B101" i="2"/>
  <c r="K100" i="2"/>
  <c r="J100" i="2"/>
  <c r="I100" i="2"/>
  <c r="B100" i="2"/>
  <c r="K99" i="2"/>
  <c r="J99" i="2"/>
  <c r="I99" i="2"/>
  <c r="B99" i="2"/>
  <c r="K98" i="2"/>
  <c r="J98" i="2"/>
  <c r="I98" i="2"/>
  <c r="B98" i="2"/>
  <c r="K97" i="2"/>
  <c r="J97" i="2"/>
  <c r="I97" i="2"/>
  <c r="B97" i="2"/>
  <c r="K96" i="2"/>
  <c r="J96" i="2"/>
  <c r="I96" i="2"/>
  <c r="B96" i="2"/>
  <c r="K95" i="2"/>
  <c r="J95" i="2"/>
  <c r="I95" i="2"/>
  <c r="B95" i="2"/>
  <c r="K94" i="2"/>
  <c r="J94" i="2"/>
  <c r="I94" i="2"/>
  <c r="B94" i="2"/>
  <c r="K93" i="2"/>
  <c r="J93" i="2"/>
  <c r="I93" i="2"/>
  <c r="B93" i="2"/>
  <c r="K92" i="2"/>
  <c r="J92" i="2"/>
  <c r="I92" i="2"/>
  <c r="B92" i="2"/>
  <c r="K91" i="2"/>
  <c r="J91" i="2"/>
  <c r="I91" i="2"/>
  <c r="B91" i="2"/>
  <c r="K90" i="2"/>
  <c r="J90" i="2"/>
  <c r="I90" i="2"/>
  <c r="B90" i="2"/>
  <c r="K89" i="2"/>
  <c r="J89" i="2"/>
  <c r="I89" i="2"/>
  <c r="B89" i="2"/>
  <c r="K88" i="2"/>
  <c r="J88" i="2"/>
  <c r="I88" i="2"/>
  <c r="B88" i="2"/>
  <c r="K87" i="2"/>
  <c r="J87" i="2"/>
  <c r="I87" i="2"/>
  <c r="B87" i="2"/>
  <c r="K86" i="2"/>
  <c r="J86" i="2"/>
  <c r="I86" i="2"/>
  <c r="B86" i="2"/>
  <c r="K85" i="2"/>
  <c r="J85" i="2"/>
  <c r="I85" i="2"/>
  <c r="B85" i="2"/>
  <c r="K84" i="2"/>
  <c r="J84" i="2"/>
  <c r="I84" i="2"/>
  <c r="B84" i="2"/>
  <c r="K83" i="2"/>
  <c r="J83" i="2"/>
  <c r="I83" i="2"/>
  <c r="B83" i="2"/>
  <c r="K82" i="2"/>
  <c r="J82" i="2"/>
  <c r="I82" i="2"/>
  <c r="B82" i="2"/>
  <c r="K81" i="2"/>
  <c r="J81" i="2"/>
  <c r="I81" i="2"/>
  <c r="B81" i="2"/>
  <c r="K80" i="2"/>
  <c r="J80" i="2"/>
  <c r="I80" i="2"/>
  <c r="B80" i="2"/>
  <c r="K79" i="2"/>
  <c r="J79" i="2"/>
  <c r="I79" i="2"/>
  <c r="B79" i="2"/>
  <c r="K78" i="2"/>
  <c r="J78" i="2"/>
  <c r="I78" i="2"/>
  <c r="B78" i="2"/>
  <c r="K77" i="2"/>
  <c r="J77" i="2"/>
  <c r="I77" i="2"/>
  <c r="B77" i="2"/>
  <c r="K76" i="2"/>
  <c r="J76" i="2"/>
  <c r="I76" i="2"/>
  <c r="B76" i="2"/>
  <c r="K75" i="2"/>
  <c r="J75" i="2"/>
  <c r="I75" i="2"/>
  <c r="B75" i="2"/>
  <c r="K74" i="2"/>
  <c r="J74" i="2"/>
  <c r="I74" i="2"/>
  <c r="B74" i="2"/>
  <c r="K73" i="2"/>
  <c r="J73" i="2"/>
  <c r="I73" i="2"/>
  <c r="B73" i="2"/>
  <c r="K72" i="2"/>
  <c r="J72" i="2"/>
  <c r="I72" i="2"/>
  <c r="B72" i="2"/>
  <c r="K71" i="2"/>
  <c r="J71" i="2"/>
  <c r="I71" i="2"/>
  <c r="B71" i="2"/>
  <c r="K70" i="2"/>
  <c r="J70" i="2"/>
  <c r="I70" i="2"/>
  <c r="B70" i="2"/>
  <c r="K69" i="2"/>
  <c r="J69" i="2"/>
  <c r="I69" i="2"/>
  <c r="B69" i="2"/>
  <c r="K68" i="2"/>
  <c r="J68" i="2"/>
  <c r="I68" i="2"/>
  <c r="B68" i="2"/>
  <c r="K67" i="2"/>
  <c r="J67" i="2"/>
  <c r="I67" i="2"/>
  <c r="B67" i="2"/>
  <c r="K66" i="2"/>
  <c r="J66" i="2"/>
  <c r="I66" i="2"/>
  <c r="B66" i="2"/>
  <c r="K65" i="2"/>
  <c r="J65" i="2"/>
  <c r="I65" i="2"/>
  <c r="B65" i="2"/>
  <c r="K64" i="2"/>
  <c r="J64" i="2"/>
  <c r="I64" i="2"/>
  <c r="B64" i="2"/>
  <c r="K63" i="2"/>
  <c r="J63" i="2"/>
  <c r="I63" i="2"/>
  <c r="B63" i="2"/>
  <c r="K62" i="2"/>
  <c r="J62" i="2"/>
  <c r="I62" i="2"/>
  <c r="B62" i="2"/>
  <c r="K61" i="2"/>
  <c r="J61" i="2"/>
  <c r="I61" i="2"/>
  <c r="B61" i="2"/>
  <c r="K60" i="2"/>
  <c r="J60" i="2"/>
  <c r="I60" i="2"/>
  <c r="B60" i="2"/>
  <c r="K59" i="2"/>
  <c r="J59" i="2"/>
  <c r="I59" i="2"/>
  <c r="B59" i="2"/>
  <c r="K58" i="2"/>
  <c r="J58" i="2"/>
  <c r="I58" i="2"/>
  <c r="B58" i="2"/>
  <c r="K57" i="2"/>
  <c r="J57" i="2"/>
  <c r="I57" i="2"/>
  <c r="B57" i="2"/>
  <c r="K56" i="2"/>
  <c r="J56" i="2"/>
  <c r="I56" i="2"/>
  <c r="B56" i="2"/>
  <c r="K55" i="2"/>
  <c r="J55" i="2"/>
  <c r="I55" i="2"/>
  <c r="B55" i="2"/>
  <c r="K54" i="2"/>
  <c r="J54" i="2"/>
  <c r="I54" i="2"/>
  <c r="B54" i="2"/>
  <c r="K53" i="2"/>
  <c r="J53" i="2"/>
  <c r="I53" i="2"/>
  <c r="B53" i="2"/>
  <c r="K52" i="2"/>
  <c r="J52" i="2"/>
  <c r="I52" i="2"/>
  <c r="B52" i="2"/>
  <c r="K51" i="2"/>
  <c r="J51" i="2"/>
  <c r="I51" i="2"/>
  <c r="B51" i="2"/>
  <c r="K50" i="2"/>
  <c r="J50" i="2"/>
  <c r="I50" i="2"/>
  <c r="B50" i="2"/>
  <c r="K49" i="2"/>
  <c r="J49" i="2"/>
  <c r="I49" i="2"/>
  <c r="B49" i="2"/>
  <c r="K48" i="2"/>
  <c r="J48" i="2"/>
  <c r="I48" i="2"/>
  <c r="B48" i="2"/>
  <c r="K47" i="2"/>
  <c r="J47" i="2"/>
  <c r="I47" i="2"/>
  <c r="B47" i="2"/>
  <c r="K46" i="2"/>
  <c r="J46" i="2"/>
  <c r="I46" i="2"/>
  <c r="B46" i="2"/>
  <c r="K45" i="2"/>
  <c r="J45" i="2"/>
  <c r="I45" i="2"/>
  <c r="B45" i="2"/>
  <c r="K44" i="2"/>
  <c r="J44" i="2"/>
  <c r="I44" i="2"/>
  <c r="B44" i="2"/>
  <c r="K43" i="2"/>
  <c r="J43" i="2"/>
  <c r="I43" i="2"/>
  <c r="B43" i="2"/>
  <c r="K42" i="2"/>
  <c r="J42" i="2"/>
  <c r="I42" i="2"/>
  <c r="B42" i="2"/>
  <c r="K41" i="2"/>
  <c r="J41" i="2"/>
  <c r="I41" i="2"/>
  <c r="B41" i="2"/>
  <c r="K40" i="2"/>
  <c r="J40" i="2"/>
  <c r="I40" i="2"/>
  <c r="B40" i="2"/>
  <c r="K39" i="2"/>
  <c r="J39" i="2"/>
  <c r="I39" i="2"/>
  <c r="B39" i="2"/>
  <c r="K38" i="2"/>
  <c r="J38" i="2"/>
  <c r="I38" i="2"/>
  <c r="B38" i="2"/>
  <c r="K37" i="2"/>
  <c r="J37" i="2"/>
  <c r="I37" i="2"/>
  <c r="B37" i="2"/>
  <c r="K36" i="2"/>
  <c r="J36" i="2"/>
  <c r="I36" i="2"/>
  <c r="B36" i="2"/>
  <c r="K35" i="2"/>
  <c r="J35" i="2"/>
  <c r="I35" i="2"/>
  <c r="B35" i="2"/>
  <c r="K34" i="2"/>
  <c r="J34" i="2"/>
  <c r="I34" i="2"/>
  <c r="B34" i="2"/>
  <c r="K33" i="2"/>
  <c r="J33" i="2"/>
  <c r="I33" i="2"/>
  <c r="B33" i="2"/>
  <c r="K32" i="2"/>
  <c r="J32" i="2"/>
  <c r="I32" i="2"/>
  <c r="B32" i="2"/>
  <c r="K31" i="2"/>
  <c r="J31" i="2"/>
  <c r="I31" i="2"/>
  <c r="B31" i="2"/>
  <c r="K30" i="2"/>
  <c r="J30" i="2"/>
  <c r="I30" i="2"/>
  <c r="B30" i="2"/>
  <c r="K29" i="2"/>
  <c r="J29" i="2"/>
  <c r="I29" i="2"/>
  <c r="B29" i="2"/>
  <c r="K28" i="2"/>
  <c r="J28" i="2"/>
  <c r="I28" i="2"/>
  <c r="B28" i="2"/>
  <c r="K27" i="2"/>
  <c r="J27" i="2"/>
  <c r="I27" i="2"/>
  <c r="B27" i="2"/>
  <c r="K26" i="2"/>
  <c r="J26" i="2"/>
  <c r="I26" i="2"/>
  <c r="B26" i="2"/>
  <c r="K25" i="2"/>
  <c r="J25" i="2"/>
  <c r="I25" i="2"/>
  <c r="B25" i="2"/>
  <c r="K24" i="2"/>
  <c r="J24" i="2"/>
  <c r="I24" i="2"/>
  <c r="B24" i="2"/>
  <c r="K23" i="2"/>
  <c r="J23" i="2"/>
  <c r="I23" i="2"/>
  <c r="B23" i="2"/>
  <c r="K22" i="2"/>
  <c r="J22" i="2"/>
  <c r="I22" i="2"/>
  <c r="B22" i="2"/>
  <c r="K21" i="2"/>
  <c r="J21" i="2"/>
  <c r="I21" i="2"/>
  <c r="B21" i="2"/>
  <c r="K20" i="2"/>
  <c r="J20" i="2"/>
  <c r="I20" i="2"/>
  <c r="B20" i="2"/>
  <c r="K19" i="2"/>
  <c r="J19" i="2"/>
  <c r="I19" i="2"/>
  <c r="B19" i="2"/>
  <c r="K18" i="2"/>
  <c r="J18" i="2"/>
  <c r="I18" i="2"/>
  <c r="B18" i="2"/>
  <c r="K17" i="2"/>
  <c r="J17" i="2"/>
  <c r="I17" i="2"/>
  <c r="B17" i="2"/>
  <c r="K16" i="2"/>
  <c r="J16" i="2"/>
  <c r="I16" i="2"/>
  <c r="B16" i="2"/>
  <c r="K15" i="2"/>
  <c r="J15" i="2"/>
  <c r="I15" i="2"/>
  <c r="B15" i="2"/>
  <c r="K14" i="2"/>
  <c r="J14" i="2"/>
  <c r="I14" i="2"/>
  <c r="B14" i="2"/>
  <c r="K13" i="2"/>
  <c r="J13" i="2"/>
  <c r="I13" i="2"/>
  <c r="B13" i="2"/>
  <c r="K12" i="2"/>
  <c r="J12" i="2"/>
  <c r="I12" i="2"/>
  <c r="B12" i="2"/>
  <c r="K11" i="2"/>
  <c r="J11" i="2"/>
  <c r="I11" i="2"/>
  <c r="B11" i="2"/>
  <c r="K10" i="2"/>
  <c r="J10" i="2"/>
  <c r="I10" i="2"/>
  <c r="B10" i="2"/>
  <c r="K9" i="2"/>
  <c r="J9" i="2"/>
  <c r="I9" i="2"/>
  <c r="B9" i="2"/>
  <c r="K8" i="2"/>
  <c r="J8" i="2"/>
  <c r="I8" i="2"/>
  <c r="B8" i="2"/>
  <c r="K7" i="2"/>
  <c r="J7" i="2"/>
  <c r="I7" i="2"/>
  <c r="B7" i="2"/>
  <c r="K6" i="2"/>
  <c r="J6" i="2"/>
  <c r="I6" i="2"/>
  <c r="B6" i="2"/>
  <c r="K5" i="2"/>
  <c r="J5" i="2"/>
  <c r="I5" i="2"/>
  <c r="B5" i="2"/>
  <c r="K4" i="2"/>
  <c r="J4" i="2"/>
  <c r="I4" i="2"/>
  <c r="K3" i="2"/>
  <c r="J3" i="2"/>
  <c r="I3" i="2"/>
  <c r="B3" i="2"/>
  <c r="B2" i="2"/>
  <c r="A16" i="5" l="1"/>
  <c r="A13" i="5"/>
  <c r="A10" i="5"/>
  <c r="A7" i="5"/>
  <c r="A4" i="5"/>
  <c r="A1" i="5"/>
  <c r="E17" i="5" l="1"/>
  <c r="D17" i="5"/>
  <c r="C17" i="5"/>
  <c r="B17" i="5"/>
  <c r="A17" i="5"/>
  <c r="E14" i="5"/>
  <c r="D14" i="5"/>
  <c r="C14" i="5"/>
  <c r="B14" i="5"/>
  <c r="A14" i="5"/>
  <c r="E11" i="5"/>
  <c r="D11" i="5"/>
  <c r="C11" i="5"/>
  <c r="B11" i="5"/>
  <c r="A11" i="5"/>
  <c r="E8" i="5"/>
  <c r="D8" i="5"/>
  <c r="C8" i="5"/>
  <c r="B8" i="5"/>
  <c r="A8" i="5"/>
  <c r="E5" i="5"/>
  <c r="D5" i="5"/>
  <c r="C5" i="5"/>
  <c r="B5" i="5"/>
  <c r="A5" i="5"/>
  <c r="E2" i="5"/>
  <c r="D2" i="5"/>
  <c r="C2" i="5"/>
  <c r="B2" i="5"/>
  <c r="A2" i="5"/>
  <c r="E1" i="5"/>
  <c r="D1" i="5"/>
  <c r="C1" i="5"/>
  <c r="B1" i="5"/>
  <c r="E13" i="5"/>
  <c r="D13" i="5"/>
  <c r="C13" i="5"/>
  <c r="B13" i="5"/>
  <c r="E16" i="5"/>
  <c r="D16" i="5"/>
  <c r="C16" i="5"/>
  <c r="B16" i="5"/>
  <c r="E7" i="5"/>
  <c r="D7" i="5"/>
  <c r="C7" i="5"/>
  <c r="B7" i="5"/>
  <c r="E10" i="5"/>
  <c r="D10" i="5"/>
  <c r="C10" i="5"/>
  <c r="B10" i="5"/>
  <c r="E4" i="5"/>
  <c r="D4" i="5"/>
  <c r="C4" i="5"/>
  <c r="B4" i="5"/>
  <c r="E594" i="3"/>
  <c r="D594" i="3"/>
  <c r="A594" i="3"/>
  <c r="A591" i="3"/>
  <c r="D591" i="3"/>
  <c r="E591" i="3"/>
  <c r="E588" i="3"/>
  <c r="D588" i="3"/>
  <c r="A588" i="3"/>
  <c r="A585" i="3"/>
  <c r="E585" i="3"/>
  <c r="D585" i="3"/>
  <c r="E582" i="3"/>
  <c r="D582" i="3"/>
  <c r="A582" i="3"/>
  <c r="E579" i="3"/>
  <c r="D579" i="3"/>
  <c r="A579" i="3"/>
  <c r="E577" i="3"/>
  <c r="D577" i="3"/>
  <c r="A577" i="3"/>
  <c r="E574" i="3"/>
  <c r="D574" i="3"/>
  <c r="A574" i="3"/>
  <c r="E571" i="3"/>
  <c r="D571" i="3"/>
  <c r="A571" i="3"/>
  <c r="E568" i="3"/>
  <c r="D568" i="3"/>
  <c r="A568" i="3"/>
  <c r="E565" i="3"/>
  <c r="D565" i="3"/>
  <c r="A565" i="3"/>
  <c r="E562" i="3"/>
  <c r="D562" i="3"/>
  <c r="A562" i="3"/>
  <c r="E560" i="3"/>
  <c r="D560" i="3"/>
  <c r="A560" i="3"/>
  <c r="E595" i="3"/>
  <c r="D595" i="3"/>
  <c r="E592" i="3"/>
  <c r="D592" i="3"/>
  <c r="E589" i="3"/>
  <c r="D589" i="3"/>
  <c r="E586" i="3"/>
  <c r="D586" i="3"/>
  <c r="E583" i="3"/>
  <c r="D583" i="3"/>
  <c r="E580" i="3"/>
  <c r="D580" i="3"/>
  <c r="E578" i="3"/>
  <c r="D578" i="3"/>
  <c r="E575" i="3"/>
  <c r="D575" i="3"/>
  <c r="E572" i="3"/>
  <c r="D572" i="3"/>
  <c r="E569" i="3"/>
  <c r="D569" i="3"/>
  <c r="E566" i="3"/>
  <c r="D566" i="3"/>
  <c r="E563" i="3"/>
  <c r="D563" i="3"/>
  <c r="E561" i="3"/>
  <c r="D561" i="3"/>
  <c r="I200" i="1"/>
  <c r="I201" i="1"/>
  <c r="I202" i="1"/>
  <c r="H200" i="1"/>
  <c r="H201" i="1"/>
  <c r="H202" i="1"/>
  <c r="C561" i="3" l="1"/>
  <c r="B561" i="3"/>
  <c r="A561" i="3"/>
  <c r="C560" i="3"/>
  <c r="B560" i="3"/>
  <c r="C563" i="3"/>
  <c r="B563" i="3"/>
  <c r="A563" i="3"/>
  <c r="C562" i="3"/>
  <c r="B562" i="3"/>
  <c r="C566" i="3"/>
  <c r="B566" i="3"/>
  <c r="A566" i="3"/>
  <c r="C565" i="3"/>
  <c r="B565" i="3"/>
  <c r="C569" i="3"/>
  <c r="B569" i="3"/>
  <c r="A569" i="3"/>
  <c r="C568" i="3"/>
  <c r="B568" i="3"/>
  <c r="C572" i="3"/>
  <c r="B572" i="3"/>
  <c r="A572" i="3"/>
  <c r="C571" i="3"/>
  <c r="B571" i="3"/>
  <c r="C575" i="3"/>
  <c r="B575" i="3"/>
  <c r="A575" i="3"/>
  <c r="C574" i="3"/>
  <c r="B574" i="3"/>
  <c r="C578" i="3"/>
  <c r="B578" i="3"/>
  <c r="A578" i="3"/>
  <c r="C577" i="3"/>
  <c r="B577" i="3"/>
  <c r="C580" i="3"/>
  <c r="B580" i="3"/>
  <c r="A580" i="3"/>
  <c r="C579" i="3"/>
  <c r="B579" i="3"/>
  <c r="C583" i="3"/>
  <c r="B583" i="3"/>
  <c r="A583" i="3"/>
  <c r="C582" i="3"/>
  <c r="B582" i="3"/>
  <c r="C586" i="3"/>
  <c r="B586" i="3"/>
  <c r="A586" i="3"/>
  <c r="C585" i="3"/>
  <c r="B585" i="3"/>
  <c r="C589" i="3"/>
  <c r="B589" i="3"/>
  <c r="A589" i="3"/>
  <c r="C588" i="3"/>
  <c r="B588" i="3"/>
  <c r="C592" i="3"/>
  <c r="B592" i="3"/>
  <c r="A592" i="3"/>
  <c r="C591" i="3"/>
  <c r="B591" i="3"/>
  <c r="C595" i="3"/>
  <c r="B595" i="3"/>
  <c r="A595" i="3"/>
  <c r="C594" i="3"/>
  <c r="B594" i="3"/>
  <c r="A201" i="1"/>
  <c r="B201" i="1"/>
  <c r="C201" i="1"/>
  <c r="G201" i="1"/>
  <c r="A200" i="1"/>
  <c r="B200" i="1"/>
  <c r="C200" i="1"/>
  <c r="G200" i="1"/>
  <c r="A199" i="1"/>
  <c r="B199" i="1"/>
  <c r="C199" i="1"/>
  <c r="G199" i="1"/>
  <c r="A557" i="3" s="1"/>
  <c r="A198" i="1"/>
  <c r="B198" i="1"/>
  <c r="C198" i="1"/>
  <c r="G198" i="1"/>
  <c r="A554" i="3" s="1"/>
  <c r="A197" i="1"/>
  <c r="B197" i="1"/>
  <c r="C197" i="1"/>
  <c r="G197" i="1"/>
  <c r="A551" i="3" s="1"/>
  <c r="A196" i="1"/>
  <c r="B196" i="1"/>
  <c r="C196" i="1"/>
  <c r="G196" i="1"/>
  <c r="A548" i="3" s="1"/>
  <c r="A195" i="1"/>
  <c r="B195" i="1"/>
  <c r="C195" i="1"/>
  <c r="G195" i="1"/>
  <c r="A545" i="3" s="1"/>
  <c r="A194" i="1"/>
  <c r="B194" i="1"/>
  <c r="C194" i="1"/>
  <c r="G194" i="1"/>
  <c r="A543" i="3" s="1"/>
  <c r="A193" i="1"/>
  <c r="B193" i="1"/>
  <c r="C193" i="1"/>
  <c r="G193" i="1"/>
  <c r="A540" i="3" s="1"/>
  <c r="A192" i="1"/>
  <c r="B192" i="1"/>
  <c r="C192" i="1"/>
  <c r="G192" i="1"/>
  <c r="A537" i="3" s="1"/>
  <c r="A191" i="1"/>
  <c r="B191" i="1"/>
  <c r="C191" i="1"/>
  <c r="G191" i="1"/>
  <c r="A534" i="3" s="1"/>
  <c r="A190" i="1"/>
  <c r="B190" i="1"/>
  <c r="C190" i="1"/>
  <c r="G190" i="1"/>
  <c r="A531" i="3" s="1"/>
  <c r="A189" i="1"/>
  <c r="B189" i="1"/>
  <c r="C189" i="1"/>
  <c r="G189" i="1"/>
  <c r="A528" i="3" s="1"/>
  <c r="A188" i="1"/>
  <c r="B188" i="1"/>
  <c r="C188" i="1"/>
  <c r="G188" i="1"/>
  <c r="A526" i="3" s="1"/>
  <c r="A187" i="1"/>
  <c r="B187" i="1"/>
  <c r="C187" i="1"/>
  <c r="G187" i="1"/>
  <c r="A523" i="3" s="1"/>
  <c r="A186" i="1"/>
  <c r="B186" i="1"/>
  <c r="C186" i="1"/>
  <c r="G186" i="1"/>
  <c r="A520" i="3" s="1"/>
  <c r="A185" i="1"/>
  <c r="B185" i="1"/>
  <c r="C185" i="1"/>
  <c r="G185" i="1"/>
  <c r="A517" i="3" s="1"/>
  <c r="A184" i="1"/>
  <c r="B184" i="1"/>
  <c r="C184" i="1"/>
  <c r="G184" i="1"/>
  <c r="A514" i="3" s="1"/>
  <c r="A183" i="1"/>
  <c r="B183" i="1"/>
  <c r="C183" i="1"/>
  <c r="G183" i="1"/>
  <c r="A511" i="3" s="1"/>
  <c r="A182" i="1"/>
  <c r="B182" i="1"/>
  <c r="C182" i="1"/>
  <c r="G182" i="1"/>
  <c r="A509" i="3" s="1"/>
  <c r="A181" i="1"/>
  <c r="B181" i="1"/>
  <c r="C181" i="1"/>
  <c r="G181" i="1"/>
  <c r="A506" i="3" s="1"/>
  <c r="A180" i="1"/>
  <c r="B180" i="1"/>
  <c r="C180" i="1"/>
  <c r="G180" i="1"/>
  <c r="A503" i="3" s="1"/>
  <c r="A179" i="1"/>
  <c r="B179" i="1"/>
  <c r="C179" i="1"/>
  <c r="G179" i="1"/>
  <c r="A500" i="3" s="1"/>
  <c r="A178" i="1"/>
  <c r="B178" i="1"/>
  <c r="C178" i="1"/>
  <c r="G178" i="1"/>
  <c r="A497" i="3" s="1"/>
  <c r="A177" i="1"/>
  <c r="B177" i="1"/>
  <c r="C177" i="1"/>
  <c r="G177" i="1"/>
  <c r="A494" i="3" s="1"/>
  <c r="A176" i="1"/>
  <c r="B176" i="1"/>
  <c r="C176" i="1"/>
  <c r="G176" i="1"/>
  <c r="A492" i="3" s="1"/>
  <c r="A175" i="1"/>
  <c r="B175" i="1"/>
  <c r="C175" i="1"/>
  <c r="G175" i="1"/>
  <c r="A489" i="3" s="1"/>
  <c r="A174" i="1"/>
  <c r="B174" i="1"/>
  <c r="C174" i="1"/>
  <c r="G174" i="1"/>
  <c r="A486" i="3" s="1"/>
  <c r="A173" i="1"/>
  <c r="B173" i="1"/>
  <c r="C173" i="1"/>
  <c r="G173" i="1"/>
  <c r="A483" i="3" s="1"/>
  <c r="A172" i="1"/>
  <c r="B172" i="1"/>
  <c r="C172" i="1"/>
  <c r="G172" i="1"/>
  <c r="A480" i="3" s="1"/>
  <c r="A171" i="1"/>
  <c r="B171" i="1"/>
  <c r="C171" i="1"/>
  <c r="G171" i="1"/>
  <c r="A477" i="3" s="1"/>
  <c r="A170" i="1"/>
  <c r="B170" i="1"/>
  <c r="C170" i="1"/>
  <c r="G170" i="1"/>
  <c r="A475" i="3" s="1"/>
  <c r="A169" i="1"/>
  <c r="B169" i="1"/>
  <c r="C169" i="1"/>
  <c r="G169" i="1"/>
  <c r="A472" i="3" s="1"/>
  <c r="A168" i="1"/>
  <c r="B168" i="1"/>
  <c r="C168" i="1"/>
  <c r="G168" i="1"/>
  <c r="A469" i="3" s="1"/>
  <c r="A167" i="1"/>
  <c r="B167" i="1"/>
  <c r="C167" i="1"/>
  <c r="G167" i="1"/>
  <c r="A466" i="3" s="1"/>
  <c r="A166" i="1"/>
  <c r="B166" i="1"/>
  <c r="C166" i="1"/>
  <c r="G166" i="1"/>
  <c r="A463" i="3" s="1"/>
  <c r="A165" i="1"/>
  <c r="B165" i="1"/>
  <c r="C165" i="1"/>
  <c r="G165" i="1"/>
  <c r="A460" i="3" s="1"/>
  <c r="A164" i="1"/>
  <c r="B164" i="1"/>
  <c r="C164" i="1"/>
  <c r="G164" i="1"/>
  <c r="A458" i="3" s="1"/>
  <c r="A163" i="1"/>
  <c r="B163" i="1"/>
  <c r="C163" i="1"/>
  <c r="G163" i="1"/>
  <c r="A455" i="3" s="1"/>
  <c r="A162" i="1"/>
  <c r="B162" i="1"/>
  <c r="C162" i="1"/>
  <c r="G162" i="1"/>
  <c r="A452" i="3" s="1"/>
  <c r="A161" i="1"/>
  <c r="B161" i="1"/>
  <c r="C161" i="1"/>
  <c r="G161" i="1"/>
  <c r="A449" i="3" s="1"/>
  <c r="A160" i="1"/>
  <c r="B160" i="1"/>
  <c r="C160" i="1"/>
  <c r="G160" i="1"/>
  <c r="A446" i="3" s="1"/>
  <c r="A159" i="1"/>
  <c r="B159" i="1"/>
  <c r="C159" i="1"/>
  <c r="G159" i="1"/>
  <c r="A443" i="3" s="1"/>
  <c r="A158" i="1"/>
  <c r="B158" i="1"/>
  <c r="C158" i="1"/>
  <c r="G158" i="1"/>
  <c r="A441" i="3" s="1"/>
  <c r="A157" i="1"/>
  <c r="B157" i="1"/>
  <c r="C157" i="1"/>
  <c r="G157" i="1"/>
  <c r="A438" i="3" s="1"/>
  <c r="A156" i="1"/>
  <c r="B156" i="1"/>
  <c r="C156" i="1"/>
  <c r="G156" i="1"/>
  <c r="A435" i="3" s="1"/>
  <c r="A155" i="1"/>
  <c r="B155" i="1"/>
  <c r="C155" i="1"/>
  <c r="G155" i="1"/>
  <c r="A432" i="3" s="1"/>
  <c r="A154" i="1"/>
  <c r="B154" i="1"/>
  <c r="C154" i="1"/>
  <c r="G154" i="1"/>
  <c r="A429" i="3" s="1"/>
  <c r="A153" i="1"/>
  <c r="B153" i="1"/>
  <c r="C153" i="1"/>
  <c r="G153" i="1"/>
  <c r="A426" i="3" s="1"/>
  <c r="A152" i="1"/>
  <c r="B152" i="1"/>
  <c r="C152" i="1"/>
  <c r="G152" i="1"/>
  <c r="A424" i="3" s="1"/>
  <c r="A151" i="1"/>
  <c r="B151" i="1"/>
  <c r="C151" i="1"/>
  <c r="G151" i="1"/>
  <c r="A421" i="3" s="1"/>
  <c r="A150" i="1"/>
  <c r="B150" i="1"/>
  <c r="C150" i="1"/>
  <c r="G150" i="1"/>
  <c r="A418" i="3" s="1"/>
  <c r="A149" i="1"/>
  <c r="B149" i="1"/>
  <c r="C149" i="1"/>
  <c r="G149" i="1"/>
  <c r="A415" i="3" s="1"/>
  <c r="A148" i="1"/>
  <c r="B148" i="1"/>
  <c r="C148" i="1"/>
  <c r="G148" i="1"/>
  <c r="A412" i="3" s="1"/>
  <c r="A147" i="1"/>
  <c r="B147" i="1"/>
  <c r="C147" i="1"/>
  <c r="G147" i="1"/>
  <c r="A409" i="3" s="1"/>
  <c r="A146" i="1"/>
  <c r="B146" i="1"/>
  <c r="C146" i="1"/>
  <c r="G146" i="1"/>
  <c r="A407" i="3" s="1"/>
  <c r="A145" i="1"/>
  <c r="B145" i="1"/>
  <c r="C145" i="1"/>
  <c r="G145" i="1"/>
  <c r="A404" i="3" s="1"/>
  <c r="A144" i="1"/>
  <c r="B144" i="1"/>
  <c r="C144" i="1"/>
  <c r="G144" i="1"/>
  <c r="A401" i="3" s="1"/>
  <c r="A143" i="1"/>
  <c r="B143" i="1"/>
  <c r="C143" i="1"/>
  <c r="G143" i="1"/>
  <c r="A398" i="3" s="1"/>
  <c r="A142" i="1"/>
  <c r="B142" i="1"/>
  <c r="C142" i="1"/>
  <c r="G142" i="1"/>
  <c r="A395" i="3" s="1"/>
  <c r="A141" i="1"/>
  <c r="B141" i="1"/>
  <c r="C141" i="1"/>
  <c r="G141" i="1"/>
  <c r="A392" i="3" s="1"/>
  <c r="A140" i="1"/>
  <c r="B140" i="1"/>
  <c r="C140" i="1"/>
  <c r="G140" i="1"/>
  <c r="A390" i="3" s="1"/>
  <c r="A139" i="1"/>
  <c r="B139" i="1"/>
  <c r="C139" i="1"/>
  <c r="G139" i="1"/>
  <c r="A387" i="3" s="1"/>
  <c r="A138" i="1"/>
  <c r="B138" i="1"/>
  <c r="C138" i="1"/>
  <c r="G138" i="1"/>
  <c r="A384" i="3" s="1"/>
  <c r="A137" i="1"/>
  <c r="B137" i="1"/>
  <c r="C137" i="1"/>
  <c r="G137" i="1"/>
  <c r="A381" i="3" s="1"/>
  <c r="A136" i="1"/>
  <c r="B136" i="1"/>
  <c r="C136" i="1"/>
  <c r="G136" i="1"/>
  <c r="A378" i="3" s="1"/>
  <c r="A135" i="1"/>
  <c r="B135" i="1"/>
  <c r="C135" i="1"/>
  <c r="G135" i="1"/>
  <c r="A375" i="3" s="1"/>
  <c r="A134" i="1"/>
  <c r="B134" i="1"/>
  <c r="C134" i="1"/>
  <c r="G134" i="1"/>
  <c r="A373" i="3" s="1"/>
  <c r="A133" i="1"/>
  <c r="B133" i="1"/>
  <c r="C133" i="1"/>
  <c r="G133" i="1"/>
  <c r="A370" i="3" s="1"/>
  <c r="A132" i="1"/>
  <c r="B132" i="1"/>
  <c r="C132" i="1"/>
  <c r="G132" i="1"/>
  <c r="A367" i="3" s="1"/>
  <c r="A131" i="1"/>
  <c r="B131" i="1"/>
  <c r="C131" i="1"/>
  <c r="G131" i="1"/>
  <c r="A364" i="3" s="1"/>
  <c r="A130" i="1"/>
  <c r="B130" i="1"/>
  <c r="C130" i="1"/>
  <c r="G130" i="1"/>
  <c r="A361" i="3" s="1"/>
  <c r="A129" i="1"/>
  <c r="B129" i="1"/>
  <c r="C129" i="1"/>
  <c r="G129" i="1"/>
  <c r="A358" i="3" s="1"/>
  <c r="A128" i="1"/>
  <c r="B128" i="1"/>
  <c r="C128" i="1"/>
  <c r="G128" i="1"/>
  <c r="A356" i="3" s="1"/>
  <c r="A127" i="1"/>
  <c r="B127" i="1"/>
  <c r="C127" i="1"/>
  <c r="G127" i="1"/>
  <c r="A353" i="3" s="1"/>
  <c r="A126" i="1"/>
  <c r="B126" i="1"/>
  <c r="C126" i="1"/>
  <c r="G126" i="1"/>
  <c r="A350" i="3" s="1"/>
  <c r="A125" i="1"/>
  <c r="B125" i="1"/>
  <c r="C125" i="1"/>
  <c r="G125" i="1"/>
  <c r="A347" i="3" s="1"/>
  <c r="A124" i="1"/>
  <c r="B124" i="1"/>
  <c r="C124" i="1"/>
  <c r="G124" i="1"/>
  <c r="A344" i="3" s="1"/>
  <c r="A123" i="1"/>
  <c r="B123" i="1"/>
  <c r="C123" i="1"/>
  <c r="G123" i="1"/>
  <c r="A341" i="3" s="1"/>
  <c r="A122" i="1"/>
  <c r="B122" i="1"/>
  <c r="C122" i="1"/>
  <c r="G122" i="1"/>
  <c r="A339" i="3" s="1"/>
  <c r="A121" i="1"/>
  <c r="B121" i="1"/>
  <c r="C121" i="1"/>
  <c r="G121" i="1"/>
  <c r="A336" i="3" s="1"/>
  <c r="A120" i="1"/>
  <c r="B120" i="1"/>
  <c r="C120" i="1"/>
  <c r="G120" i="1"/>
  <c r="A333" i="3" s="1"/>
  <c r="A119" i="1"/>
  <c r="B119" i="1"/>
  <c r="C119" i="1"/>
  <c r="G119" i="1"/>
  <c r="A330" i="3" s="1"/>
  <c r="A118" i="1"/>
  <c r="B118" i="1"/>
  <c r="C118" i="1"/>
  <c r="G118" i="1"/>
  <c r="A327" i="3" s="1"/>
  <c r="A117" i="1"/>
  <c r="B117" i="1"/>
  <c r="C117" i="1"/>
  <c r="G117" i="1"/>
  <c r="A324" i="3" s="1"/>
  <c r="A116" i="1"/>
  <c r="B116" i="1"/>
  <c r="C116" i="1"/>
  <c r="G116" i="1"/>
  <c r="A322" i="3" s="1"/>
  <c r="A115" i="1"/>
  <c r="B115" i="1"/>
  <c r="C115" i="1"/>
  <c r="G115" i="1"/>
  <c r="A319" i="3" s="1"/>
  <c r="A114" i="1"/>
  <c r="B114" i="1"/>
  <c r="C114" i="1"/>
  <c r="G114" i="1"/>
  <c r="A316" i="3" s="1"/>
  <c r="A113" i="1"/>
  <c r="B113" i="1"/>
  <c r="C113" i="1"/>
  <c r="G113" i="1"/>
  <c r="A313" i="3" s="1"/>
  <c r="A112" i="1"/>
  <c r="B112" i="1"/>
  <c r="C112" i="1"/>
  <c r="G112" i="1"/>
  <c r="A310" i="3" s="1"/>
  <c r="A111" i="1"/>
  <c r="B111" i="1"/>
  <c r="C111" i="1"/>
  <c r="G111" i="1"/>
  <c r="A307" i="3" s="1"/>
  <c r="A110" i="1"/>
  <c r="B110" i="1"/>
  <c r="C110" i="1"/>
  <c r="G110" i="1"/>
  <c r="A305" i="3" s="1"/>
  <c r="A109" i="1"/>
  <c r="B109" i="1"/>
  <c r="C109" i="1"/>
  <c r="G109" i="1"/>
  <c r="A302" i="3" s="1"/>
  <c r="A108" i="1"/>
  <c r="B108" i="1"/>
  <c r="C108" i="1"/>
  <c r="G108" i="1"/>
  <c r="A299" i="3" s="1"/>
  <c r="A107" i="1"/>
  <c r="B107" i="1"/>
  <c r="C107" i="1"/>
  <c r="G107" i="1"/>
  <c r="A296" i="3" s="1"/>
  <c r="A106" i="1"/>
  <c r="B106" i="1"/>
  <c r="C106" i="1"/>
  <c r="G106" i="1"/>
  <c r="A293" i="3" s="1"/>
  <c r="A105" i="1"/>
  <c r="B105" i="1"/>
  <c r="C105" i="1"/>
  <c r="G105" i="1"/>
  <c r="A290" i="3" s="1"/>
  <c r="A104" i="1"/>
  <c r="B104" i="1"/>
  <c r="C104" i="1"/>
  <c r="G104" i="1"/>
  <c r="A288" i="3" s="1"/>
  <c r="A103" i="1"/>
  <c r="B103" i="1"/>
  <c r="C103" i="1"/>
  <c r="G103" i="1"/>
  <c r="A285" i="3" s="1"/>
  <c r="A102" i="1"/>
  <c r="B102" i="1"/>
  <c r="C102" i="1"/>
  <c r="G102" i="1"/>
  <c r="A282" i="3" s="1"/>
  <c r="A101" i="1"/>
  <c r="B101" i="1"/>
  <c r="C101" i="1"/>
  <c r="G101" i="1"/>
  <c r="A279" i="3" s="1"/>
  <c r="A100" i="1"/>
  <c r="B100" i="1"/>
  <c r="C100" i="1"/>
  <c r="G100" i="1"/>
  <c r="A276" i="3" s="1"/>
  <c r="A99" i="1"/>
  <c r="B99" i="1"/>
  <c r="C99" i="1"/>
  <c r="G99" i="1"/>
  <c r="A273" i="3" s="1"/>
  <c r="A98" i="1"/>
  <c r="B98" i="1"/>
  <c r="C98" i="1"/>
  <c r="G98" i="1"/>
  <c r="A271" i="3" s="1"/>
  <c r="A97" i="1"/>
  <c r="B97" i="1"/>
  <c r="C97" i="1"/>
  <c r="G97" i="1"/>
  <c r="A268" i="3" s="1"/>
  <c r="A96" i="1"/>
  <c r="B96" i="1"/>
  <c r="C96" i="1"/>
  <c r="G96" i="1"/>
  <c r="A265" i="3" s="1"/>
  <c r="A95" i="1"/>
  <c r="B95" i="1"/>
  <c r="C95" i="1"/>
  <c r="G95" i="1"/>
  <c r="A262" i="3" s="1"/>
  <c r="A94" i="1"/>
  <c r="B94" i="1"/>
  <c r="C94" i="1"/>
  <c r="G94" i="1"/>
  <c r="A259" i="3" s="1"/>
  <c r="A93" i="1"/>
  <c r="B93" i="1"/>
  <c r="C93" i="1"/>
  <c r="G93" i="1"/>
  <c r="A256" i="3" s="1"/>
  <c r="A92" i="1"/>
  <c r="B92" i="1"/>
  <c r="C92" i="1"/>
  <c r="G92" i="1"/>
  <c r="A254" i="3" s="1"/>
  <c r="A91" i="1"/>
  <c r="B91" i="1"/>
  <c r="C91" i="1"/>
  <c r="G91" i="1"/>
  <c r="A251" i="3" s="1"/>
  <c r="A90" i="1"/>
  <c r="B90" i="1"/>
  <c r="C90" i="1"/>
  <c r="G90" i="1"/>
  <c r="A248" i="3" s="1"/>
  <c r="A89" i="1"/>
  <c r="B89" i="1"/>
  <c r="C89" i="1"/>
  <c r="G89" i="1"/>
  <c r="A245" i="3" s="1"/>
  <c r="A88" i="1"/>
  <c r="B88" i="1"/>
  <c r="C88" i="1"/>
  <c r="G88" i="1"/>
  <c r="A242" i="3" s="1"/>
  <c r="A87" i="1"/>
  <c r="B87" i="1"/>
  <c r="C87" i="1"/>
  <c r="G87" i="1"/>
  <c r="A239" i="3" s="1"/>
  <c r="A86" i="1"/>
  <c r="B86" i="1"/>
  <c r="C86" i="1"/>
  <c r="G86" i="1"/>
  <c r="A237" i="3" s="1"/>
  <c r="A85" i="1"/>
  <c r="B85" i="1"/>
  <c r="C85" i="1"/>
  <c r="G85" i="1"/>
  <c r="A234" i="3" s="1"/>
  <c r="A84" i="1"/>
  <c r="B84" i="1"/>
  <c r="C84" i="1"/>
  <c r="G84" i="1"/>
  <c r="A231" i="3" s="1"/>
  <c r="A83" i="1"/>
  <c r="B83" i="1"/>
  <c r="C83" i="1"/>
  <c r="G83" i="1"/>
  <c r="A228" i="3" s="1"/>
  <c r="A82" i="1"/>
  <c r="B82" i="1"/>
  <c r="C82" i="1"/>
  <c r="G82" i="1"/>
  <c r="A225" i="3" s="1"/>
  <c r="A81" i="1"/>
  <c r="B81" i="1"/>
  <c r="C81" i="1"/>
  <c r="G81" i="1"/>
  <c r="A222" i="3" s="1"/>
  <c r="A80" i="1"/>
  <c r="B80" i="1"/>
  <c r="C80" i="1"/>
  <c r="G80" i="1"/>
  <c r="A220" i="3" s="1"/>
  <c r="A79" i="1"/>
  <c r="B79" i="1"/>
  <c r="C79" i="1"/>
  <c r="G79" i="1"/>
  <c r="A217" i="3" s="1"/>
  <c r="A78" i="1"/>
  <c r="B78" i="1"/>
  <c r="C78" i="1"/>
  <c r="G78" i="1"/>
  <c r="A214" i="3" s="1"/>
  <c r="A77" i="1"/>
  <c r="B77" i="1"/>
  <c r="C77" i="1"/>
  <c r="G77" i="1"/>
  <c r="A211" i="3" s="1"/>
  <c r="A76" i="1"/>
  <c r="B76" i="1"/>
  <c r="C76" i="1"/>
  <c r="G76" i="1"/>
  <c r="A208" i="3" s="1"/>
  <c r="A75" i="1"/>
  <c r="B75" i="1"/>
  <c r="C75" i="1"/>
  <c r="G75" i="1"/>
  <c r="A205" i="3" s="1"/>
  <c r="A74" i="1"/>
  <c r="B74" i="1"/>
  <c r="C74" i="1"/>
  <c r="G74" i="1"/>
  <c r="A203" i="3" s="1"/>
  <c r="A73" i="1"/>
  <c r="B73" i="1"/>
  <c r="C73" i="1"/>
  <c r="G73" i="1"/>
  <c r="A200" i="3" s="1"/>
  <c r="A72" i="1"/>
  <c r="B72" i="1"/>
  <c r="C72" i="1"/>
  <c r="G72" i="1"/>
  <c r="A197" i="3" s="1"/>
  <c r="A71" i="1"/>
  <c r="B71" i="1"/>
  <c r="C71" i="1"/>
  <c r="G71" i="1"/>
  <c r="A194" i="3" s="1"/>
  <c r="A70" i="1"/>
  <c r="B70" i="1"/>
  <c r="C70" i="1"/>
  <c r="G70" i="1"/>
  <c r="A191" i="3" s="1"/>
  <c r="A69" i="1"/>
  <c r="B69" i="1"/>
  <c r="C69" i="1"/>
  <c r="G69" i="1"/>
  <c r="A188" i="3" s="1"/>
  <c r="A68" i="1"/>
  <c r="B68" i="1"/>
  <c r="C68" i="1"/>
  <c r="G68" i="1"/>
  <c r="A186" i="3" s="1"/>
  <c r="A67" i="1"/>
  <c r="B67" i="1"/>
  <c r="C67" i="1"/>
  <c r="G67" i="1"/>
  <c r="A183" i="3" s="1"/>
  <c r="A66" i="1"/>
  <c r="B66" i="1"/>
  <c r="C66" i="1"/>
  <c r="G66" i="1"/>
  <c r="A180" i="3" s="1"/>
  <c r="A65" i="1"/>
  <c r="B65" i="1"/>
  <c r="C65" i="1"/>
  <c r="G65" i="1"/>
  <c r="A177" i="3" s="1"/>
  <c r="A64" i="1"/>
  <c r="B64" i="1"/>
  <c r="C64" i="1"/>
  <c r="G64" i="1"/>
  <c r="A174" i="3" s="1"/>
  <c r="A63" i="1"/>
  <c r="B63" i="1"/>
  <c r="C63" i="1"/>
  <c r="G63" i="1"/>
  <c r="A171" i="3" s="1"/>
  <c r="A62" i="1"/>
  <c r="B62" i="1"/>
  <c r="C62" i="1"/>
  <c r="G62" i="1"/>
  <c r="A169" i="3" s="1"/>
  <c r="A61" i="1"/>
  <c r="B61" i="1"/>
  <c r="C61" i="1"/>
  <c r="G61" i="1"/>
  <c r="A166" i="3" s="1"/>
  <c r="A60" i="1"/>
  <c r="B60" i="1"/>
  <c r="C60" i="1"/>
  <c r="G60" i="1"/>
  <c r="A163" i="3" s="1"/>
  <c r="A59" i="1"/>
  <c r="B59" i="1"/>
  <c r="C59" i="1"/>
  <c r="G59" i="1"/>
  <c r="A160" i="3" s="1"/>
  <c r="A58" i="1"/>
  <c r="B58" i="1"/>
  <c r="C58" i="1"/>
  <c r="G58" i="1"/>
  <c r="A157" i="3" s="1"/>
  <c r="A57" i="1"/>
  <c r="B57" i="1"/>
  <c r="C57" i="1"/>
  <c r="G57" i="1"/>
  <c r="A154" i="3" s="1"/>
  <c r="A56" i="1"/>
  <c r="B56" i="1"/>
  <c r="C56" i="1"/>
  <c r="G56" i="1"/>
  <c r="A152" i="3" s="1"/>
  <c r="A55" i="1"/>
  <c r="B55" i="1"/>
  <c r="C55" i="1"/>
  <c r="G55" i="1"/>
  <c r="A149" i="3" s="1"/>
  <c r="A54" i="1"/>
  <c r="B54" i="1"/>
  <c r="C54" i="1"/>
  <c r="G54" i="1"/>
  <c r="A146" i="3" s="1"/>
  <c r="A53" i="1"/>
  <c r="B53" i="1"/>
  <c r="C53" i="1"/>
  <c r="G53" i="1"/>
  <c r="A143" i="3" s="1"/>
  <c r="A52" i="1"/>
  <c r="B52" i="1"/>
  <c r="C52" i="1"/>
  <c r="G52" i="1"/>
  <c r="A140" i="3" s="1"/>
  <c r="A51" i="1"/>
  <c r="B51" i="1"/>
  <c r="C51" i="1"/>
  <c r="G51" i="1"/>
  <c r="A137" i="3" s="1"/>
  <c r="A50" i="1"/>
  <c r="B50" i="1"/>
  <c r="C50" i="1"/>
  <c r="G50" i="1"/>
  <c r="A135" i="3" s="1"/>
  <c r="A49" i="1"/>
  <c r="B49" i="1"/>
  <c r="C49" i="1"/>
  <c r="G49" i="1"/>
  <c r="A132" i="3" s="1"/>
  <c r="A48" i="1"/>
  <c r="B48" i="1"/>
  <c r="C48" i="1"/>
  <c r="G48" i="1"/>
  <c r="A129" i="3" s="1"/>
  <c r="A47" i="1"/>
  <c r="B47" i="1"/>
  <c r="C47" i="1"/>
  <c r="G47" i="1"/>
  <c r="A126" i="3" s="1"/>
  <c r="A46" i="1"/>
  <c r="B46" i="1"/>
  <c r="C46" i="1"/>
  <c r="G46" i="1"/>
  <c r="A123" i="3" s="1"/>
  <c r="A45" i="1"/>
  <c r="B45" i="1"/>
  <c r="C45" i="1"/>
  <c r="G45" i="1"/>
  <c r="A120" i="3" s="1"/>
  <c r="A44" i="1"/>
  <c r="B44" i="1"/>
  <c r="C44" i="1"/>
  <c r="G44" i="1"/>
  <c r="A118" i="3" s="1"/>
  <c r="A43" i="1"/>
  <c r="B43" i="1"/>
  <c r="C43" i="1"/>
  <c r="G43" i="1"/>
  <c r="A115" i="3" s="1"/>
  <c r="A42" i="1"/>
  <c r="B42" i="1"/>
  <c r="C42" i="1"/>
  <c r="G42" i="1"/>
  <c r="A112" i="3" s="1"/>
  <c r="A41" i="1"/>
  <c r="B41" i="1"/>
  <c r="C41" i="1"/>
  <c r="G41" i="1"/>
  <c r="A109" i="3" s="1"/>
  <c r="A40" i="1"/>
  <c r="B40" i="1"/>
  <c r="C40" i="1"/>
  <c r="G40" i="1"/>
  <c r="A106" i="3" s="1"/>
  <c r="A39" i="1"/>
  <c r="B39" i="1"/>
  <c r="C39" i="1"/>
  <c r="G39" i="1"/>
  <c r="A103" i="3" s="1"/>
  <c r="A38" i="1"/>
  <c r="B38" i="1"/>
  <c r="C38" i="1"/>
  <c r="G38" i="1"/>
  <c r="A101" i="3" s="1"/>
  <c r="A37" i="1"/>
  <c r="B37" i="1"/>
  <c r="C37" i="1"/>
  <c r="G37" i="1"/>
  <c r="A98" i="3" s="1"/>
  <c r="A36" i="1"/>
  <c r="B36" i="1"/>
  <c r="C36" i="1"/>
  <c r="G36" i="1"/>
  <c r="A95" i="3" s="1"/>
  <c r="A35" i="1"/>
  <c r="B35" i="1"/>
  <c r="C35" i="1"/>
  <c r="G35" i="1"/>
  <c r="A92" i="3" s="1"/>
  <c r="A34" i="1"/>
  <c r="B34" i="1"/>
  <c r="C34" i="1"/>
  <c r="G34" i="1"/>
  <c r="A89" i="3" s="1"/>
  <c r="A33" i="1"/>
  <c r="B33" i="1"/>
  <c r="C33" i="1"/>
  <c r="G33" i="1"/>
  <c r="A86" i="3" s="1"/>
  <c r="A32" i="1"/>
  <c r="B32" i="1"/>
  <c r="C32" i="1"/>
  <c r="G32" i="1"/>
  <c r="A84" i="3" s="1"/>
  <c r="A31" i="1"/>
  <c r="B31" i="1"/>
  <c r="C31" i="1"/>
  <c r="G31" i="1"/>
  <c r="A81" i="3" s="1"/>
  <c r="A30" i="1"/>
  <c r="B30" i="1"/>
  <c r="C30" i="1"/>
  <c r="G30" i="1"/>
  <c r="A78" i="3" s="1"/>
  <c r="A29" i="1"/>
  <c r="B29" i="1"/>
  <c r="C29" i="1"/>
  <c r="G29" i="1"/>
  <c r="A75" i="3" s="1"/>
  <c r="A28" i="1"/>
  <c r="B28" i="1"/>
  <c r="C28" i="1"/>
  <c r="G28" i="1"/>
  <c r="A72" i="3" s="1"/>
  <c r="A27" i="1"/>
  <c r="B27" i="1"/>
  <c r="C27" i="1"/>
  <c r="G27" i="1"/>
  <c r="A69" i="3" s="1"/>
  <c r="A26" i="1"/>
  <c r="B26" i="1"/>
  <c r="C26" i="1"/>
  <c r="G26" i="1"/>
  <c r="A67" i="3" s="1"/>
  <c r="A25" i="1"/>
  <c r="B25" i="1"/>
  <c r="C25" i="1"/>
  <c r="G25" i="1"/>
  <c r="A64" i="3" s="1"/>
  <c r="A24" i="1"/>
  <c r="B24" i="1"/>
  <c r="C24" i="1"/>
  <c r="G24" i="1"/>
  <c r="A61" i="3" s="1"/>
  <c r="A23" i="1"/>
  <c r="B23" i="1"/>
  <c r="C23" i="1"/>
  <c r="G23" i="1"/>
  <c r="A58" i="3" s="1"/>
  <c r="A22" i="1"/>
  <c r="B22" i="1"/>
  <c r="C22" i="1"/>
  <c r="G22" i="1"/>
  <c r="A55" i="3" s="1"/>
  <c r="A21" i="1"/>
  <c r="B21" i="1"/>
  <c r="C21" i="1"/>
  <c r="G21" i="1"/>
  <c r="A52" i="3" s="1"/>
  <c r="A20" i="1"/>
  <c r="B20" i="1"/>
  <c r="C20" i="1"/>
  <c r="G20" i="1"/>
  <c r="A50" i="3" s="1"/>
  <c r="A19" i="1"/>
  <c r="B19" i="1"/>
  <c r="C19" i="1"/>
  <c r="G19" i="1"/>
  <c r="A47" i="3" s="1"/>
  <c r="A18" i="1"/>
  <c r="B18" i="1"/>
  <c r="C18" i="1"/>
  <c r="G18" i="1"/>
  <c r="A44" i="3" s="1"/>
  <c r="A17" i="1"/>
  <c r="B17" i="1"/>
  <c r="C17" i="1"/>
  <c r="G17" i="1"/>
  <c r="A41" i="3" s="1"/>
  <c r="A16" i="1"/>
  <c r="B16" i="1"/>
  <c r="C16" i="1"/>
  <c r="G16" i="1"/>
  <c r="A38" i="3" s="1"/>
  <c r="A15" i="1"/>
  <c r="B15" i="1"/>
  <c r="C15" i="1"/>
  <c r="G15" i="1"/>
  <c r="A35" i="3" s="1"/>
  <c r="A14" i="1"/>
  <c r="B14" i="1"/>
  <c r="C14" i="1"/>
  <c r="G14" i="1"/>
  <c r="A33" i="3" s="1"/>
  <c r="A13" i="1"/>
  <c r="B13" i="1"/>
  <c r="C13" i="1"/>
  <c r="G13" i="1"/>
  <c r="A30" i="3" s="1"/>
  <c r="C2" i="1"/>
  <c r="C3" i="1"/>
  <c r="C4" i="1"/>
  <c r="C5" i="1"/>
  <c r="C6" i="1"/>
  <c r="C7" i="1"/>
  <c r="C8" i="1"/>
  <c r="C9" i="1"/>
  <c r="C10" i="1"/>
  <c r="C11" i="1"/>
  <c r="C12" i="1"/>
  <c r="B3" i="1"/>
  <c r="B4" i="1"/>
  <c r="B5" i="1"/>
  <c r="B6" i="1"/>
  <c r="B7" i="1"/>
  <c r="B8" i="1"/>
  <c r="B9" i="1"/>
  <c r="B10" i="1"/>
  <c r="B11" i="1"/>
  <c r="B12" i="1"/>
  <c r="I12" i="1" l="1"/>
  <c r="E27" i="3" s="1"/>
  <c r="E28" i="3" s="1"/>
  <c r="H12" i="1"/>
  <c r="D27" i="3" s="1"/>
  <c r="D28" i="3" s="1"/>
  <c r="I11" i="1"/>
  <c r="E24" i="3" s="1"/>
  <c r="E25" i="3" s="1"/>
  <c r="H11" i="1"/>
  <c r="D24" i="3" s="1"/>
  <c r="D25" i="3" s="1"/>
  <c r="I10" i="1"/>
  <c r="E21" i="3" s="1"/>
  <c r="E22" i="3" s="1"/>
  <c r="H10" i="1"/>
  <c r="D21" i="3" s="1"/>
  <c r="D22" i="3" s="1"/>
  <c r="I9" i="1"/>
  <c r="E18" i="3" s="1"/>
  <c r="E19" i="3" s="1"/>
  <c r="H9" i="1"/>
  <c r="D18" i="3" s="1"/>
  <c r="D19" i="3" s="1"/>
  <c r="I8" i="1"/>
  <c r="E16" i="3" s="1"/>
  <c r="E17" i="3" s="1"/>
  <c r="H8" i="1"/>
  <c r="D16" i="3" s="1"/>
  <c r="D17" i="3" s="1"/>
  <c r="I7" i="1"/>
  <c r="E13" i="3" s="1"/>
  <c r="E14" i="3" s="1"/>
  <c r="H7" i="1"/>
  <c r="D13" i="3" s="1"/>
  <c r="D14" i="3" s="1"/>
  <c r="I6" i="1"/>
  <c r="E10" i="3" s="1"/>
  <c r="E11" i="3" s="1"/>
  <c r="H6" i="1"/>
  <c r="D10" i="3" s="1"/>
  <c r="D11" i="3" s="1"/>
  <c r="I5" i="1"/>
  <c r="E7" i="3" s="1"/>
  <c r="E8" i="3" s="1"/>
  <c r="H5" i="1"/>
  <c r="D7" i="3" s="1"/>
  <c r="D8" i="3" s="1"/>
  <c r="I4" i="1"/>
  <c r="E4" i="3" s="1"/>
  <c r="E5" i="3" s="1"/>
  <c r="H4" i="1"/>
  <c r="D4" i="3" s="1"/>
  <c r="D5" i="3" s="1"/>
  <c r="I3" i="1"/>
  <c r="E1" i="3" s="1"/>
  <c r="E2" i="3" s="1"/>
  <c r="H3" i="1"/>
  <c r="D1" i="3" s="1"/>
  <c r="D2" i="3" s="1"/>
  <c r="I2" i="1"/>
  <c r="H2" i="1"/>
  <c r="C31" i="3"/>
  <c r="B31" i="3"/>
  <c r="A31" i="3"/>
  <c r="C30" i="3"/>
  <c r="B30" i="3"/>
  <c r="I13" i="1"/>
  <c r="E30" i="3" s="1"/>
  <c r="E31" i="3" s="1"/>
  <c r="H13" i="1"/>
  <c r="D30" i="3" s="1"/>
  <c r="D31" i="3" s="1"/>
  <c r="C34" i="3"/>
  <c r="B34" i="3"/>
  <c r="A34" i="3"/>
  <c r="C33" i="3"/>
  <c r="B33" i="3"/>
  <c r="I14" i="1"/>
  <c r="E33" i="3" s="1"/>
  <c r="E34" i="3" s="1"/>
  <c r="H14" i="1"/>
  <c r="D33" i="3" s="1"/>
  <c r="D34" i="3" s="1"/>
  <c r="C36" i="3"/>
  <c r="B36" i="3"/>
  <c r="A36" i="3"/>
  <c r="C35" i="3"/>
  <c r="B35" i="3"/>
  <c r="I15" i="1"/>
  <c r="E35" i="3" s="1"/>
  <c r="E36" i="3" s="1"/>
  <c r="H15" i="1"/>
  <c r="D35" i="3" s="1"/>
  <c r="D36" i="3" s="1"/>
  <c r="C39" i="3"/>
  <c r="B39" i="3"/>
  <c r="A39" i="3"/>
  <c r="C38" i="3"/>
  <c r="B38" i="3"/>
  <c r="I16" i="1"/>
  <c r="E38" i="3" s="1"/>
  <c r="E39" i="3" s="1"/>
  <c r="H16" i="1"/>
  <c r="D38" i="3" s="1"/>
  <c r="D39" i="3" s="1"/>
  <c r="C42" i="3"/>
  <c r="B42" i="3"/>
  <c r="A42" i="3"/>
  <c r="C41" i="3"/>
  <c r="B41" i="3"/>
  <c r="I17" i="1"/>
  <c r="E41" i="3" s="1"/>
  <c r="E42" i="3" s="1"/>
  <c r="H17" i="1"/>
  <c r="D41" i="3" s="1"/>
  <c r="D42" i="3" s="1"/>
  <c r="C45" i="3"/>
  <c r="B45" i="3"/>
  <c r="A45" i="3"/>
  <c r="C44" i="3"/>
  <c r="B44" i="3"/>
  <c r="I18" i="1"/>
  <c r="E44" i="3" s="1"/>
  <c r="E45" i="3" s="1"/>
  <c r="H18" i="1"/>
  <c r="D44" i="3" s="1"/>
  <c r="D45" i="3" s="1"/>
  <c r="C48" i="3"/>
  <c r="B48" i="3"/>
  <c r="A48" i="3"/>
  <c r="C47" i="3"/>
  <c r="B47" i="3"/>
  <c r="I19" i="1"/>
  <c r="E47" i="3" s="1"/>
  <c r="E48" i="3" s="1"/>
  <c r="H19" i="1"/>
  <c r="D47" i="3" s="1"/>
  <c r="D48" i="3" s="1"/>
  <c r="C51" i="3"/>
  <c r="B51" i="3"/>
  <c r="A51" i="3"/>
  <c r="C50" i="3"/>
  <c r="B50" i="3"/>
  <c r="I20" i="1"/>
  <c r="E50" i="3" s="1"/>
  <c r="E51" i="3" s="1"/>
  <c r="H20" i="1"/>
  <c r="D50" i="3" s="1"/>
  <c r="D51" i="3" s="1"/>
  <c r="C53" i="3"/>
  <c r="B53" i="3"/>
  <c r="A53" i="3"/>
  <c r="C52" i="3"/>
  <c r="B52" i="3"/>
  <c r="I21" i="1"/>
  <c r="E52" i="3" s="1"/>
  <c r="E53" i="3" s="1"/>
  <c r="H21" i="1"/>
  <c r="D52" i="3" s="1"/>
  <c r="D53" i="3" s="1"/>
  <c r="C56" i="3"/>
  <c r="B56" i="3"/>
  <c r="A56" i="3"/>
  <c r="C55" i="3"/>
  <c r="B55" i="3"/>
  <c r="I22" i="1"/>
  <c r="E55" i="3" s="1"/>
  <c r="E56" i="3" s="1"/>
  <c r="H22" i="1"/>
  <c r="D55" i="3" s="1"/>
  <c r="D56" i="3" s="1"/>
  <c r="C59" i="3"/>
  <c r="B59" i="3"/>
  <c r="A59" i="3"/>
  <c r="C58" i="3"/>
  <c r="B58" i="3"/>
  <c r="I23" i="1"/>
  <c r="E58" i="3" s="1"/>
  <c r="E59" i="3" s="1"/>
  <c r="H23" i="1"/>
  <c r="D58" i="3" s="1"/>
  <c r="D59" i="3" s="1"/>
  <c r="C62" i="3"/>
  <c r="B62" i="3"/>
  <c r="A62" i="3"/>
  <c r="C61" i="3"/>
  <c r="B61" i="3"/>
  <c r="I24" i="1"/>
  <c r="E61" i="3" s="1"/>
  <c r="E62" i="3" s="1"/>
  <c r="H24" i="1"/>
  <c r="D61" i="3" s="1"/>
  <c r="D62" i="3" s="1"/>
  <c r="C65" i="3"/>
  <c r="B65" i="3"/>
  <c r="A65" i="3"/>
  <c r="C64" i="3"/>
  <c r="B64" i="3"/>
  <c r="I25" i="1"/>
  <c r="E64" i="3" s="1"/>
  <c r="E65" i="3" s="1"/>
  <c r="H25" i="1"/>
  <c r="D64" i="3" s="1"/>
  <c r="D65" i="3" s="1"/>
  <c r="C68" i="3"/>
  <c r="B68" i="3"/>
  <c r="A68" i="3"/>
  <c r="C67" i="3"/>
  <c r="B67" i="3"/>
  <c r="I26" i="1"/>
  <c r="E67" i="3" s="1"/>
  <c r="E68" i="3" s="1"/>
  <c r="H26" i="1"/>
  <c r="D67" i="3" s="1"/>
  <c r="D68" i="3" s="1"/>
  <c r="A70" i="3"/>
  <c r="C70" i="3"/>
  <c r="B70" i="3"/>
  <c r="C69" i="3"/>
  <c r="B69" i="3"/>
  <c r="I27" i="1"/>
  <c r="E69" i="3" s="1"/>
  <c r="E70" i="3" s="1"/>
  <c r="H27" i="1"/>
  <c r="D69" i="3" s="1"/>
  <c r="D70" i="3" s="1"/>
  <c r="C73" i="3"/>
  <c r="B73" i="3"/>
  <c r="A73" i="3"/>
  <c r="C72" i="3"/>
  <c r="B72" i="3"/>
  <c r="I28" i="1"/>
  <c r="E72" i="3" s="1"/>
  <c r="E73" i="3" s="1"/>
  <c r="H28" i="1"/>
  <c r="D72" i="3" s="1"/>
  <c r="D73" i="3" s="1"/>
  <c r="C76" i="3"/>
  <c r="B76" i="3"/>
  <c r="A76" i="3"/>
  <c r="C75" i="3"/>
  <c r="B75" i="3"/>
  <c r="I29" i="1"/>
  <c r="E75" i="3" s="1"/>
  <c r="E76" i="3" s="1"/>
  <c r="H29" i="1"/>
  <c r="D75" i="3" s="1"/>
  <c r="D76" i="3" s="1"/>
  <c r="C79" i="3"/>
  <c r="B79" i="3"/>
  <c r="A79" i="3"/>
  <c r="C78" i="3"/>
  <c r="B78" i="3"/>
  <c r="I30" i="1"/>
  <c r="E78" i="3" s="1"/>
  <c r="E79" i="3" s="1"/>
  <c r="H30" i="1"/>
  <c r="D78" i="3" s="1"/>
  <c r="D79" i="3" s="1"/>
  <c r="C82" i="3"/>
  <c r="B82" i="3"/>
  <c r="A82" i="3"/>
  <c r="C81" i="3"/>
  <c r="B81" i="3"/>
  <c r="I31" i="1"/>
  <c r="E81" i="3" s="1"/>
  <c r="E82" i="3" s="1"/>
  <c r="H31" i="1"/>
  <c r="D81" i="3" s="1"/>
  <c r="D82" i="3" s="1"/>
  <c r="C85" i="3"/>
  <c r="B85" i="3"/>
  <c r="A85" i="3"/>
  <c r="C84" i="3"/>
  <c r="B84" i="3"/>
  <c r="I32" i="1"/>
  <c r="E84" i="3" s="1"/>
  <c r="E85" i="3" s="1"/>
  <c r="H32" i="1"/>
  <c r="D84" i="3" s="1"/>
  <c r="D85" i="3" s="1"/>
  <c r="C87" i="3"/>
  <c r="B87" i="3"/>
  <c r="A87" i="3"/>
  <c r="C86" i="3"/>
  <c r="B86" i="3"/>
  <c r="I33" i="1"/>
  <c r="E86" i="3" s="1"/>
  <c r="E87" i="3" s="1"/>
  <c r="H33" i="1"/>
  <c r="D86" i="3" s="1"/>
  <c r="D87" i="3" s="1"/>
  <c r="C90" i="3"/>
  <c r="B90" i="3"/>
  <c r="A90" i="3"/>
  <c r="C89" i="3"/>
  <c r="B89" i="3"/>
  <c r="I34" i="1"/>
  <c r="E89" i="3" s="1"/>
  <c r="E90" i="3" s="1"/>
  <c r="H34" i="1"/>
  <c r="D89" i="3" s="1"/>
  <c r="D90" i="3" s="1"/>
  <c r="C93" i="3"/>
  <c r="B93" i="3"/>
  <c r="A93" i="3"/>
  <c r="C92" i="3"/>
  <c r="B92" i="3"/>
  <c r="I35" i="1"/>
  <c r="E92" i="3" s="1"/>
  <c r="E93" i="3" s="1"/>
  <c r="H35" i="1"/>
  <c r="D92" i="3" s="1"/>
  <c r="D93" i="3" s="1"/>
  <c r="C96" i="3"/>
  <c r="B96" i="3"/>
  <c r="A96" i="3"/>
  <c r="C95" i="3"/>
  <c r="B95" i="3"/>
  <c r="I36" i="1"/>
  <c r="E95" i="3" s="1"/>
  <c r="E96" i="3" s="1"/>
  <c r="H36" i="1"/>
  <c r="D95" i="3" s="1"/>
  <c r="D96" i="3" s="1"/>
  <c r="C99" i="3"/>
  <c r="B99" i="3"/>
  <c r="A99" i="3"/>
  <c r="C98" i="3"/>
  <c r="B98" i="3"/>
  <c r="I37" i="1"/>
  <c r="E98" i="3" s="1"/>
  <c r="E99" i="3" s="1"/>
  <c r="H37" i="1"/>
  <c r="D98" i="3" s="1"/>
  <c r="D99" i="3" s="1"/>
  <c r="C102" i="3"/>
  <c r="B102" i="3"/>
  <c r="A102" i="3"/>
  <c r="C101" i="3"/>
  <c r="B101" i="3"/>
  <c r="I38" i="1"/>
  <c r="E101" i="3" s="1"/>
  <c r="E102" i="3" s="1"/>
  <c r="H38" i="1"/>
  <c r="D101" i="3" s="1"/>
  <c r="D102" i="3" s="1"/>
  <c r="C104" i="3"/>
  <c r="B104" i="3"/>
  <c r="A104" i="3"/>
  <c r="C103" i="3"/>
  <c r="B103" i="3"/>
  <c r="I39" i="1"/>
  <c r="E103" i="3" s="1"/>
  <c r="E104" i="3" s="1"/>
  <c r="H39" i="1"/>
  <c r="D103" i="3" s="1"/>
  <c r="D104" i="3" s="1"/>
  <c r="C107" i="3"/>
  <c r="B107" i="3"/>
  <c r="A107" i="3"/>
  <c r="C106" i="3"/>
  <c r="B106" i="3"/>
  <c r="I40" i="1"/>
  <c r="E106" i="3" s="1"/>
  <c r="E107" i="3" s="1"/>
  <c r="H40" i="1"/>
  <c r="D106" i="3" s="1"/>
  <c r="D107" i="3" s="1"/>
  <c r="C110" i="3"/>
  <c r="B110" i="3"/>
  <c r="A110" i="3"/>
  <c r="C109" i="3"/>
  <c r="B109" i="3"/>
  <c r="I41" i="1"/>
  <c r="E109" i="3" s="1"/>
  <c r="E110" i="3" s="1"/>
  <c r="H41" i="1"/>
  <c r="D109" i="3" s="1"/>
  <c r="D110" i="3" s="1"/>
  <c r="C113" i="3"/>
  <c r="B113" i="3"/>
  <c r="A113" i="3"/>
  <c r="C112" i="3"/>
  <c r="B112" i="3"/>
  <c r="I42" i="1"/>
  <c r="E112" i="3" s="1"/>
  <c r="E113" i="3" s="1"/>
  <c r="H42" i="1"/>
  <c r="D112" i="3" s="1"/>
  <c r="D113" i="3" s="1"/>
  <c r="C116" i="3"/>
  <c r="B116" i="3"/>
  <c r="A116" i="3"/>
  <c r="C115" i="3"/>
  <c r="B115" i="3"/>
  <c r="I43" i="1"/>
  <c r="E115" i="3" s="1"/>
  <c r="E116" i="3" s="1"/>
  <c r="H43" i="1"/>
  <c r="D115" i="3" s="1"/>
  <c r="D116" i="3" s="1"/>
  <c r="C119" i="3"/>
  <c r="B119" i="3"/>
  <c r="A119" i="3"/>
  <c r="C118" i="3"/>
  <c r="B118" i="3"/>
  <c r="I44" i="1"/>
  <c r="E118" i="3" s="1"/>
  <c r="E119" i="3" s="1"/>
  <c r="H44" i="1"/>
  <c r="D118" i="3" s="1"/>
  <c r="D119" i="3" s="1"/>
  <c r="C121" i="3"/>
  <c r="B121" i="3"/>
  <c r="A121" i="3"/>
  <c r="C120" i="3"/>
  <c r="B120" i="3"/>
  <c r="I45" i="1"/>
  <c r="H45" i="1"/>
  <c r="D120" i="3" s="1"/>
  <c r="D121" i="3" s="1"/>
  <c r="C124" i="3"/>
  <c r="B124" i="3"/>
  <c r="A124" i="3"/>
  <c r="C123" i="3"/>
  <c r="B123" i="3"/>
  <c r="I46" i="1"/>
  <c r="E123" i="3" s="1"/>
  <c r="E124" i="3" s="1"/>
  <c r="H46" i="1"/>
  <c r="D123" i="3" s="1"/>
  <c r="D124" i="3" s="1"/>
  <c r="C127" i="3"/>
  <c r="B127" i="3"/>
  <c r="A127" i="3"/>
  <c r="C126" i="3"/>
  <c r="B126" i="3"/>
  <c r="I47" i="1"/>
  <c r="E126" i="3" s="1"/>
  <c r="E127" i="3" s="1"/>
  <c r="H47" i="1"/>
  <c r="D126" i="3" s="1"/>
  <c r="D127" i="3" s="1"/>
  <c r="C130" i="3"/>
  <c r="B130" i="3"/>
  <c r="A130" i="3"/>
  <c r="C129" i="3"/>
  <c r="B129" i="3"/>
  <c r="I48" i="1"/>
  <c r="E129" i="3" s="1"/>
  <c r="E130" i="3" s="1"/>
  <c r="H48" i="1"/>
  <c r="D129" i="3" s="1"/>
  <c r="D130" i="3" s="1"/>
  <c r="C133" i="3"/>
  <c r="B133" i="3"/>
  <c r="A133" i="3"/>
  <c r="C132" i="3"/>
  <c r="B132" i="3"/>
  <c r="I49" i="1"/>
  <c r="E132" i="3" s="1"/>
  <c r="E133" i="3" s="1"/>
  <c r="H49" i="1"/>
  <c r="D132" i="3" s="1"/>
  <c r="D133" i="3" s="1"/>
  <c r="C136" i="3"/>
  <c r="B136" i="3"/>
  <c r="A136" i="3"/>
  <c r="C135" i="3"/>
  <c r="B135" i="3"/>
  <c r="I50" i="1"/>
  <c r="E135" i="3" s="1"/>
  <c r="E136" i="3" s="1"/>
  <c r="H50" i="1"/>
  <c r="D135" i="3" s="1"/>
  <c r="D136" i="3" s="1"/>
  <c r="C138" i="3"/>
  <c r="B138" i="3"/>
  <c r="A138" i="3"/>
  <c r="C137" i="3"/>
  <c r="B137" i="3"/>
  <c r="I51" i="1"/>
  <c r="E137" i="3" s="1"/>
  <c r="E138" i="3" s="1"/>
  <c r="H51" i="1"/>
  <c r="D137" i="3" s="1"/>
  <c r="D138" i="3" s="1"/>
  <c r="C141" i="3"/>
  <c r="B141" i="3"/>
  <c r="A141" i="3"/>
  <c r="C140" i="3"/>
  <c r="B140" i="3"/>
  <c r="I52" i="1"/>
  <c r="E140" i="3" s="1"/>
  <c r="E141" i="3" s="1"/>
  <c r="H52" i="1"/>
  <c r="D140" i="3" s="1"/>
  <c r="D141" i="3" s="1"/>
  <c r="C144" i="3"/>
  <c r="B144" i="3"/>
  <c r="A144" i="3"/>
  <c r="C143" i="3"/>
  <c r="B143" i="3"/>
  <c r="I53" i="1"/>
  <c r="E143" i="3" s="1"/>
  <c r="E144" i="3" s="1"/>
  <c r="H53" i="1"/>
  <c r="D143" i="3" s="1"/>
  <c r="D144" i="3" s="1"/>
  <c r="C147" i="3"/>
  <c r="B147" i="3"/>
  <c r="A147" i="3"/>
  <c r="C146" i="3"/>
  <c r="B146" i="3"/>
  <c r="I54" i="1"/>
  <c r="E146" i="3" s="1"/>
  <c r="E147" i="3" s="1"/>
  <c r="H54" i="1"/>
  <c r="D146" i="3" s="1"/>
  <c r="D147" i="3" s="1"/>
  <c r="C150" i="3"/>
  <c r="B150" i="3"/>
  <c r="A150" i="3"/>
  <c r="C149" i="3"/>
  <c r="B149" i="3"/>
  <c r="I55" i="1"/>
  <c r="E149" i="3" s="1"/>
  <c r="E150" i="3" s="1"/>
  <c r="H55" i="1"/>
  <c r="D149" i="3" s="1"/>
  <c r="D150" i="3" s="1"/>
  <c r="C153" i="3"/>
  <c r="B153" i="3"/>
  <c r="A153" i="3"/>
  <c r="C152" i="3"/>
  <c r="B152" i="3"/>
  <c r="I56" i="1"/>
  <c r="E152" i="3" s="1"/>
  <c r="E153" i="3" s="1"/>
  <c r="H56" i="1"/>
  <c r="D152" i="3" s="1"/>
  <c r="D153" i="3" s="1"/>
  <c r="C155" i="3"/>
  <c r="B155" i="3"/>
  <c r="A155" i="3"/>
  <c r="C154" i="3"/>
  <c r="B154" i="3"/>
  <c r="I57" i="1"/>
  <c r="E154" i="3" s="1"/>
  <c r="E155" i="3" s="1"/>
  <c r="H57" i="1"/>
  <c r="D154" i="3" s="1"/>
  <c r="D155" i="3" s="1"/>
  <c r="C158" i="3"/>
  <c r="B158" i="3"/>
  <c r="A158" i="3"/>
  <c r="C157" i="3"/>
  <c r="B157" i="3"/>
  <c r="I58" i="1"/>
  <c r="E157" i="3" s="1"/>
  <c r="E158" i="3" s="1"/>
  <c r="H58" i="1"/>
  <c r="D157" i="3" s="1"/>
  <c r="D158" i="3" s="1"/>
  <c r="C161" i="3"/>
  <c r="B161" i="3"/>
  <c r="A161" i="3"/>
  <c r="C160" i="3"/>
  <c r="B160" i="3"/>
  <c r="I59" i="1"/>
  <c r="E160" i="3" s="1"/>
  <c r="E161" i="3" s="1"/>
  <c r="H59" i="1"/>
  <c r="D160" i="3" s="1"/>
  <c r="D161" i="3" s="1"/>
  <c r="C164" i="3"/>
  <c r="B164" i="3"/>
  <c r="A164" i="3"/>
  <c r="C163" i="3"/>
  <c r="B163" i="3"/>
  <c r="I60" i="1"/>
  <c r="E163" i="3" s="1"/>
  <c r="E164" i="3" s="1"/>
  <c r="H60" i="1"/>
  <c r="D163" i="3" s="1"/>
  <c r="D164" i="3" s="1"/>
  <c r="C167" i="3"/>
  <c r="B167" i="3"/>
  <c r="A167" i="3"/>
  <c r="C166" i="3"/>
  <c r="B166" i="3"/>
  <c r="I61" i="1"/>
  <c r="E166" i="3" s="1"/>
  <c r="E167" i="3" s="1"/>
  <c r="H61" i="1"/>
  <c r="D166" i="3" s="1"/>
  <c r="D167" i="3" s="1"/>
  <c r="C170" i="3"/>
  <c r="B170" i="3"/>
  <c r="A170" i="3"/>
  <c r="C169" i="3"/>
  <c r="B169" i="3"/>
  <c r="I62" i="1"/>
  <c r="E169" i="3" s="1"/>
  <c r="E170" i="3" s="1"/>
  <c r="H62" i="1"/>
  <c r="D169" i="3" s="1"/>
  <c r="D170" i="3" s="1"/>
  <c r="C172" i="3"/>
  <c r="B172" i="3"/>
  <c r="A172" i="3"/>
  <c r="C171" i="3"/>
  <c r="B171" i="3"/>
  <c r="I63" i="1"/>
  <c r="E171" i="3" s="1"/>
  <c r="E172" i="3" s="1"/>
  <c r="H63" i="1"/>
  <c r="D171" i="3" s="1"/>
  <c r="D172" i="3" s="1"/>
  <c r="C175" i="3"/>
  <c r="B175" i="3"/>
  <c r="A175" i="3"/>
  <c r="C174" i="3"/>
  <c r="B174" i="3"/>
  <c r="I64" i="1"/>
  <c r="E174" i="3" s="1"/>
  <c r="E175" i="3" s="1"/>
  <c r="H64" i="1"/>
  <c r="D174" i="3" s="1"/>
  <c r="D175" i="3" s="1"/>
  <c r="C178" i="3"/>
  <c r="B178" i="3"/>
  <c r="A178" i="3"/>
  <c r="C177" i="3"/>
  <c r="B177" i="3"/>
  <c r="I65" i="1"/>
  <c r="E177" i="3" s="1"/>
  <c r="E178" i="3" s="1"/>
  <c r="H65" i="1"/>
  <c r="D177" i="3" s="1"/>
  <c r="D178" i="3" s="1"/>
  <c r="C181" i="3"/>
  <c r="B181" i="3"/>
  <c r="A181" i="3"/>
  <c r="C180" i="3"/>
  <c r="B180" i="3"/>
  <c r="I66" i="1"/>
  <c r="E180" i="3" s="1"/>
  <c r="E181" i="3" s="1"/>
  <c r="H66" i="1"/>
  <c r="D180" i="3" s="1"/>
  <c r="D181" i="3" s="1"/>
  <c r="C184" i="3"/>
  <c r="B184" i="3"/>
  <c r="A184" i="3"/>
  <c r="C183" i="3"/>
  <c r="B183" i="3"/>
  <c r="I67" i="1"/>
  <c r="E183" i="3" s="1"/>
  <c r="E184" i="3" s="1"/>
  <c r="H67" i="1"/>
  <c r="D183" i="3" s="1"/>
  <c r="D184" i="3" s="1"/>
  <c r="C187" i="3"/>
  <c r="B187" i="3"/>
  <c r="A187" i="3"/>
  <c r="C186" i="3"/>
  <c r="B186" i="3"/>
  <c r="I68" i="1"/>
  <c r="E186" i="3" s="1"/>
  <c r="E187" i="3" s="1"/>
  <c r="H68" i="1"/>
  <c r="D186" i="3" s="1"/>
  <c r="D187" i="3" s="1"/>
  <c r="C189" i="3"/>
  <c r="B189" i="3"/>
  <c r="A189" i="3"/>
  <c r="C188" i="3"/>
  <c r="B188" i="3"/>
  <c r="I69" i="1"/>
  <c r="E188" i="3" s="1"/>
  <c r="E189" i="3" s="1"/>
  <c r="H69" i="1"/>
  <c r="D188" i="3" s="1"/>
  <c r="D189" i="3" s="1"/>
  <c r="C192" i="3"/>
  <c r="B192" i="3"/>
  <c r="A192" i="3"/>
  <c r="C191" i="3"/>
  <c r="B191" i="3"/>
  <c r="I70" i="1"/>
  <c r="E191" i="3" s="1"/>
  <c r="E192" i="3" s="1"/>
  <c r="H70" i="1"/>
  <c r="D191" i="3" s="1"/>
  <c r="D192" i="3" s="1"/>
  <c r="C195" i="3"/>
  <c r="B195" i="3"/>
  <c r="A195" i="3"/>
  <c r="C194" i="3"/>
  <c r="B194" i="3"/>
  <c r="I71" i="1"/>
  <c r="E194" i="3" s="1"/>
  <c r="E195" i="3" s="1"/>
  <c r="H71" i="1"/>
  <c r="D194" i="3" s="1"/>
  <c r="D195" i="3" s="1"/>
  <c r="C198" i="3"/>
  <c r="B198" i="3"/>
  <c r="A198" i="3"/>
  <c r="C197" i="3"/>
  <c r="B197" i="3"/>
  <c r="I72" i="1"/>
  <c r="E197" i="3" s="1"/>
  <c r="E198" i="3" s="1"/>
  <c r="H72" i="1"/>
  <c r="D197" i="3" s="1"/>
  <c r="D198" i="3" s="1"/>
  <c r="C201" i="3"/>
  <c r="B201" i="3"/>
  <c r="A201" i="3"/>
  <c r="C200" i="3"/>
  <c r="B200" i="3"/>
  <c r="I73" i="1"/>
  <c r="E200" i="3" s="1"/>
  <c r="E201" i="3" s="1"/>
  <c r="H73" i="1"/>
  <c r="D200" i="3" s="1"/>
  <c r="D201" i="3" s="1"/>
  <c r="C204" i="3"/>
  <c r="B204" i="3"/>
  <c r="A204" i="3"/>
  <c r="C203" i="3"/>
  <c r="B203" i="3"/>
  <c r="I74" i="1"/>
  <c r="E203" i="3" s="1"/>
  <c r="E204" i="3" s="1"/>
  <c r="H74" i="1"/>
  <c r="D203" i="3" s="1"/>
  <c r="D204" i="3" s="1"/>
  <c r="C206" i="3"/>
  <c r="B206" i="3"/>
  <c r="A206" i="3"/>
  <c r="C205" i="3"/>
  <c r="B205" i="3"/>
  <c r="I75" i="1"/>
  <c r="E205" i="3" s="1"/>
  <c r="E206" i="3" s="1"/>
  <c r="H75" i="1"/>
  <c r="D205" i="3" s="1"/>
  <c r="D206" i="3" s="1"/>
  <c r="C209" i="3"/>
  <c r="B209" i="3"/>
  <c r="A209" i="3"/>
  <c r="C208" i="3"/>
  <c r="B208" i="3"/>
  <c r="I76" i="1"/>
  <c r="E208" i="3" s="1"/>
  <c r="E209" i="3" s="1"/>
  <c r="H76" i="1"/>
  <c r="D208" i="3" s="1"/>
  <c r="D209" i="3" s="1"/>
  <c r="C212" i="3"/>
  <c r="B212" i="3"/>
  <c r="A212" i="3"/>
  <c r="C211" i="3"/>
  <c r="B211" i="3"/>
  <c r="I77" i="1"/>
  <c r="E211" i="3" s="1"/>
  <c r="E212" i="3" s="1"/>
  <c r="H77" i="1"/>
  <c r="D211" i="3" s="1"/>
  <c r="D212" i="3" s="1"/>
  <c r="C215" i="3"/>
  <c r="B215" i="3"/>
  <c r="A215" i="3"/>
  <c r="C214" i="3"/>
  <c r="B214" i="3"/>
  <c r="I78" i="1"/>
  <c r="E214" i="3" s="1"/>
  <c r="E215" i="3" s="1"/>
  <c r="H78" i="1"/>
  <c r="D214" i="3" s="1"/>
  <c r="D215" i="3" s="1"/>
  <c r="C218" i="3"/>
  <c r="B218" i="3"/>
  <c r="A218" i="3"/>
  <c r="C217" i="3"/>
  <c r="B217" i="3"/>
  <c r="I79" i="1"/>
  <c r="E217" i="3" s="1"/>
  <c r="E218" i="3" s="1"/>
  <c r="H79" i="1"/>
  <c r="D217" i="3" s="1"/>
  <c r="D218" i="3" s="1"/>
  <c r="C221" i="3"/>
  <c r="B221" i="3"/>
  <c r="A221" i="3"/>
  <c r="C220" i="3"/>
  <c r="B220" i="3"/>
  <c r="I80" i="1"/>
  <c r="E220" i="3" s="1"/>
  <c r="E221" i="3" s="1"/>
  <c r="H80" i="1"/>
  <c r="D220" i="3" s="1"/>
  <c r="D221" i="3" s="1"/>
  <c r="C223" i="3"/>
  <c r="B223" i="3"/>
  <c r="A223" i="3"/>
  <c r="C222" i="3"/>
  <c r="B222" i="3"/>
  <c r="I81" i="1"/>
  <c r="E222" i="3" s="1"/>
  <c r="E223" i="3" s="1"/>
  <c r="H81" i="1"/>
  <c r="D222" i="3" s="1"/>
  <c r="D223" i="3" s="1"/>
  <c r="C226" i="3"/>
  <c r="B226" i="3"/>
  <c r="A226" i="3"/>
  <c r="C225" i="3"/>
  <c r="B225" i="3"/>
  <c r="I82" i="1"/>
  <c r="E225" i="3" s="1"/>
  <c r="E226" i="3" s="1"/>
  <c r="H82" i="1"/>
  <c r="D225" i="3" s="1"/>
  <c r="D226" i="3" s="1"/>
  <c r="C229" i="3"/>
  <c r="B229" i="3"/>
  <c r="A229" i="3"/>
  <c r="C228" i="3"/>
  <c r="B228" i="3"/>
  <c r="I83" i="1"/>
  <c r="E228" i="3" s="1"/>
  <c r="E229" i="3" s="1"/>
  <c r="H83" i="1"/>
  <c r="D228" i="3" s="1"/>
  <c r="D229" i="3" s="1"/>
  <c r="C232" i="3"/>
  <c r="B232" i="3"/>
  <c r="A232" i="3"/>
  <c r="C231" i="3"/>
  <c r="B231" i="3"/>
  <c r="I84" i="1"/>
  <c r="E231" i="3" s="1"/>
  <c r="E232" i="3" s="1"/>
  <c r="H84" i="1"/>
  <c r="D231" i="3" s="1"/>
  <c r="D232" i="3" s="1"/>
  <c r="C235" i="3"/>
  <c r="B235" i="3"/>
  <c r="A235" i="3"/>
  <c r="C234" i="3"/>
  <c r="B234" i="3"/>
  <c r="I85" i="1"/>
  <c r="E234" i="3" s="1"/>
  <c r="E235" i="3" s="1"/>
  <c r="H85" i="1"/>
  <c r="D234" i="3" s="1"/>
  <c r="D235" i="3" s="1"/>
  <c r="C238" i="3"/>
  <c r="B238" i="3"/>
  <c r="A238" i="3"/>
  <c r="C237" i="3"/>
  <c r="B237" i="3"/>
  <c r="I86" i="1"/>
  <c r="E237" i="3" s="1"/>
  <c r="E238" i="3" s="1"/>
  <c r="H86" i="1"/>
  <c r="D237" i="3" s="1"/>
  <c r="D238" i="3" s="1"/>
  <c r="C240" i="3"/>
  <c r="B240" i="3"/>
  <c r="A240" i="3"/>
  <c r="C239" i="3"/>
  <c r="B239" i="3"/>
  <c r="I87" i="1"/>
  <c r="E239" i="3" s="1"/>
  <c r="E240" i="3" s="1"/>
  <c r="H87" i="1"/>
  <c r="D239" i="3" s="1"/>
  <c r="D240" i="3" s="1"/>
  <c r="C243" i="3"/>
  <c r="B243" i="3"/>
  <c r="A243" i="3"/>
  <c r="C242" i="3"/>
  <c r="B242" i="3"/>
  <c r="I88" i="1"/>
  <c r="E242" i="3" s="1"/>
  <c r="E243" i="3" s="1"/>
  <c r="H88" i="1"/>
  <c r="D242" i="3" s="1"/>
  <c r="D243" i="3" s="1"/>
  <c r="C246" i="3"/>
  <c r="B246" i="3"/>
  <c r="A246" i="3"/>
  <c r="C245" i="3"/>
  <c r="B245" i="3"/>
  <c r="I89" i="1"/>
  <c r="E245" i="3" s="1"/>
  <c r="E246" i="3" s="1"/>
  <c r="H89" i="1"/>
  <c r="D245" i="3" s="1"/>
  <c r="D246" i="3" s="1"/>
  <c r="C249" i="3"/>
  <c r="B249" i="3"/>
  <c r="A249" i="3"/>
  <c r="C248" i="3"/>
  <c r="B248" i="3"/>
  <c r="I90" i="1"/>
  <c r="E248" i="3" s="1"/>
  <c r="E249" i="3" s="1"/>
  <c r="H90" i="1"/>
  <c r="D248" i="3" s="1"/>
  <c r="D249" i="3" s="1"/>
  <c r="C252" i="3"/>
  <c r="B252" i="3"/>
  <c r="A252" i="3"/>
  <c r="C251" i="3"/>
  <c r="B251" i="3"/>
  <c r="I91" i="1"/>
  <c r="E251" i="3" s="1"/>
  <c r="E252" i="3" s="1"/>
  <c r="H91" i="1"/>
  <c r="D251" i="3" s="1"/>
  <c r="D252" i="3" s="1"/>
  <c r="C255" i="3"/>
  <c r="B255" i="3"/>
  <c r="A255" i="3"/>
  <c r="C254" i="3"/>
  <c r="B254" i="3"/>
  <c r="I92" i="1"/>
  <c r="E254" i="3" s="1"/>
  <c r="E255" i="3" s="1"/>
  <c r="H92" i="1"/>
  <c r="D254" i="3" s="1"/>
  <c r="D255" i="3" s="1"/>
  <c r="C257" i="3"/>
  <c r="B257" i="3"/>
  <c r="A257" i="3"/>
  <c r="C256" i="3"/>
  <c r="B256" i="3"/>
  <c r="I93" i="1"/>
  <c r="E256" i="3" s="1"/>
  <c r="E257" i="3" s="1"/>
  <c r="H93" i="1"/>
  <c r="D256" i="3" s="1"/>
  <c r="D257" i="3" s="1"/>
  <c r="C260" i="3"/>
  <c r="B260" i="3"/>
  <c r="A260" i="3"/>
  <c r="C259" i="3"/>
  <c r="B259" i="3"/>
  <c r="I94" i="1"/>
  <c r="E259" i="3" s="1"/>
  <c r="E260" i="3" s="1"/>
  <c r="H94" i="1"/>
  <c r="D259" i="3" s="1"/>
  <c r="D260" i="3" s="1"/>
  <c r="C263" i="3"/>
  <c r="B263" i="3"/>
  <c r="A263" i="3"/>
  <c r="C262" i="3"/>
  <c r="B262" i="3"/>
  <c r="I95" i="1"/>
  <c r="E262" i="3" s="1"/>
  <c r="E263" i="3" s="1"/>
  <c r="H95" i="1"/>
  <c r="D262" i="3" s="1"/>
  <c r="D263" i="3" s="1"/>
  <c r="C266" i="3"/>
  <c r="B266" i="3"/>
  <c r="A266" i="3"/>
  <c r="C265" i="3"/>
  <c r="B265" i="3"/>
  <c r="I96" i="1"/>
  <c r="E265" i="3" s="1"/>
  <c r="E266" i="3" s="1"/>
  <c r="H96" i="1"/>
  <c r="D265" i="3" s="1"/>
  <c r="D266" i="3" s="1"/>
  <c r="C269" i="3"/>
  <c r="B269" i="3"/>
  <c r="A269" i="3"/>
  <c r="C268" i="3"/>
  <c r="B268" i="3"/>
  <c r="I97" i="1"/>
  <c r="E268" i="3" s="1"/>
  <c r="E269" i="3" s="1"/>
  <c r="H97" i="1"/>
  <c r="D268" i="3" s="1"/>
  <c r="D269" i="3" s="1"/>
  <c r="C272" i="3"/>
  <c r="B272" i="3"/>
  <c r="A272" i="3"/>
  <c r="C271" i="3"/>
  <c r="B271" i="3"/>
  <c r="I98" i="1"/>
  <c r="E271" i="3" s="1"/>
  <c r="E272" i="3" s="1"/>
  <c r="H98" i="1"/>
  <c r="D271" i="3" s="1"/>
  <c r="D272" i="3" s="1"/>
  <c r="C274" i="3"/>
  <c r="B274" i="3"/>
  <c r="A274" i="3"/>
  <c r="C273" i="3"/>
  <c r="B273" i="3"/>
  <c r="I99" i="1"/>
  <c r="E273" i="3" s="1"/>
  <c r="E274" i="3" s="1"/>
  <c r="H99" i="1"/>
  <c r="D273" i="3" s="1"/>
  <c r="D274" i="3" s="1"/>
  <c r="C277" i="3"/>
  <c r="B277" i="3"/>
  <c r="A277" i="3"/>
  <c r="C276" i="3"/>
  <c r="B276" i="3"/>
  <c r="I100" i="1"/>
  <c r="E276" i="3" s="1"/>
  <c r="E277" i="3" s="1"/>
  <c r="H100" i="1"/>
  <c r="D276" i="3" s="1"/>
  <c r="D277" i="3" s="1"/>
  <c r="C280" i="3"/>
  <c r="B280" i="3"/>
  <c r="A280" i="3"/>
  <c r="C279" i="3"/>
  <c r="B279" i="3"/>
  <c r="I101" i="1"/>
  <c r="E279" i="3" s="1"/>
  <c r="E280" i="3" s="1"/>
  <c r="H101" i="1"/>
  <c r="D279" i="3" s="1"/>
  <c r="D280" i="3" s="1"/>
  <c r="C283" i="3"/>
  <c r="B283" i="3"/>
  <c r="A283" i="3"/>
  <c r="C282" i="3"/>
  <c r="B282" i="3"/>
  <c r="I102" i="1"/>
  <c r="E282" i="3" s="1"/>
  <c r="E283" i="3" s="1"/>
  <c r="H102" i="1"/>
  <c r="D282" i="3" s="1"/>
  <c r="D283" i="3" s="1"/>
  <c r="C286" i="3"/>
  <c r="B286" i="3"/>
  <c r="A286" i="3"/>
  <c r="C285" i="3"/>
  <c r="B285" i="3"/>
  <c r="I103" i="1"/>
  <c r="E285" i="3" s="1"/>
  <c r="E286" i="3" s="1"/>
  <c r="H103" i="1"/>
  <c r="D285" i="3" s="1"/>
  <c r="D286" i="3" s="1"/>
  <c r="C289" i="3"/>
  <c r="B289" i="3"/>
  <c r="A289" i="3"/>
  <c r="C288" i="3"/>
  <c r="B288" i="3"/>
  <c r="I104" i="1"/>
  <c r="E288" i="3" s="1"/>
  <c r="E289" i="3" s="1"/>
  <c r="H104" i="1"/>
  <c r="D288" i="3" s="1"/>
  <c r="D289" i="3" s="1"/>
  <c r="C291" i="3"/>
  <c r="B291" i="3"/>
  <c r="A291" i="3"/>
  <c r="C290" i="3"/>
  <c r="B290" i="3"/>
  <c r="I105" i="1"/>
  <c r="E290" i="3" s="1"/>
  <c r="E291" i="3" s="1"/>
  <c r="H105" i="1"/>
  <c r="D290" i="3" s="1"/>
  <c r="D291" i="3" s="1"/>
  <c r="C294" i="3"/>
  <c r="B294" i="3"/>
  <c r="A294" i="3"/>
  <c r="C293" i="3"/>
  <c r="B293" i="3"/>
  <c r="I106" i="1"/>
  <c r="E293" i="3" s="1"/>
  <c r="E294" i="3" s="1"/>
  <c r="H106" i="1"/>
  <c r="D293" i="3" s="1"/>
  <c r="D294" i="3" s="1"/>
  <c r="C297" i="3"/>
  <c r="B297" i="3"/>
  <c r="A297" i="3"/>
  <c r="C296" i="3"/>
  <c r="B296" i="3"/>
  <c r="I107" i="1"/>
  <c r="E296" i="3" s="1"/>
  <c r="E297" i="3" s="1"/>
  <c r="H107" i="1"/>
  <c r="D296" i="3" s="1"/>
  <c r="D297" i="3" s="1"/>
  <c r="C300" i="3"/>
  <c r="B300" i="3"/>
  <c r="A300" i="3"/>
  <c r="C299" i="3"/>
  <c r="B299" i="3"/>
  <c r="I108" i="1"/>
  <c r="E299" i="3" s="1"/>
  <c r="E300" i="3" s="1"/>
  <c r="H108" i="1"/>
  <c r="D299" i="3" s="1"/>
  <c r="D300" i="3" s="1"/>
  <c r="C303" i="3"/>
  <c r="B303" i="3"/>
  <c r="A303" i="3"/>
  <c r="C302" i="3"/>
  <c r="B302" i="3"/>
  <c r="I109" i="1"/>
  <c r="E302" i="3" s="1"/>
  <c r="E303" i="3" s="1"/>
  <c r="H109" i="1"/>
  <c r="D302" i="3" s="1"/>
  <c r="D303" i="3" s="1"/>
  <c r="C306" i="3"/>
  <c r="B306" i="3"/>
  <c r="A306" i="3"/>
  <c r="C305" i="3"/>
  <c r="B305" i="3"/>
  <c r="I110" i="1"/>
  <c r="E305" i="3" s="1"/>
  <c r="E306" i="3" s="1"/>
  <c r="H110" i="1"/>
  <c r="D305" i="3" s="1"/>
  <c r="D306" i="3" s="1"/>
  <c r="C308" i="3"/>
  <c r="B308" i="3"/>
  <c r="A308" i="3"/>
  <c r="C307" i="3"/>
  <c r="B307" i="3"/>
  <c r="I111" i="1"/>
  <c r="E307" i="3" s="1"/>
  <c r="E308" i="3" s="1"/>
  <c r="H111" i="1"/>
  <c r="D307" i="3" s="1"/>
  <c r="D308" i="3" s="1"/>
  <c r="C311" i="3"/>
  <c r="B311" i="3"/>
  <c r="A311" i="3"/>
  <c r="C310" i="3"/>
  <c r="B310" i="3"/>
  <c r="I112" i="1"/>
  <c r="E310" i="3" s="1"/>
  <c r="E311" i="3" s="1"/>
  <c r="H112" i="1"/>
  <c r="D310" i="3" s="1"/>
  <c r="D311" i="3" s="1"/>
  <c r="C314" i="3"/>
  <c r="B314" i="3"/>
  <c r="A314" i="3"/>
  <c r="C313" i="3"/>
  <c r="B313" i="3"/>
  <c r="I113" i="1"/>
  <c r="E313" i="3" s="1"/>
  <c r="E314" i="3" s="1"/>
  <c r="H113" i="1"/>
  <c r="D313" i="3" s="1"/>
  <c r="D314" i="3" s="1"/>
  <c r="C317" i="3"/>
  <c r="B317" i="3"/>
  <c r="A317" i="3"/>
  <c r="C316" i="3"/>
  <c r="B316" i="3"/>
  <c r="I114" i="1"/>
  <c r="E316" i="3" s="1"/>
  <c r="E317" i="3" s="1"/>
  <c r="H114" i="1"/>
  <c r="D316" i="3" s="1"/>
  <c r="D317" i="3" s="1"/>
  <c r="C320" i="3"/>
  <c r="B320" i="3"/>
  <c r="A320" i="3"/>
  <c r="C319" i="3"/>
  <c r="B319" i="3"/>
  <c r="I115" i="1"/>
  <c r="E319" i="3" s="1"/>
  <c r="E320" i="3" s="1"/>
  <c r="H115" i="1"/>
  <c r="D319" i="3" s="1"/>
  <c r="D320" i="3" s="1"/>
  <c r="C323" i="3"/>
  <c r="B323" i="3"/>
  <c r="A323" i="3"/>
  <c r="C322" i="3"/>
  <c r="B322" i="3"/>
  <c r="I116" i="1"/>
  <c r="E322" i="3" s="1"/>
  <c r="E323" i="3" s="1"/>
  <c r="H116" i="1"/>
  <c r="D322" i="3" s="1"/>
  <c r="D323" i="3" s="1"/>
  <c r="C325" i="3"/>
  <c r="B325" i="3"/>
  <c r="A325" i="3"/>
  <c r="C324" i="3"/>
  <c r="B324" i="3"/>
  <c r="I117" i="1"/>
  <c r="E324" i="3" s="1"/>
  <c r="E325" i="3" s="1"/>
  <c r="H117" i="1"/>
  <c r="D324" i="3" s="1"/>
  <c r="D325" i="3" s="1"/>
  <c r="C328" i="3"/>
  <c r="B328" i="3"/>
  <c r="A328" i="3"/>
  <c r="C327" i="3"/>
  <c r="B327" i="3"/>
  <c r="I118" i="1"/>
  <c r="E327" i="3" s="1"/>
  <c r="E328" i="3" s="1"/>
  <c r="H118" i="1"/>
  <c r="D327" i="3" s="1"/>
  <c r="D328" i="3" s="1"/>
  <c r="C331" i="3"/>
  <c r="B331" i="3"/>
  <c r="A331" i="3"/>
  <c r="C330" i="3"/>
  <c r="B330" i="3"/>
  <c r="I119" i="1"/>
  <c r="E330" i="3" s="1"/>
  <c r="E331" i="3" s="1"/>
  <c r="H119" i="1"/>
  <c r="D330" i="3" s="1"/>
  <c r="D331" i="3" s="1"/>
  <c r="C334" i="3"/>
  <c r="B334" i="3"/>
  <c r="A334" i="3"/>
  <c r="C333" i="3"/>
  <c r="B333" i="3"/>
  <c r="I120" i="1"/>
  <c r="E333" i="3" s="1"/>
  <c r="E334" i="3" s="1"/>
  <c r="H120" i="1"/>
  <c r="D333" i="3" s="1"/>
  <c r="D334" i="3" s="1"/>
  <c r="C337" i="3"/>
  <c r="B337" i="3"/>
  <c r="A337" i="3"/>
  <c r="C336" i="3"/>
  <c r="B336" i="3"/>
  <c r="I121" i="1"/>
  <c r="E336" i="3" s="1"/>
  <c r="E337" i="3" s="1"/>
  <c r="H121" i="1"/>
  <c r="D336" i="3" s="1"/>
  <c r="D337" i="3" s="1"/>
  <c r="C340" i="3"/>
  <c r="B340" i="3"/>
  <c r="A340" i="3"/>
  <c r="C339" i="3"/>
  <c r="B339" i="3"/>
  <c r="I122" i="1"/>
  <c r="E339" i="3" s="1"/>
  <c r="E340" i="3" s="1"/>
  <c r="H122" i="1"/>
  <c r="D339" i="3" s="1"/>
  <c r="D340" i="3" s="1"/>
  <c r="C342" i="3"/>
  <c r="B342" i="3"/>
  <c r="A342" i="3"/>
  <c r="C341" i="3"/>
  <c r="B341" i="3"/>
  <c r="I123" i="1"/>
  <c r="E341" i="3" s="1"/>
  <c r="E342" i="3" s="1"/>
  <c r="H123" i="1"/>
  <c r="D341" i="3" s="1"/>
  <c r="D342" i="3" s="1"/>
  <c r="C345" i="3"/>
  <c r="B345" i="3"/>
  <c r="A345" i="3"/>
  <c r="C344" i="3"/>
  <c r="B344" i="3"/>
  <c r="I124" i="1"/>
  <c r="E344" i="3" s="1"/>
  <c r="E345" i="3" s="1"/>
  <c r="H124" i="1"/>
  <c r="D344" i="3" s="1"/>
  <c r="D345" i="3" s="1"/>
  <c r="C348" i="3"/>
  <c r="B348" i="3"/>
  <c r="A348" i="3"/>
  <c r="C347" i="3"/>
  <c r="B347" i="3"/>
  <c r="I125" i="1"/>
  <c r="E347" i="3" s="1"/>
  <c r="E348" i="3" s="1"/>
  <c r="H125" i="1"/>
  <c r="D347" i="3" s="1"/>
  <c r="D348" i="3" s="1"/>
  <c r="C351" i="3"/>
  <c r="B351" i="3"/>
  <c r="A351" i="3"/>
  <c r="C350" i="3"/>
  <c r="B350" i="3"/>
  <c r="I126" i="1"/>
  <c r="E350" i="3" s="1"/>
  <c r="E351" i="3" s="1"/>
  <c r="H126" i="1"/>
  <c r="D350" i="3" s="1"/>
  <c r="D351" i="3" s="1"/>
  <c r="C354" i="3"/>
  <c r="B354" i="3"/>
  <c r="A354" i="3"/>
  <c r="C353" i="3"/>
  <c r="B353" i="3"/>
  <c r="I127" i="1"/>
  <c r="E353" i="3" s="1"/>
  <c r="E354" i="3" s="1"/>
  <c r="H127" i="1"/>
  <c r="D353" i="3" s="1"/>
  <c r="D354" i="3" s="1"/>
  <c r="C357" i="3"/>
  <c r="B357" i="3"/>
  <c r="A357" i="3"/>
  <c r="C356" i="3"/>
  <c r="B356" i="3"/>
  <c r="I128" i="1"/>
  <c r="E356" i="3" s="1"/>
  <c r="E357" i="3" s="1"/>
  <c r="H128" i="1"/>
  <c r="D356" i="3" s="1"/>
  <c r="D357" i="3" s="1"/>
  <c r="C359" i="3"/>
  <c r="B359" i="3"/>
  <c r="A359" i="3"/>
  <c r="C358" i="3"/>
  <c r="B358" i="3"/>
  <c r="I129" i="1"/>
  <c r="E358" i="3" s="1"/>
  <c r="E359" i="3" s="1"/>
  <c r="H129" i="1"/>
  <c r="D358" i="3" s="1"/>
  <c r="D359" i="3" s="1"/>
  <c r="C362" i="3"/>
  <c r="B362" i="3"/>
  <c r="A362" i="3"/>
  <c r="C361" i="3"/>
  <c r="B361" i="3"/>
  <c r="I130" i="1"/>
  <c r="E361" i="3" s="1"/>
  <c r="E362" i="3" s="1"/>
  <c r="H130" i="1"/>
  <c r="D361" i="3" s="1"/>
  <c r="D362" i="3" s="1"/>
  <c r="C365" i="3"/>
  <c r="B365" i="3"/>
  <c r="A365" i="3"/>
  <c r="C364" i="3"/>
  <c r="B364" i="3"/>
  <c r="I131" i="1"/>
  <c r="E364" i="3" s="1"/>
  <c r="E365" i="3" s="1"/>
  <c r="H131" i="1"/>
  <c r="D364" i="3" s="1"/>
  <c r="D365" i="3" s="1"/>
  <c r="C368" i="3"/>
  <c r="B368" i="3"/>
  <c r="A368" i="3"/>
  <c r="C367" i="3"/>
  <c r="B367" i="3"/>
  <c r="I132" i="1"/>
  <c r="E367" i="3" s="1"/>
  <c r="E368" i="3" s="1"/>
  <c r="H132" i="1"/>
  <c r="D367" i="3" s="1"/>
  <c r="D368" i="3" s="1"/>
  <c r="C371" i="3"/>
  <c r="B371" i="3"/>
  <c r="A371" i="3"/>
  <c r="C370" i="3"/>
  <c r="B370" i="3"/>
  <c r="I133" i="1"/>
  <c r="E370" i="3" s="1"/>
  <c r="E371" i="3" s="1"/>
  <c r="H133" i="1"/>
  <c r="D370" i="3" s="1"/>
  <c r="D371" i="3" s="1"/>
  <c r="C374" i="3"/>
  <c r="B374" i="3"/>
  <c r="A374" i="3"/>
  <c r="C373" i="3"/>
  <c r="B373" i="3"/>
  <c r="I134" i="1"/>
  <c r="E373" i="3" s="1"/>
  <c r="E374" i="3" s="1"/>
  <c r="H134" i="1"/>
  <c r="D373" i="3" s="1"/>
  <c r="D374" i="3" s="1"/>
  <c r="C376" i="3"/>
  <c r="B376" i="3"/>
  <c r="A376" i="3"/>
  <c r="C375" i="3"/>
  <c r="B375" i="3"/>
  <c r="I135" i="1"/>
  <c r="E375" i="3" s="1"/>
  <c r="E376" i="3" s="1"/>
  <c r="H135" i="1"/>
  <c r="D375" i="3" s="1"/>
  <c r="D376" i="3" s="1"/>
  <c r="C379" i="3"/>
  <c r="B379" i="3"/>
  <c r="A379" i="3"/>
  <c r="C378" i="3"/>
  <c r="B378" i="3"/>
  <c r="I136" i="1"/>
  <c r="E378" i="3" s="1"/>
  <c r="E379" i="3" s="1"/>
  <c r="H136" i="1"/>
  <c r="D378" i="3" s="1"/>
  <c r="D379" i="3" s="1"/>
  <c r="C382" i="3"/>
  <c r="B382" i="3"/>
  <c r="A382" i="3"/>
  <c r="C381" i="3"/>
  <c r="B381" i="3"/>
  <c r="I137" i="1"/>
  <c r="E381" i="3" s="1"/>
  <c r="E382" i="3" s="1"/>
  <c r="H137" i="1"/>
  <c r="D381" i="3" s="1"/>
  <c r="D382" i="3" s="1"/>
  <c r="C385" i="3"/>
  <c r="B385" i="3"/>
  <c r="A385" i="3"/>
  <c r="C384" i="3"/>
  <c r="B384" i="3"/>
  <c r="I138" i="1"/>
  <c r="E384" i="3" s="1"/>
  <c r="E385" i="3" s="1"/>
  <c r="H138" i="1"/>
  <c r="D384" i="3" s="1"/>
  <c r="D385" i="3" s="1"/>
  <c r="C388" i="3"/>
  <c r="B388" i="3"/>
  <c r="A388" i="3"/>
  <c r="C387" i="3"/>
  <c r="B387" i="3"/>
  <c r="I139" i="1"/>
  <c r="E387" i="3" s="1"/>
  <c r="E388" i="3" s="1"/>
  <c r="H139" i="1"/>
  <c r="D387" i="3" s="1"/>
  <c r="D388" i="3" s="1"/>
  <c r="C391" i="3"/>
  <c r="B391" i="3"/>
  <c r="A391" i="3"/>
  <c r="C390" i="3"/>
  <c r="B390" i="3"/>
  <c r="I140" i="1"/>
  <c r="E390" i="3" s="1"/>
  <c r="E391" i="3" s="1"/>
  <c r="H140" i="1"/>
  <c r="D390" i="3" s="1"/>
  <c r="D391" i="3" s="1"/>
  <c r="C393" i="3"/>
  <c r="B393" i="3"/>
  <c r="A393" i="3"/>
  <c r="C392" i="3"/>
  <c r="B392" i="3"/>
  <c r="I141" i="1"/>
  <c r="E392" i="3" s="1"/>
  <c r="E393" i="3" s="1"/>
  <c r="H141" i="1"/>
  <c r="D392" i="3" s="1"/>
  <c r="D393" i="3" s="1"/>
  <c r="C396" i="3"/>
  <c r="B396" i="3"/>
  <c r="A396" i="3"/>
  <c r="C395" i="3"/>
  <c r="B395" i="3"/>
  <c r="I142" i="1"/>
  <c r="E395" i="3" s="1"/>
  <c r="E396" i="3" s="1"/>
  <c r="H142" i="1"/>
  <c r="D395" i="3" s="1"/>
  <c r="D396" i="3" s="1"/>
  <c r="C399" i="3"/>
  <c r="B399" i="3"/>
  <c r="A399" i="3"/>
  <c r="C398" i="3"/>
  <c r="B398" i="3"/>
  <c r="I143" i="1"/>
  <c r="E398" i="3" s="1"/>
  <c r="E399" i="3" s="1"/>
  <c r="H143" i="1"/>
  <c r="D398" i="3" s="1"/>
  <c r="D399" i="3" s="1"/>
  <c r="C402" i="3"/>
  <c r="B402" i="3"/>
  <c r="A402" i="3"/>
  <c r="C401" i="3"/>
  <c r="B401" i="3"/>
  <c r="I144" i="1"/>
  <c r="E401" i="3" s="1"/>
  <c r="E402" i="3" s="1"/>
  <c r="H144" i="1"/>
  <c r="D401" i="3" s="1"/>
  <c r="D402" i="3" s="1"/>
  <c r="C405" i="3"/>
  <c r="B405" i="3"/>
  <c r="A405" i="3"/>
  <c r="C404" i="3"/>
  <c r="B404" i="3"/>
  <c r="I145" i="1"/>
  <c r="H145" i="1"/>
  <c r="D404" i="3" s="1"/>
  <c r="D405" i="3" s="1"/>
  <c r="C408" i="3"/>
  <c r="B408" i="3"/>
  <c r="A408" i="3"/>
  <c r="C407" i="3"/>
  <c r="B407" i="3"/>
  <c r="I146" i="1"/>
  <c r="E407" i="3" s="1"/>
  <c r="E408" i="3" s="1"/>
  <c r="H146" i="1"/>
  <c r="D407" i="3" s="1"/>
  <c r="D408" i="3" s="1"/>
  <c r="C410" i="3"/>
  <c r="B410" i="3"/>
  <c r="A410" i="3"/>
  <c r="C409" i="3"/>
  <c r="B409" i="3"/>
  <c r="I147" i="1"/>
  <c r="E409" i="3" s="1"/>
  <c r="E410" i="3" s="1"/>
  <c r="H147" i="1"/>
  <c r="D409" i="3" s="1"/>
  <c r="D410" i="3" s="1"/>
  <c r="C413" i="3"/>
  <c r="B413" i="3"/>
  <c r="A413" i="3"/>
  <c r="C412" i="3"/>
  <c r="B412" i="3"/>
  <c r="I148" i="1"/>
  <c r="E412" i="3" s="1"/>
  <c r="E413" i="3" s="1"/>
  <c r="H148" i="1"/>
  <c r="D412" i="3" s="1"/>
  <c r="D413" i="3" s="1"/>
  <c r="C416" i="3"/>
  <c r="B416" i="3"/>
  <c r="A416" i="3"/>
  <c r="C415" i="3"/>
  <c r="B415" i="3"/>
  <c r="I149" i="1"/>
  <c r="E415" i="3" s="1"/>
  <c r="E416" i="3" s="1"/>
  <c r="H149" i="1"/>
  <c r="D415" i="3" s="1"/>
  <c r="D416" i="3" s="1"/>
  <c r="C419" i="3"/>
  <c r="B419" i="3"/>
  <c r="A419" i="3"/>
  <c r="C418" i="3"/>
  <c r="B418" i="3"/>
  <c r="I150" i="1"/>
  <c r="E418" i="3" s="1"/>
  <c r="E419" i="3" s="1"/>
  <c r="H150" i="1"/>
  <c r="D418" i="3" s="1"/>
  <c r="D419" i="3" s="1"/>
  <c r="C422" i="3"/>
  <c r="B422" i="3"/>
  <c r="A422" i="3"/>
  <c r="C421" i="3"/>
  <c r="B421" i="3"/>
  <c r="I151" i="1"/>
  <c r="E421" i="3" s="1"/>
  <c r="E422" i="3" s="1"/>
  <c r="H151" i="1"/>
  <c r="D421" i="3" s="1"/>
  <c r="D422" i="3" s="1"/>
  <c r="C425" i="3"/>
  <c r="B425" i="3"/>
  <c r="A425" i="3"/>
  <c r="C424" i="3"/>
  <c r="B424" i="3"/>
  <c r="I152" i="1"/>
  <c r="E424" i="3" s="1"/>
  <c r="E425" i="3" s="1"/>
  <c r="H152" i="1"/>
  <c r="D424" i="3" s="1"/>
  <c r="D425" i="3" s="1"/>
  <c r="C427" i="3"/>
  <c r="B427" i="3"/>
  <c r="A427" i="3"/>
  <c r="C426" i="3"/>
  <c r="B426" i="3"/>
  <c r="I153" i="1"/>
  <c r="E426" i="3" s="1"/>
  <c r="E427" i="3" s="1"/>
  <c r="H153" i="1"/>
  <c r="D426" i="3" s="1"/>
  <c r="D427" i="3" s="1"/>
  <c r="C430" i="3"/>
  <c r="B430" i="3"/>
  <c r="A430" i="3"/>
  <c r="C429" i="3"/>
  <c r="B429" i="3"/>
  <c r="I154" i="1"/>
  <c r="E429" i="3" s="1"/>
  <c r="E430" i="3" s="1"/>
  <c r="H154" i="1"/>
  <c r="D429" i="3" s="1"/>
  <c r="D430" i="3" s="1"/>
  <c r="C433" i="3"/>
  <c r="B433" i="3"/>
  <c r="A433" i="3"/>
  <c r="C432" i="3"/>
  <c r="B432" i="3"/>
  <c r="I155" i="1"/>
  <c r="E432" i="3" s="1"/>
  <c r="E433" i="3" s="1"/>
  <c r="H155" i="1"/>
  <c r="D432" i="3" s="1"/>
  <c r="D433" i="3" s="1"/>
  <c r="C436" i="3"/>
  <c r="B436" i="3"/>
  <c r="A436" i="3"/>
  <c r="C435" i="3"/>
  <c r="B435" i="3"/>
  <c r="I156" i="1"/>
  <c r="E435" i="3" s="1"/>
  <c r="E436" i="3" s="1"/>
  <c r="H156" i="1"/>
  <c r="D435" i="3" s="1"/>
  <c r="D436" i="3" s="1"/>
  <c r="C439" i="3"/>
  <c r="B439" i="3"/>
  <c r="A439" i="3"/>
  <c r="C438" i="3"/>
  <c r="B438" i="3"/>
  <c r="I157" i="1"/>
  <c r="H157" i="1"/>
  <c r="C442" i="3"/>
  <c r="B442" i="3"/>
  <c r="A442" i="3"/>
  <c r="C441" i="3"/>
  <c r="B441" i="3"/>
  <c r="I158" i="1"/>
  <c r="E441" i="3" s="1"/>
  <c r="E442" i="3" s="1"/>
  <c r="H158" i="1"/>
  <c r="D441" i="3" s="1"/>
  <c r="D442" i="3" s="1"/>
  <c r="C444" i="3"/>
  <c r="B444" i="3"/>
  <c r="A444" i="3"/>
  <c r="C443" i="3"/>
  <c r="B443" i="3"/>
  <c r="I159" i="1"/>
  <c r="E443" i="3" s="1"/>
  <c r="E444" i="3" s="1"/>
  <c r="H159" i="1"/>
  <c r="D443" i="3" s="1"/>
  <c r="D444" i="3" s="1"/>
  <c r="C447" i="3"/>
  <c r="B447" i="3"/>
  <c r="A447" i="3"/>
  <c r="C446" i="3"/>
  <c r="B446" i="3"/>
  <c r="I160" i="1"/>
  <c r="E446" i="3" s="1"/>
  <c r="E447" i="3" s="1"/>
  <c r="H160" i="1"/>
  <c r="D446" i="3" s="1"/>
  <c r="D447" i="3" s="1"/>
  <c r="C450" i="3"/>
  <c r="B450" i="3"/>
  <c r="A450" i="3"/>
  <c r="C449" i="3"/>
  <c r="B449" i="3"/>
  <c r="I161" i="1"/>
  <c r="E449" i="3" s="1"/>
  <c r="E450" i="3" s="1"/>
  <c r="H161" i="1"/>
  <c r="D449" i="3" s="1"/>
  <c r="D450" i="3" s="1"/>
  <c r="C453" i="3"/>
  <c r="B453" i="3"/>
  <c r="A453" i="3"/>
  <c r="C452" i="3"/>
  <c r="B452" i="3"/>
  <c r="I162" i="1"/>
  <c r="E452" i="3" s="1"/>
  <c r="E453" i="3" s="1"/>
  <c r="H162" i="1"/>
  <c r="D452" i="3" s="1"/>
  <c r="D453" i="3" s="1"/>
  <c r="C456" i="3"/>
  <c r="B456" i="3"/>
  <c r="A456" i="3"/>
  <c r="C455" i="3"/>
  <c r="B455" i="3"/>
  <c r="I163" i="1"/>
  <c r="E455" i="3" s="1"/>
  <c r="E456" i="3" s="1"/>
  <c r="H163" i="1"/>
  <c r="D455" i="3" s="1"/>
  <c r="D456" i="3" s="1"/>
  <c r="C459" i="3"/>
  <c r="B459" i="3"/>
  <c r="A459" i="3"/>
  <c r="C458" i="3"/>
  <c r="B458" i="3"/>
  <c r="I164" i="1"/>
  <c r="E458" i="3" s="1"/>
  <c r="E459" i="3" s="1"/>
  <c r="H164" i="1"/>
  <c r="D458" i="3" s="1"/>
  <c r="D459" i="3" s="1"/>
  <c r="C461" i="3"/>
  <c r="B461" i="3"/>
  <c r="A461" i="3"/>
  <c r="C460" i="3"/>
  <c r="B460" i="3"/>
  <c r="I165" i="1"/>
  <c r="E460" i="3" s="1"/>
  <c r="E461" i="3" s="1"/>
  <c r="H165" i="1"/>
  <c r="D460" i="3" s="1"/>
  <c r="D461" i="3" s="1"/>
  <c r="C464" i="3"/>
  <c r="B464" i="3"/>
  <c r="A464" i="3"/>
  <c r="C463" i="3"/>
  <c r="B463" i="3"/>
  <c r="I166" i="1"/>
  <c r="E463" i="3" s="1"/>
  <c r="E464" i="3" s="1"/>
  <c r="H166" i="1"/>
  <c r="D463" i="3" s="1"/>
  <c r="D464" i="3" s="1"/>
  <c r="C467" i="3"/>
  <c r="B467" i="3"/>
  <c r="A467" i="3"/>
  <c r="C466" i="3"/>
  <c r="B466" i="3"/>
  <c r="I167" i="1"/>
  <c r="E466" i="3" s="1"/>
  <c r="E467" i="3" s="1"/>
  <c r="H167" i="1"/>
  <c r="D466" i="3" s="1"/>
  <c r="D467" i="3" s="1"/>
  <c r="C470" i="3"/>
  <c r="B470" i="3"/>
  <c r="A470" i="3"/>
  <c r="C469" i="3"/>
  <c r="B469" i="3"/>
  <c r="I168" i="1"/>
  <c r="E469" i="3" s="1"/>
  <c r="E470" i="3" s="1"/>
  <c r="H168" i="1"/>
  <c r="D469" i="3" s="1"/>
  <c r="D470" i="3" s="1"/>
  <c r="C473" i="3"/>
  <c r="B473" i="3"/>
  <c r="A473" i="3"/>
  <c r="C472" i="3"/>
  <c r="B472" i="3"/>
  <c r="I169" i="1"/>
  <c r="E472" i="3" s="1"/>
  <c r="E473" i="3" s="1"/>
  <c r="H169" i="1"/>
  <c r="D472" i="3" s="1"/>
  <c r="D473" i="3" s="1"/>
  <c r="C476" i="3"/>
  <c r="B476" i="3"/>
  <c r="A476" i="3"/>
  <c r="C475" i="3"/>
  <c r="B475" i="3"/>
  <c r="I170" i="1"/>
  <c r="E475" i="3" s="1"/>
  <c r="E476" i="3" s="1"/>
  <c r="H170" i="1"/>
  <c r="D475" i="3" s="1"/>
  <c r="D476" i="3" s="1"/>
  <c r="C478" i="3"/>
  <c r="B478" i="3"/>
  <c r="A478" i="3"/>
  <c r="C477" i="3"/>
  <c r="B477" i="3"/>
  <c r="I171" i="1"/>
  <c r="E477" i="3" s="1"/>
  <c r="E478" i="3" s="1"/>
  <c r="H171" i="1"/>
  <c r="D477" i="3" s="1"/>
  <c r="D478" i="3" s="1"/>
  <c r="C481" i="3"/>
  <c r="B481" i="3"/>
  <c r="A481" i="3"/>
  <c r="C480" i="3"/>
  <c r="B480" i="3"/>
  <c r="I172" i="1"/>
  <c r="E480" i="3" s="1"/>
  <c r="E481" i="3" s="1"/>
  <c r="H172" i="1"/>
  <c r="D480" i="3" s="1"/>
  <c r="D481" i="3" s="1"/>
  <c r="C484" i="3"/>
  <c r="B484" i="3"/>
  <c r="A484" i="3"/>
  <c r="C483" i="3"/>
  <c r="B483" i="3"/>
  <c r="I173" i="1"/>
  <c r="E483" i="3" s="1"/>
  <c r="E484" i="3" s="1"/>
  <c r="H173" i="1"/>
  <c r="D483" i="3" s="1"/>
  <c r="D484" i="3" s="1"/>
  <c r="C487" i="3"/>
  <c r="B487" i="3"/>
  <c r="A487" i="3"/>
  <c r="C486" i="3"/>
  <c r="B486" i="3"/>
  <c r="I174" i="1"/>
  <c r="E486" i="3" s="1"/>
  <c r="E487" i="3" s="1"/>
  <c r="H174" i="1"/>
  <c r="D486" i="3" s="1"/>
  <c r="D487" i="3" s="1"/>
  <c r="C490" i="3"/>
  <c r="B490" i="3"/>
  <c r="A490" i="3"/>
  <c r="C489" i="3"/>
  <c r="B489" i="3"/>
  <c r="I175" i="1"/>
  <c r="E489" i="3" s="1"/>
  <c r="E490" i="3" s="1"/>
  <c r="H175" i="1"/>
  <c r="D489" i="3" s="1"/>
  <c r="D490" i="3" s="1"/>
  <c r="C493" i="3"/>
  <c r="B493" i="3"/>
  <c r="A493" i="3"/>
  <c r="C492" i="3"/>
  <c r="B492" i="3"/>
  <c r="I176" i="1"/>
  <c r="E492" i="3" s="1"/>
  <c r="E493" i="3" s="1"/>
  <c r="H176" i="1"/>
  <c r="D492" i="3" s="1"/>
  <c r="D493" i="3" s="1"/>
  <c r="C495" i="3"/>
  <c r="B495" i="3"/>
  <c r="A495" i="3"/>
  <c r="C494" i="3"/>
  <c r="B494" i="3"/>
  <c r="I177" i="1"/>
  <c r="E494" i="3" s="1"/>
  <c r="E495" i="3" s="1"/>
  <c r="H177" i="1"/>
  <c r="D494" i="3" s="1"/>
  <c r="D495" i="3" s="1"/>
  <c r="C498" i="3"/>
  <c r="B498" i="3"/>
  <c r="A498" i="3"/>
  <c r="C497" i="3"/>
  <c r="B497" i="3"/>
  <c r="I178" i="1"/>
  <c r="E497" i="3" s="1"/>
  <c r="E498" i="3" s="1"/>
  <c r="H178" i="1"/>
  <c r="D497" i="3" s="1"/>
  <c r="D498" i="3" s="1"/>
  <c r="C501" i="3"/>
  <c r="B501" i="3"/>
  <c r="A501" i="3"/>
  <c r="C500" i="3"/>
  <c r="B500" i="3"/>
  <c r="I179" i="1"/>
  <c r="E500" i="3" s="1"/>
  <c r="E501" i="3" s="1"/>
  <c r="H179" i="1"/>
  <c r="D500" i="3" s="1"/>
  <c r="D501" i="3" s="1"/>
  <c r="C504" i="3"/>
  <c r="B504" i="3"/>
  <c r="A504" i="3"/>
  <c r="C503" i="3"/>
  <c r="B503" i="3"/>
  <c r="I180" i="1"/>
  <c r="E503" i="3" s="1"/>
  <c r="E504" i="3" s="1"/>
  <c r="H180" i="1"/>
  <c r="D503" i="3" s="1"/>
  <c r="D504" i="3" s="1"/>
  <c r="C507" i="3"/>
  <c r="B507" i="3"/>
  <c r="A507" i="3"/>
  <c r="C506" i="3"/>
  <c r="B506" i="3"/>
  <c r="I181" i="1"/>
  <c r="E506" i="3" s="1"/>
  <c r="E507" i="3" s="1"/>
  <c r="H181" i="1"/>
  <c r="D506" i="3" s="1"/>
  <c r="D507" i="3" s="1"/>
  <c r="C510" i="3"/>
  <c r="B510" i="3"/>
  <c r="A510" i="3"/>
  <c r="C509" i="3"/>
  <c r="B509" i="3"/>
  <c r="I182" i="1"/>
  <c r="E509" i="3" s="1"/>
  <c r="E510" i="3" s="1"/>
  <c r="H182" i="1"/>
  <c r="D509" i="3" s="1"/>
  <c r="D510" i="3" s="1"/>
  <c r="C512" i="3"/>
  <c r="B512" i="3"/>
  <c r="A512" i="3"/>
  <c r="C511" i="3"/>
  <c r="B511" i="3"/>
  <c r="I183" i="1"/>
  <c r="E511" i="3" s="1"/>
  <c r="E512" i="3" s="1"/>
  <c r="H183" i="1"/>
  <c r="D511" i="3" s="1"/>
  <c r="D512" i="3" s="1"/>
  <c r="C515" i="3"/>
  <c r="B515" i="3"/>
  <c r="A515" i="3"/>
  <c r="C514" i="3"/>
  <c r="B514" i="3"/>
  <c r="I184" i="1"/>
  <c r="E514" i="3" s="1"/>
  <c r="E515" i="3" s="1"/>
  <c r="H184" i="1"/>
  <c r="D514" i="3" s="1"/>
  <c r="D515" i="3" s="1"/>
  <c r="C518" i="3"/>
  <c r="B518" i="3"/>
  <c r="A518" i="3"/>
  <c r="C517" i="3"/>
  <c r="B517" i="3"/>
  <c r="I185" i="1"/>
  <c r="E517" i="3" s="1"/>
  <c r="E518" i="3" s="1"/>
  <c r="H185" i="1"/>
  <c r="D517" i="3" s="1"/>
  <c r="D518" i="3" s="1"/>
  <c r="C521" i="3"/>
  <c r="B521" i="3"/>
  <c r="A521" i="3"/>
  <c r="C520" i="3"/>
  <c r="B520" i="3"/>
  <c r="I186" i="1"/>
  <c r="E520" i="3" s="1"/>
  <c r="E521" i="3" s="1"/>
  <c r="H186" i="1"/>
  <c r="D520" i="3" s="1"/>
  <c r="D521" i="3" s="1"/>
  <c r="C524" i="3"/>
  <c r="B524" i="3"/>
  <c r="A524" i="3"/>
  <c r="C523" i="3"/>
  <c r="B523" i="3"/>
  <c r="I187" i="1"/>
  <c r="E523" i="3" s="1"/>
  <c r="E524" i="3" s="1"/>
  <c r="H187" i="1"/>
  <c r="D523" i="3" s="1"/>
  <c r="D524" i="3" s="1"/>
  <c r="C527" i="3"/>
  <c r="B527" i="3"/>
  <c r="A527" i="3"/>
  <c r="C526" i="3"/>
  <c r="B526" i="3"/>
  <c r="I188" i="1"/>
  <c r="E526" i="3" s="1"/>
  <c r="E527" i="3" s="1"/>
  <c r="H188" i="1"/>
  <c r="D526" i="3" s="1"/>
  <c r="D527" i="3" s="1"/>
  <c r="C529" i="3"/>
  <c r="B529" i="3"/>
  <c r="A529" i="3"/>
  <c r="C528" i="3"/>
  <c r="B528" i="3"/>
  <c r="I189" i="1"/>
  <c r="E528" i="3" s="1"/>
  <c r="E529" i="3" s="1"/>
  <c r="H189" i="1"/>
  <c r="D528" i="3" s="1"/>
  <c r="D529" i="3" s="1"/>
  <c r="C532" i="3"/>
  <c r="B532" i="3"/>
  <c r="A532" i="3"/>
  <c r="C531" i="3"/>
  <c r="B531" i="3"/>
  <c r="I190" i="1"/>
  <c r="E531" i="3" s="1"/>
  <c r="E532" i="3" s="1"/>
  <c r="H190" i="1"/>
  <c r="D531" i="3" s="1"/>
  <c r="D532" i="3" s="1"/>
  <c r="C535" i="3"/>
  <c r="B535" i="3"/>
  <c r="A535" i="3"/>
  <c r="C534" i="3"/>
  <c r="B534" i="3"/>
  <c r="I191" i="1"/>
  <c r="E534" i="3" s="1"/>
  <c r="E535" i="3" s="1"/>
  <c r="H191" i="1"/>
  <c r="D534" i="3" s="1"/>
  <c r="D535" i="3" s="1"/>
  <c r="C538" i="3"/>
  <c r="B538" i="3"/>
  <c r="A538" i="3"/>
  <c r="C537" i="3"/>
  <c r="B537" i="3"/>
  <c r="I192" i="1"/>
  <c r="E537" i="3" s="1"/>
  <c r="E538" i="3" s="1"/>
  <c r="H192" i="1"/>
  <c r="D537" i="3" s="1"/>
  <c r="D538" i="3" s="1"/>
  <c r="C541" i="3"/>
  <c r="B541" i="3"/>
  <c r="A541" i="3"/>
  <c r="C540" i="3"/>
  <c r="B540" i="3"/>
  <c r="I193" i="1"/>
  <c r="E540" i="3" s="1"/>
  <c r="E541" i="3" s="1"/>
  <c r="H193" i="1"/>
  <c r="D540" i="3" s="1"/>
  <c r="D541" i="3" s="1"/>
  <c r="C544" i="3"/>
  <c r="B544" i="3"/>
  <c r="A544" i="3"/>
  <c r="C543" i="3"/>
  <c r="B543" i="3"/>
  <c r="I194" i="1"/>
  <c r="E543" i="3" s="1"/>
  <c r="E544" i="3" s="1"/>
  <c r="H194" i="1"/>
  <c r="D543" i="3" s="1"/>
  <c r="D544" i="3" s="1"/>
  <c r="C546" i="3"/>
  <c r="B546" i="3"/>
  <c r="A546" i="3"/>
  <c r="C545" i="3"/>
  <c r="B545" i="3"/>
  <c r="I195" i="1"/>
  <c r="E545" i="3" s="1"/>
  <c r="E546" i="3" s="1"/>
  <c r="H195" i="1"/>
  <c r="D545" i="3" s="1"/>
  <c r="D546" i="3" s="1"/>
  <c r="C549" i="3"/>
  <c r="B549" i="3"/>
  <c r="A549" i="3"/>
  <c r="C548" i="3"/>
  <c r="B548" i="3"/>
  <c r="I196" i="1"/>
  <c r="E548" i="3" s="1"/>
  <c r="E549" i="3" s="1"/>
  <c r="H196" i="1"/>
  <c r="D548" i="3" s="1"/>
  <c r="D549" i="3" s="1"/>
  <c r="C552" i="3"/>
  <c r="B552" i="3"/>
  <c r="A552" i="3"/>
  <c r="C551" i="3"/>
  <c r="B551" i="3"/>
  <c r="I197" i="1"/>
  <c r="E551" i="3" s="1"/>
  <c r="E552" i="3" s="1"/>
  <c r="H197" i="1"/>
  <c r="D551" i="3" s="1"/>
  <c r="D552" i="3" s="1"/>
  <c r="C555" i="3"/>
  <c r="B555" i="3"/>
  <c r="A555" i="3"/>
  <c r="C554" i="3"/>
  <c r="B554" i="3"/>
  <c r="I198" i="1"/>
  <c r="E554" i="3" s="1"/>
  <c r="E555" i="3" s="1"/>
  <c r="H198" i="1"/>
  <c r="D554" i="3" s="1"/>
  <c r="D555" i="3" s="1"/>
  <c r="C558" i="3"/>
  <c r="B558" i="3"/>
  <c r="A558" i="3"/>
  <c r="C557" i="3"/>
  <c r="B557" i="3"/>
  <c r="I199" i="1"/>
  <c r="E557" i="3" s="1"/>
  <c r="E558" i="3" s="1"/>
  <c r="H199" i="1"/>
  <c r="D557" i="3" s="1"/>
  <c r="D558" i="3" s="1"/>
  <c r="A12" i="1"/>
  <c r="G12" i="1"/>
  <c r="A27" i="3" s="1"/>
  <c r="A11" i="1"/>
  <c r="G11" i="1"/>
  <c r="A24" i="3" s="1"/>
  <c r="A10" i="1"/>
  <c r="G10" i="1"/>
  <c r="A21" i="3" s="1"/>
  <c r="A9" i="1"/>
  <c r="G9" i="1"/>
  <c r="A18" i="3" s="1"/>
  <c r="A8" i="1"/>
  <c r="G8" i="1"/>
  <c r="A16" i="3" s="1"/>
  <c r="A7" i="1"/>
  <c r="G7" i="1"/>
  <c r="A13" i="3" s="1"/>
  <c r="A6" i="1"/>
  <c r="G6" i="1"/>
  <c r="A10" i="3" s="1"/>
  <c r="A5" i="1"/>
  <c r="G5" i="1"/>
  <c r="A7" i="3" s="1"/>
  <c r="A4" i="1"/>
  <c r="G4" i="1"/>
  <c r="A4" i="3" s="1"/>
  <c r="G2" i="1"/>
  <c r="G3" i="1"/>
  <c r="A1" i="3" s="1"/>
  <c r="G202" i="1"/>
  <c r="A3" i="1"/>
  <c r="A2" i="1"/>
  <c r="C1" i="3" l="1"/>
  <c r="C2" i="3"/>
  <c r="B2" i="3"/>
  <c r="B1" i="3"/>
  <c r="A2" i="3"/>
  <c r="C5" i="3"/>
  <c r="B5" i="3"/>
  <c r="A5" i="3"/>
  <c r="C4" i="3"/>
  <c r="B4" i="3"/>
  <c r="C8" i="3"/>
  <c r="B8" i="3"/>
  <c r="A8" i="3"/>
  <c r="C7" i="3"/>
  <c r="B7" i="3"/>
  <c r="C11" i="3"/>
  <c r="B11" i="3"/>
  <c r="A11" i="3"/>
  <c r="C10" i="3"/>
  <c r="B10" i="3"/>
  <c r="C14" i="3"/>
  <c r="B14" i="3"/>
  <c r="A14" i="3"/>
  <c r="C13" i="3"/>
  <c r="B13" i="3"/>
  <c r="C17" i="3"/>
  <c r="B17" i="3"/>
  <c r="A17" i="3"/>
  <c r="C16" i="3"/>
  <c r="B16" i="3"/>
  <c r="C19" i="3"/>
  <c r="B19" i="3"/>
  <c r="A19" i="3"/>
  <c r="C18" i="3"/>
  <c r="B18" i="3"/>
  <c r="C22" i="3"/>
  <c r="B22" i="3"/>
  <c r="A22" i="3"/>
  <c r="C21" i="3"/>
  <c r="B21" i="3"/>
  <c r="C25" i="3"/>
  <c r="B25" i="3"/>
  <c r="A25" i="3"/>
  <c r="C24" i="3"/>
  <c r="B24" i="3"/>
  <c r="C28" i="3"/>
  <c r="B28" i="3"/>
  <c r="A28" i="3"/>
  <c r="C27" i="3"/>
  <c r="B27" i="3"/>
  <c r="E438" i="3"/>
  <c r="E439" i="3" s="1"/>
  <c r="D438" i="3"/>
  <c r="D439" i="3" s="1"/>
  <c r="E404" i="3"/>
  <c r="E405" i="3" s="1"/>
  <c r="E120" i="3"/>
  <c r="E121" i="3" s="1"/>
</calcChain>
</file>

<file path=xl/sharedStrings.xml><?xml version="1.0" encoding="utf-8"?>
<sst xmlns="http://schemas.openxmlformats.org/spreadsheetml/2006/main" count="1138" uniqueCount="506">
  <si>
    <t>ID</t>
  </si>
  <si>
    <t>Produto</t>
  </si>
  <si>
    <t xml:space="preserve">Clave </t>
  </si>
  <si>
    <t>DGSW002</t>
  </si>
  <si>
    <t>DGSW003</t>
  </si>
  <si>
    <t>DGSW004</t>
  </si>
  <si>
    <t>DGSW005</t>
  </si>
  <si>
    <t>DGSW006</t>
  </si>
  <si>
    <t>DGSW007</t>
  </si>
  <si>
    <t>DGSW008</t>
  </si>
  <si>
    <t>DGSW009</t>
  </si>
  <si>
    <t>DGSW010</t>
  </si>
  <si>
    <t>NOMRE DEL PRODUCTO</t>
  </si>
  <si>
    <t xml:space="preserve">REFERENCIA </t>
  </si>
  <si>
    <t>MARCA</t>
  </si>
  <si>
    <t>COLOR</t>
  </si>
  <si>
    <t>UNIDAD</t>
  </si>
  <si>
    <t>STOCK</t>
  </si>
  <si>
    <t>LUGAR</t>
  </si>
  <si>
    <t>PRECIO DE OFICINA</t>
  </si>
  <si>
    <t>PRECIO DE MC</t>
  </si>
  <si>
    <t>PRECIO DE WIX</t>
  </si>
  <si>
    <t>IMAGEN</t>
  </si>
  <si>
    <t>DesinGlass</t>
  </si>
  <si>
    <t>Blanco</t>
  </si>
  <si>
    <t>Pieza</t>
  </si>
  <si>
    <t>Oficina</t>
  </si>
  <si>
    <t>C:\Users\w\Desktop\DIMO\INVENTARIOS\InventarioSW\imagenes\Alarma1.jpg</t>
  </si>
  <si>
    <t>Gris</t>
  </si>
  <si>
    <t>C:\Users\w\Desktop\DIMO\INVENTARIOS\InventarioSW\imagenes\AlexaMasapan2.jpg</t>
  </si>
  <si>
    <t>ALEXA BOLITA BLANCA</t>
  </si>
  <si>
    <t>Blanca</t>
  </si>
  <si>
    <t>Almacen</t>
  </si>
  <si>
    <t>C:\Users\w\Desktop\DIMO\INVENTARIOS\InventarioSW\imagenes\AlexaBolita1.jpg</t>
  </si>
  <si>
    <t>ALEXA BOLITA NEGRA</t>
  </si>
  <si>
    <t>Negro</t>
  </si>
  <si>
    <t>C:\Users\w\Desktop\DIMO\INVENTARIOS\InventarioSW\imagenes\AlexaBolita2.jpg</t>
  </si>
  <si>
    <t>APAGADOR BLANCO BOTONES AZULES PLACA DE CRISTAL</t>
  </si>
  <si>
    <t>APAGADOR BROADLINK MCB1</t>
  </si>
  <si>
    <t>APAGADOR WIFI 1 CANAL (Caja Azul)</t>
  </si>
  <si>
    <t>APAGADOR WI-FI + RADIO FRECUENCIA DE 1 APAGADOR</t>
  </si>
  <si>
    <t>APAGADOR WIFI DE 1 APAGADOR</t>
  </si>
  <si>
    <t>APAGADOR ZIGBEE BLANCO CON MARCO PLACA CRISTAL DE 1 APAGADOR</t>
  </si>
  <si>
    <t>DGSW011</t>
  </si>
  <si>
    <t>APAGADOR ZIGBEE NEGRO CON MARCO PLACA CRISTAL DE 1 APAGADO</t>
  </si>
  <si>
    <t>DGSW012</t>
  </si>
  <si>
    <t>APAGADOR ZIGBEE BLANCO CON MARCO METAL 1  APAGADOR</t>
  </si>
  <si>
    <t>DGSW013</t>
  </si>
  <si>
    <t>APAGADOR ZIGBEE NEGRO CON MARCO METAL 1 APAGADOR</t>
  </si>
  <si>
    <t>DGSW014</t>
  </si>
  <si>
    <t>APAGADOR WIFI +RADIO FRECUENCIA DE 2 APAGADOR</t>
  </si>
  <si>
    <t>DGSW015</t>
  </si>
  <si>
    <t xml:space="preserve">APAGADOR ZIGBEE BLANCO CON MARCO PLACA CRISTAL 2 APAGADOR </t>
  </si>
  <si>
    <t>DGSW016</t>
  </si>
  <si>
    <t xml:space="preserve">APAGADOR ZIGBEE NEGRO CON MARCO PLACA CRISTAL 2 APAGADOR </t>
  </si>
  <si>
    <t>DGSW017</t>
  </si>
  <si>
    <t xml:space="preserve">APAGADOR ZIGBEE BLANCO CON MARCO METAL 2 APAGADOR </t>
  </si>
  <si>
    <t>DGSW018</t>
  </si>
  <si>
    <t>APAGADOR ZIGBEE NEGRO CON MARCO METAL 2 APAGADOR</t>
  </si>
  <si>
    <t>DGSW019</t>
  </si>
  <si>
    <t>APAGADOR WIFI + RADIO FRECUENCIA DE 3 APAGADOR</t>
  </si>
  <si>
    <t>DGSW020</t>
  </si>
  <si>
    <t>APAGADOR ZIGBEE BLANCO CON MARCO PLACA CRISTAL 3 APAGADOR</t>
  </si>
  <si>
    <t>DGSW021</t>
  </si>
  <si>
    <t>APAGADOR ZIGBEE NEGRO CON MARCO PLACA CRISTAL 3 APAGADOR</t>
  </si>
  <si>
    <t>DGSW022</t>
  </si>
  <si>
    <t>APAGADOR ZIGBEE BLANCO CON MARCO METAL 3 APAGADOR</t>
  </si>
  <si>
    <t>DGSW023</t>
  </si>
  <si>
    <t>APAGADOR ZIGBEE NEGRO MARCO METAL 3 APAGADOR</t>
  </si>
  <si>
    <t>DGSW024</t>
  </si>
  <si>
    <t>oficina</t>
  </si>
  <si>
    <t xml:space="preserve"> APAGADOR SWITCH DIMEABLE BLANCO</t>
  </si>
  <si>
    <t>DGSW025</t>
  </si>
  <si>
    <t>APAGADOR ZIGBEE SWITCH BLANCO SENCILLO</t>
  </si>
  <si>
    <t>DGSW026</t>
  </si>
  <si>
    <t>APAGADOR TOUCH PARA ESPEJO</t>
  </si>
  <si>
    <t>DGSW027</t>
  </si>
  <si>
    <t>C:\Users\w\Desktop\DIMO\INVENTARIOS\InventarioSW\imagenes\ApagadorTouch1.jpg</t>
  </si>
  <si>
    <t>BANDA DEL SISTEMA A/2  ( METROS )</t>
  </si>
  <si>
    <t>DGSW028</t>
  </si>
  <si>
    <t>Metros</t>
  </si>
  <si>
    <t xml:space="preserve">BATERIA 12V 9A </t>
  </si>
  <si>
    <t>DGSW029</t>
  </si>
  <si>
    <t xml:space="preserve">BESTCON INTERRUPTOR REMOTO </t>
  </si>
  <si>
    <t>DGSW030</t>
  </si>
  <si>
    <t>BRAKET EN U A280</t>
  </si>
  <si>
    <t>DGSW031</t>
  </si>
  <si>
    <t>BOTONERAS EN GENERAL</t>
  </si>
  <si>
    <t>DGSW032</t>
  </si>
  <si>
    <t>BOTON DORADO WIFI</t>
  </si>
  <si>
    <t>DGSW033</t>
  </si>
  <si>
    <t>C:\Users\w\Desktop\DIMO\INVENTARIOS\InventarioSW\imagenes\BotonDorado1.jpeg</t>
  </si>
  <si>
    <t>BOTON NO TOUCH</t>
  </si>
  <si>
    <t>DGSW034</t>
  </si>
  <si>
    <t>C:\Users\w\Desktop\DIMO\INVENTARIOS\InventarioSW\imagenes\BotonTouch1.jpeg</t>
  </si>
  <si>
    <t>BOTON PUSH D-001</t>
  </si>
  <si>
    <t>DGSW035</t>
  </si>
  <si>
    <t>C:\Users\w\Desktop\DIMO\INVENTARIOS\InventarioSW\imagenes\BotonPush1.jpeg</t>
  </si>
  <si>
    <t>BOTON DE SALIDA</t>
  </si>
  <si>
    <t>DGSW036</t>
  </si>
  <si>
    <t>C:\Users\w\Desktop\DIMO\INVENTARIOS\InventarioSW\imagenes\BotonSalida3.jpeg</t>
  </si>
  <si>
    <t xml:space="preserve">BOTONERA DE GAJOS DE NARANJA </t>
  </si>
  <si>
    <t>DGSW037</t>
  </si>
  <si>
    <t>BOTONERA WIFI Y CONTROL REMOTO CAJA NARANJA /PEQUIPOS Juego 2</t>
  </si>
  <si>
    <t>DGSW038</t>
  </si>
  <si>
    <t>BOTONERA WIFI y RADIO FRECUENCIA</t>
  </si>
  <si>
    <t>DGSW039</t>
  </si>
  <si>
    <t>BOTONERA WIFI TACTIL</t>
  </si>
  <si>
    <t>DGSW040</t>
  </si>
  <si>
    <t>BRIDGE SONOFF CONVERTIDOR</t>
  </si>
  <si>
    <t>DGSW041</t>
  </si>
  <si>
    <t>BRIDGE SONOFF MINI</t>
  </si>
  <si>
    <t>DGSW042</t>
  </si>
  <si>
    <t>BROADLINK</t>
  </si>
  <si>
    <t>DGSW043</t>
  </si>
  <si>
    <t>C:\Users\w\Desktop\DIMO\INVENTARIOS\InventarioSW\imagenes\Broadlink2.jpeg</t>
  </si>
  <si>
    <t xml:space="preserve">CABEZAL YSD 100F (PIEZAS) </t>
  </si>
  <si>
    <t>DGSW044</t>
  </si>
  <si>
    <t>CABEZAL YSD 100F (RIELES)</t>
  </si>
  <si>
    <t>DGSW045</t>
  </si>
  <si>
    <t>C:\Users\w\Desktop\DIMO\INVENTARIOS\InventarioSW\imagenes\Cabezal1.jpeg</t>
  </si>
  <si>
    <t>CABLE SENSOR DE TEMPERATURA Y HUMEDAD SB-001</t>
  </si>
  <si>
    <t>DGSW046</t>
  </si>
  <si>
    <t>C:\Users\w\Desktop\DIMO\INVENTARIOS\InventarioSW\imagenes\CableSensorTem1.jpeg</t>
  </si>
  <si>
    <t>CABLE HDMI</t>
  </si>
  <si>
    <t>DGSW047</t>
  </si>
  <si>
    <t>CAJA P/BATERIA  FUENTE DE ALIMENTACION GK1205</t>
  </si>
  <si>
    <t>DGSW048</t>
  </si>
  <si>
    <t>CAJA TAPAS DE GRAPA SOPORTE</t>
  </si>
  <si>
    <t>DGSW049</t>
  </si>
  <si>
    <t>CAMARA ESPIA EN SOQUET</t>
  </si>
  <si>
    <t>DGSW050</t>
  </si>
  <si>
    <t>C:\Users\w\Desktop\DIMO\INVENTARIOS\InventarioSW\imagenes\CamaraSocket1.jpg</t>
  </si>
  <si>
    <t xml:space="preserve">CARRETILLA PARA CANCEL </t>
  </si>
  <si>
    <t>DGSW051</t>
  </si>
  <si>
    <t xml:space="preserve">CERRADURA BIOMETRICA DE HUELLA </t>
  </si>
  <si>
    <t>DGSW052</t>
  </si>
  <si>
    <t>C:\Users\w\Desktop\DIMO\INVENTARIOS\InventarioSW\imagenes\CerraduraBiometrica1.jpg</t>
  </si>
  <si>
    <t>CERRADURA CONTRASEÑA DE HUELLA</t>
  </si>
  <si>
    <t>DGSW053</t>
  </si>
  <si>
    <t>CERRADURA ELECTRONICA 5 EN 1  CHICA</t>
  </si>
  <si>
    <t>DGSW054</t>
  </si>
  <si>
    <t>C:\Users\w\Desktop\DIMO\INVENTARIOS\InventarioSW\imagenes\Cerradura5en1-1.jpg</t>
  </si>
  <si>
    <t>CERRADURA ELECTRONICA 5 EN 1 GRANDE</t>
  </si>
  <si>
    <t>DGSW055</t>
  </si>
  <si>
    <t>CERRADURA ELECTROMAGNETICA GK-11</t>
  </si>
  <si>
    <t>DGSW056</t>
  </si>
  <si>
    <t>C:\Users\w\Desktop\DIMO\INVENTARIOS\InventarioSW\imagenes\CerraduraGK11-1.jpg</t>
  </si>
  <si>
    <t>CERRADURA ELECTROMAGNETICA GK-5818G</t>
  </si>
  <si>
    <t>DGSW057</t>
  </si>
  <si>
    <t>C:\Users\w\Desktop\DIMO\INVENTARIOS\InventarioSW\imagenes\ChapaElectromagnetica1.jpg</t>
  </si>
  <si>
    <t>CERRADURA ELECTRONICA PARA VIDRIO</t>
  </si>
  <si>
    <t>DGSW058</t>
  </si>
  <si>
    <t>C:\Users\w\Desktop\DIMO\INVENTARIOS\InventarioSW\imagenes\CerraduraVidrio1.jpg</t>
  </si>
  <si>
    <t>CERRADURA ELECTRICA DE PUERTA CON PERNO DE CAIDA ELECTRICA</t>
  </si>
  <si>
    <t>DGSW059</t>
  </si>
  <si>
    <t>C:\Users\w\Desktop\DIMO\INVENTARIOS\InventarioSW\imagenes\CerraduraCaida1.jpg</t>
  </si>
  <si>
    <t>CERRADURA DE PULSO</t>
  </si>
  <si>
    <t>DGSW060</t>
  </si>
  <si>
    <t xml:space="preserve">CONTROL DE ACCESO </t>
  </si>
  <si>
    <t>DGSW061</t>
  </si>
  <si>
    <t>CONTROL DE ACCESO 003 TECLADO +RFID+WIFI APP EWELINK</t>
  </si>
  <si>
    <t>DGSW062</t>
  </si>
  <si>
    <t>C:\Users\w\Desktop\DIMO\INVENTARIOS\InventarioSW\imagenes\control de acceso 003 02.jpg</t>
  </si>
  <si>
    <t>CONTACTO LUCEK</t>
  </si>
  <si>
    <t>DGSW063</t>
  </si>
  <si>
    <t>COMPUTADORA SISTEMAS A</t>
  </si>
  <si>
    <t>DGSW064</t>
  </si>
  <si>
    <t>COMPUTADORA ADICIONAL SISTEMA S-100</t>
  </si>
  <si>
    <t>DGSW065</t>
  </si>
  <si>
    <t>CONTROL DE ACCESO CA- 002</t>
  </si>
  <si>
    <t>DGSW066</t>
  </si>
  <si>
    <t>C:\Users\w\Desktop\DIMO\INVENTARIOS\InventarioSW\imagenes\control de acceso 002 01.jpg</t>
  </si>
  <si>
    <t>CONTROL DE ACCESO HUELLA DIGITAL CA-X9</t>
  </si>
  <si>
    <t>DGSW067</t>
  </si>
  <si>
    <t>C:\Users\w\Desktop\DIMO\INVENTARIOS\InventarioSW\imagenes\control de acceso X9 01.jpg</t>
  </si>
  <si>
    <t>CONTROL DE ACCESO WIEGAND EXTERIORES</t>
  </si>
  <si>
    <t>DGSW068</t>
  </si>
  <si>
    <t>C:\Users\w\Desktop\DIMO\INVENTARIOS\InventarioSW\imagenes\control de acceso Exteriores 03.jpg</t>
  </si>
  <si>
    <t>CONTROL REMOTO Y BOTONERA NO TOUCH JUEGO(Caja Blanca)</t>
  </si>
  <si>
    <t>DGSW069</t>
  </si>
  <si>
    <t>CONTROL REMOTO RADIO FRECUENCIA</t>
  </si>
  <si>
    <t>DGSW070</t>
  </si>
  <si>
    <t>C:\Users\w\Desktop\DIMO\INVENTARIOS\InventarioSW\imagenes\controlRF.jpg</t>
  </si>
  <si>
    <t>CONTROL REMOTO SOLO DE RADIO FRECUENCIA</t>
  </si>
  <si>
    <t>DGSW071</t>
  </si>
  <si>
    <t>CONTROL REMOTO UNIVERSAL RF BRIGE</t>
  </si>
  <si>
    <t>DGSW072</t>
  </si>
  <si>
    <t>CONTROLADOR LED</t>
  </si>
  <si>
    <t>DGSW073</t>
  </si>
  <si>
    <t>C:\Users\w\Desktop\DIMO\INVENTARIOS\InventarioSW\imagenes\ControladorLed1.jpg</t>
  </si>
  <si>
    <t xml:space="preserve">COMTROLADOR LED PARA ESCALERAS </t>
  </si>
  <si>
    <t>DGSW074</t>
  </si>
  <si>
    <t xml:space="preserve">CONTROLADOR LED SINGS </t>
  </si>
  <si>
    <t>DGSW075</t>
  </si>
  <si>
    <t>CHAPAS / CANDADOS CHICOS</t>
  </si>
  <si>
    <t>DGSW076</t>
  </si>
  <si>
    <t>CHAPAS / CANDADOS GRNADES</t>
  </si>
  <si>
    <t>DGSW077</t>
  </si>
  <si>
    <t>CHAPA ELECTROMAGNETICA PARA PUERTAS 600Ibs C / Led / 280 kg</t>
  </si>
  <si>
    <t>DGSW078</t>
  </si>
  <si>
    <t>ELECTROIMAN EM2805</t>
  </si>
  <si>
    <t>DGSW079</t>
  </si>
  <si>
    <t>ELIMINADOR 12V 1 A</t>
  </si>
  <si>
    <t>DGSW080</t>
  </si>
  <si>
    <t>ELIMINADOR 12V 2 A</t>
  </si>
  <si>
    <t>DGSW081</t>
  </si>
  <si>
    <t>ENCHUFE INTELIGENTE NEGRO</t>
  </si>
  <si>
    <t>DGSW082</t>
  </si>
  <si>
    <t>ENCHUFE INTELIGENTE WIFI</t>
  </si>
  <si>
    <t>DGSW083</t>
  </si>
  <si>
    <t>C:\Users\w\Desktop\DIMO\INVENTARIOS\InventarioSW\imagenes\Enchufe Negro inteligente 04.jpg</t>
  </si>
  <si>
    <t>FOCO WI-FI</t>
  </si>
  <si>
    <t>DGSW084</t>
  </si>
  <si>
    <t>C:\Users\w\Desktop\DIMO\INVENTARIOS\InventarioSW\imagenes\Foco Wifi 01.jpg</t>
  </si>
  <si>
    <t>FUENTE DE PODER 3V =1A</t>
  </si>
  <si>
    <t>DGSW085</t>
  </si>
  <si>
    <t>C:\Users\w\Desktop\DIMO\INVENTARIOS\InventarioSW\imagenes\Fuente de poder 3v-1a 01.jpg</t>
  </si>
  <si>
    <t>FUENTE DE ALIMENTACION 5v</t>
  </si>
  <si>
    <t>DGSW086</t>
  </si>
  <si>
    <t>FUENTE DE PODER 24V = 1.6A</t>
  </si>
  <si>
    <t>DGSW087</t>
  </si>
  <si>
    <t>C:\Users\w\Desktop\DIMO\INVENTARIOS\InventarioSW\imagenes\Fuente de poder 24v-1.6a 01.jpg</t>
  </si>
  <si>
    <t>FUENTE DE ALIMENTACION 25v</t>
  </si>
  <si>
    <t>DGSW088</t>
  </si>
  <si>
    <t>FUENTE DE ALIMENTACION KK 1295</t>
  </si>
  <si>
    <t>DGSW089</t>
  </si>
  <si>
    <t>FUENTE DE PODER MINI 12V CONTROL DE ACCESO</t>
  </si>
  <si>
    <t>DGSW090</t>
  </si>
  <si>
    <t>C:\Users\w\Desktop\DIMO\INVENTARIOS\InventarioSW\imagenes\Fuente de Poder mini 12V 3.jpg</t>
  </si>
  <si>
    <t>GRAPAS PARA BANDA A/2</t>
  </si>
  <si>
    <t>DGSW091</t>
  </si>
  <si>
    <t>GRAPAS  SOPORTE</t>
  </si>
  <si>
    <t>DGSW092</t>
  </si>
  <si>
    <t>C:\Users\w\Desktop\DIMO\INVENTARIOS\InventarioSW\imagenes\Grapa Soporte 01.jpg</t>
  </si>
  <si>
    <t>HUB ZIGBEE GATEWAY CON CABLE</t>
  </si>
  <si>
    <t>DGSW093</t>
  </si>
  <si>
    <t>C:\Users\w\Desktop\DIMO\INVENTARIOS\InventarioSW\imagenes\HubZigBee1.jpg</t>
  </si>
  <si>
    <t>HUB ZIGBEE GATEWAY MINI</t>
  </si>
  <si>
    <t>DGSW094</t>
  </si>
  <si>
    <t xml:space="preserve">HUB NEGRO </t>
  </si>
  <si>
    <t>DGSW095</t>
  </si>
  <si>
    <t>HUB ZIGBEE /WIFI</t>
  </si>
  <si>
    <t>DGSW096</t>
  </si>
  <si>
    <t>INTERRUPTOR DE LUZ INTELIGENTE WI-FI</t>
  </si>
  <si>
    <t>DGSW097</t>
  </si>
  <si>
    <t>C:\Users\w\Desktop\DIMO\INVENTARIOS\InventarioSW\imagenes\Interruptor Wifi 01.jpg</t>
  </si>
  <si>
    <t>INTERRUPOR INTELIGENTE MINI</t>
  </si>
  <si>
    <t>DGSW098</t>
  </si>
  <si>
    <t>INTERRUPTOR MODULADOR NS-105</t>
  </si>
  <si>
    <t>DGSW099</t>
  </si>
  <si>
    <t>INTERMEDIO PERSIANAS CLUTCH     (EXTENCIONES)</t>
  </si>
  <si>
    <t>DGSW100</t>
  </si>
  <si>
    <t xml:space="preserve">IR BULLET NETWORK CAMARA </t>
  </si>
  <si>
    <t>DGSW101</t>
  </si>
  <si>
    <t xml:space="preserve">JUEGO DE POLEAS RIEL DEL CABEZAL P/PUERTAS COMERCIALES </t>
  </si>
  <si>
    <t>DGSW102</t>
  </si>
  <si>
    <t>KIT CONTROL DE ACCESO WIRELES</t>
  </si>
  <si>
    <t>DGSW103</t>
  </si>
  <si>
    <t>C:\Users\w\Desktop\DIMO\INVENTARIOS\InventarioSW\imagenes\Kit Control de Acceso 01.jpg</t>
  </si>
  <si>
    <t>KIT/DG SW A/3 DOBLE + SENSOR DE MOVIMIENTO</t>
  </si>
  <si>
    <t>DGSW104</t>
  </si>
  <si>
    <t>KIT/DG SW 100s/CONTROL DE ACCESO WIFI</t>
  </si>
  <si>
    <t>DGSW105</t>
  </si>
  <si>
    <t>LUCES DE COLORES CINTA LED</t>
  </si>
  <si>
    <t>DGSW106</t>
  </si>
  <si>
    <t xml:space="preserve">MODULO GENERADOR DE PULSO </t>
  </si>
  <si>
    <t>DGSW107</t>
  </si>
  <si>
    <t>MODULO ZIGBEE SWITCH</t>
  </si>
  <si>
    <t>DGSW108</t>
  </si>
  <si>
    <t>C:\Users\w\Desktop\DIMO\INVENTARIOS\InventarioSW\imagenes\Modulo ZigBee 01.jpg</t>
  </si>
  <si>
    <t>MODULO WIFI SWITCH 1 APAGADOR</t>
  </si>
  <si>
    <t>DGSW109</t>
  </si>
  <si>
    <t>C:\Users\w\Desktop\DIMO\INVENTARIOS\InventarioSW\imagenes\Modulo Wifi 01.jpg</t>
  </si>
  <si>
    <t>MODULO WIFI SWITCH 2 APAGADOR</t>
  </si>
  <si>
    <t>DGSW110</t>
  </si>
  <si>
    <t>C:\Users\w\Desktop\DIMO\INVENTARIOS\InventarioSW\imagenes\Modulo Wifi 2 01.jpg</t>
  </si>
  <si>
    <t>MODULO ZIGBEE SWICH 2 CANAL</t>
  </si>
  <si>
    <t>DGSW111</t>
  </si>
  <si>
    <t>MODULO WIFI 1 CANAL</t>
  </si>
  <si>
    <t>DGSW112</t>
  </si>
  <si>
    <t>MODULO ZIGBEE 1 CANAL</t>
  </si>
  <si>
    <t>DGSW113</t>
  </si>
  <si>
    <t xml:space="preserve">MOTOR PARA CORTINA </t>
  </si>
  <si>
    <t>DGSW114</t>
  </si>
  <si>
    <t>MOTOR  TUBULAR ZIGBEE CHICO</t>
  </si>
  <si>
    <t>DGSW115</t>
  </si>
  <si>
    <t>C:\Users\w\Desktop\DIMO\INVENTARIOS\InventarioSW\imagenes\Motor Tubular G ZigBee 02.jpg</t>
  </si>
  <si>
    <t>MOTOR TUBULAR WIFI CHICO</t>
  </si>
  <si>
    <t>DGSW116</t>
  </si>
  <si>
    <t>MOTOR  TUBULAR ZIGBEE GRNADE</t>
  </si>
  <si>
    <t>DGSW117</t>
  </si>
  <si>
    <t>OPERADOR AUTOMATICO PARA PUERTA ABATIBLE S-100</t>
  </si>
  <si>
    <t>DGSW118</t>
  </si>
  <si>
    <t>C:\Users\w\Desktop\DIMO\INVENTARIOS\InventarioSW\imagenes\S100 01,jpg</t>
  </si>
  <si>
    <t>OPERADOR PARA VENTANAS ABATABLE S-50</t>
  </si>
  <si>
    <t>DGSW119</t>
  </si>
  <si>
    <t>RELEVADOR 1 CANAL RADIO FRECUENCIA</t>
  </si>
  <si>
    <t>DGSW120</t>
  </si>
  <si>
    <t>C:\Users\w\Desktop\DIMO\INVENTARIOS\InventarioSW\imagenes\Relevador 1 C RC.jpg</t>
  </si>
  <si>
    <t>RELEVADOR WIFI 2 CANALES</t>
  </si>
  <si>
    <t>DGSW121</t>
  </si>
  <si>
    <t>C:\Users\w\Desktop\DIMO\INVENTARIOS\InventarioSW\imagenes\Relevador 2 C Wifi 01.jpg</t>
  </si>
  <si>
    <t>RELEVADOR 4 CANALES</t>
  </si>
  <si>
    <t>DGSW122</t>
  </si>
  <si>
    <t>C:\Users\w\Desktop\DIMO\INVENTARIOS\InventarioSW\imagenes\Relevador 4 C 01.jpg</t>
  </si>
  <si>
    <t>RELEVADOR  ENCLAVAMIENTO WIFI 1 CANAL (Etiqueta Amarilla)</t>
  </si>
  <si>
    <t>DGSW123</t>
  </si>
  <si>
    <t>RELEVADOR DE CANALES RW-02</t>
  </si>
  <si>
    <t>DGSW124</t>
  </si>
  <si>
    <t>RELEVADOR 4 CANALES S-04</t>
  </si>
  <si>
    <t>DGSW125</t>
  </si>
  <si>
    <t>C:\Users\w\Desktop\DIMO\INVENTARIOS\InventarioSW\imagenes\Relevador 4C S04  01.jpg</t>
  </si>
  <si>
    <t>RELEVADOR WIFI 1 CANAL</t>
  </si>
  <si>
    <t>DGSW126</t>
  </si>
  <si>
    <t>REPETIDOR ZIGBEE  USB</t>
  </si>
  <si>
    <t>DGSW127</t>
  </si>
  <si>
    <t>REVESTIMIENTO ANTICORROCION EN AEROSOL</t>
  </si>
  <si>
    <t>DGSW128</t>
  </si>
  <si>
    <t>SENSOR DE GAS WIFI</t>
  </si>
  <si>
    <t>DGSW129</t>
  </si>
  <si>
    <t>SENSOR DE HUMO</t>
  </si>
  <si>
    <t>DGSW130</t>
  </si>
  <si>
    <t>C:\Users\w\Desktop\DIMO\INVENTARIOS\InventarioSW\imagenes\Sensor de Humo General 01.jpg</t>
  </si>
  <si>
    <t>SENSOR DE HUMO GENERAL (CAJA NARANJA)</t>
  </si>
  <si>
    <t>DGSW131</t>
  </si>
  <si>
    <t>C:\Users\w\Desktop\DIMO\INVENTARIOS\InventarioSW\imagenes\Sensor de Humo Sensor 01.jpg</t>
  </si>
  <si>
    <t>SENSOR DE HUMO INDICADOR DE FLASH</t>
  </si>
  <si>
    <t>DGSW132</t>
  </si>
  <si>
    <t>C:\Users\w\Desktop\DIMO\INVENTARIOS\InventarioSW\imagenes\Sensor de Humo Wifi 01.jpg</t>
  </si>
  <si>
    <t>SENSOR DE HUMO WIFI</t>
  </si>
  <si>
    <t>DGSW133</t>
  </si>
  <si>
    <t>SENSOR DE MOVIMIENTO</t>
  </si>
  <si>
    <t>DGSW134</t>
  </si>
  <si>
    <t>C:\Users\w\Desktop\DIMO\INVENTARIOS\InventarioSW\imagenes\Sensor de Movimiento 02.jpg</t>
  </si>
  <si>
    <t>SENSOR DE MOVIMIENTO PIR ZIGBEE</t>
  </si>
  <si>
    <t>DGSW135</t>
  </si>
  <si>
    <t>C:\Users\w\Desktop\DIMO\INVENTARIOS\InventarioSW\imagenes\Sensor Pir 01.jpg</t>
  </si>
  <si>
    <t>SENSOR DE MOVIMIENTO AQARA</t>
  </si>
  <si>
    <t>DGSW136</t>
  </si>
  <si>
    <t>SENSOR DE MOVIMIENTO SONOFF</t>
  </si>
  <si>
    <t>DGSW137</t>
  </si>
  <si>
    <t>SENSOR DE PUERTA MINI</t>
  </si>
  <si>
    <t>DGSW138</t>
  </si>
  <si>
    <t>SENSOR D PUERTA / VENTANA BLANCO WI-FI</t>
  </si>
  <si>
    <t>DGSW139</t>
  </si>
  <si>
    <t>SENSOR DE PUERTA /VENTANA MINI</t>
  </si>
  <si>
    <t>DGSW140</t>
  </si>
  <si>
    <t xml:space="preserve">SENSOR  DE PUERTA /VENTANA SONOFF DW2 - WIFI </t>
  </si>
  <si>
    <t>DGSW141</t>
  </si>
  <si>
    <t>SENSOR DE PUERTA/VENTANA ZIGBEE</t>
  </si>
  <si>
    <t>DGSW142</t>
  </si>
  <si>
    <t>C:\Users\w\Desktop\DIMO\INVENTARIOS\InventarioSW\imagenes\SensorPuerVen2.jpg</t>
  </si>
  <si>
    <t>SENSOR PARA CORTINAS AUTO</t>
  </si>
  <si>
    <t>DGSW143</t>
  </si>
  <si>
    <t xml:space="preserve">SENSOR SWITCH DE NIVEL DE AGUA </t>
  </si>
  <si>
    <t>DGSW144</t>
  </si>
  <si>
    <t>SENSOR DE VIENTO Y LLUVIA</t>
  </si>
  <si>
    <t>DGSW145</t>
  </si>
  <si>
    <t>C:\Users\w\Desktop\DIMO\INVENTARIOS\InventarioSW\imagenes\Sensor de Viento y lluvia 1.jpg</t>
  </si>
  <si>
    <t>SENSOR SONOFF DW1</t>
  </si>
  <si>
    <t>DGSW146</t>
  </si>
  <si>
    <t>SENSOR WIFI PUERTA/VENTANA</t>
  </si>
  <si>
    <t>DGSW147</t>
  </si>
  <si>
    <t>C:\Users\w\Desktop\DIMO\INVENTARIOS\InventarioSW\imagenes\SensorPuerVen3.jpg</t>
  </si>
  <si>
    <t xml:space="preserve">SISTEMA A/2 </t>
  </si>
  <si>
    <t>DGSW148</t>
  </si>
  <si>
    <t>C:\Users\w\Desktop\DIMO\INVENTARIOS\InventarioSW\imagenes\A2 01.jpg</t>
  </si>
  <si>
    <t>SISTEMA A/3</t>
  </si>
  <si>
    <t>DGSW149</t>
  </si>
  <si>
    <t>C:\Users\w\Desktop\DIMO\INVENTARIOS\InventarioSW\imagenes\A3.jpg</t>
  </si>
  <si>
    <t>SISTEMA CORREDIZO 3 HOJAS</t>
  </si>
  <si>
    <t>DGSW150</t>
  </si>
  <si>
    <t>SISTEMA CORREDIZO "S"</t>
  </si>
  <si>
    <t>DGSW151</t>
  </si>
  <si>
    <t xml:space="preserve">Pieza </t>
  </si>
  <si>
    <t xml:space="preserve"> SISTEMA DGSW APP VENTANA SMART</t>
  </si>
  <si>
    <t>DGSW152</t>
  </si>
  <si>
    <t xml:space="preserve">SISTEMA DGSW A/1  BLANCO </t>
  </si>
  <si>
    <t>DGSW153</t>
  </si>
  <si>
    <t>C:\Users\w\Desktop\DIMO\INVENTARIOS\InventarioSW\imagenes\A1 04.jpg</t>
  </si>
  <si>
    <t>SISTEMA DGSW A/1 NEGRO</t>
  </si>
  <si>
    <t>DGSW154</t>
  </si>
  <si>
    <t>C:\Users\w\Desktop\DIMO\INVENTARIOS\InventarioSW\imagenes\A1 02.jpg</t>
  </si>
  <si>
    <t>SISTEMA DE PROYECCION</t>
  </si>
  <si>
    <t>DGSW155</t>
  </si>
  <si>
    <t>C:\Users\w\Desktop\DIMO\INVENTARIOS\InventarioSW\imagenes\VP 01.jpg</t>
  </si>
  <si>
    <t>CHAPA DE SEGURIDAD</t>
  </si>
  <si>
    <t>DGSW156</t>
  </si>
  <si>
    <t>N/A</t>
  </si>
  <si>
    <t>SISTEMA DE PROYECCION DOBLE CADENA</t>
  </si>
  <si>
    <t>DGSW157</t>
  </si>
  <si>
    <t>C:\Users\w\Desktop\DIMO\INVENTARIOS\InventarioSW\imagenes\VP 02.jpg</t>
  </si>
  <si>
    <t>SISTEMA S1</t>
  </si>
  <si>
    <t>DGSW158</t>
  </si>
  <si>
    <t>C:\Users\w\Desktop\DIMO\INVENTARIOS\InventarioSW\imagenes\S1.jpg</t>
  </si>
  <si>
    <t>SISTEMA S2</t>
  </si>
  <si>
    <t>DGSW159</t>
  </si>
  <si>
    <t>C:\Users\w\Desktop\DIMO\INVENTARIOS\InventarioSW\imagenes\s2.jpg</t>
  </si>
  <si>
    <t>SMART GARAGE (Caja Azul)</t>
  </si>
  <si>
    <t>DGSW160</t>
  </si>
  <si>
    <t>C:\Users\w\Desktop\DIMO\INVENTARIOS\InventarioSW\imagenes\Smart garaje 03.jpeg</t>
  </si>
  <si>
    <t>SMART  IR  GRANDE CONTOL REMOTO</t>
  </si>
  <si>
    <t>DGSW161</t>
  </si>
  <si>
    <t>C:\Users\w\Desktop\DIMO\INVENTARIOS\InventarioSW\imagenes\Smart Ir Grande 01.jpg</t>
  </si>
  <si>
    <t>SMART  IR  MINI CONTROL REMOTO</t>
  </si>
  <si>
    <t>DGSW162</t>
  </si>
  <si>
    <t>C:\Users\w\Desktop\DIMO\INVENTARIOS\InventarioSW\imagenes\Smart Ir mini 01.jpg</t>
  </si>
  <si>
    <t xml:space="preserve">SMART LOCK </t>
  </si>
  <si>
    <t>DGSW163</t>
  </si>
  <si>
    <t xml:space="preserve">SMART LOCK RECTANGULAR </t>
  </si>
  <si>
    <t>DGSW164</t>
  </si>
  <si>
    <t>SMART SWICH MINI WIFI</t>
  </si>
  <si>
    <t>DGSW165</t>
  </si>
  <si>
    <t>SOPORTE EN U</t>
  </si>
  <si>
    <t>DGSW166</t>
  </si>
  <si>
    <t>C:\Users\w\Desktop\DIMO\INVENTARIOS\InventarioSW\imagenes\Soporte en U 1.jpg</t>
  </si>
  <si>
    <t>TARJETAS DE ACCESO</t>
  </si>
  <si>
    <t>DGSW167</t>
  </si>
  <si>
    <t xml:space="preserve">TARJETA DE MEMORIA ADATA </t>
  </si>
  <si>
    <t>DGSW168</t>
  </si>
  <si>
    <t>TARJETA RFID (Venta/Paquete 50Pz.)</t>
  </si>
  <si>
    <t>DGSW169</t>
  </si>
  <si>
    <t>TRASMISOR de HD VIDEO</t>
  </si>
  <si>
    <t>DGSW170</t>
  </si>
  <si>
    <t xml:space="preserve"> TIMBRE CON VIDEO WIFI</t>
  </si>
  <si>
    <t>DGSW171</t>
  </si>
  <si>
    <t>C:\Users\w\Desktop\DIMO\INVENTARIOS\InventarioSW\imagenes\Timbre Wifi 01.jpg</t>
  </si>
  <si>
    <t xml:space="preserve">WIRELESS SWITCH </t>
  </si>
  <si>
    <t>DGSW172</t>
  </si>
  <si>
    <t>WIFI CONTROL VALVE</t>
  </si>
  <si>
    <t>DGSW173</t>
  </si>
  <si>
    <t>C:\Users\w\Desktop\DIMO\INVENTARIOS\InventarioSW\imagenes\control valve 01.jpg</t>
  </si>
  <si>
    <t>SISTEMA S2-A</t>
  </si>
  <si>
    <t>DGSW174</t>
  </si>
  <si>
    <t>CERRADURA INTELIGENTE  SLIM</t>
  </si>
  <si>
    <t>DGSW175</t>
  </si>
  <si>
    <t>JUEGO DE CARRETILLAS GRANDES PARA PUERTAS DE CRISTAL</t>
  </si>
  <si>
    <t>DGSW176</t>
  </si>
  <si>
    <t>CERRADURA INTELIGENTE APARTAMENTO</t>
  </si>
  <si>
    <t>DGSW177</t>
  </si>
  <si>
    <t>COMPLEMENTO DE CHAPA (PIEZAS SUELTAS)</t>
  </si>
  <si>
    <t>DGSW178</t>
  </si>
  <si>
    <t>PERCIANAS BLACK OUT (METRO 2)</t>
  </si>
  <si>
    <t>DGSW179</t>
  </si>
  <si>
    <t>Metro</t>
  </si>
  <si>
    <t>SENSOR DE PRESENCIA</t>
  </si>
  <si>
    <t>DGSW180</t>
  </si>
  <si>
    <t xml:space="preserve">SELECTOR DE LLAVES </t>
  </si>
  <si>
    <t>DGSW181</t>
  </si>
  <si>
    <t>SOPORTE PALETA PARA PUERTAS DE CRISTAL</t>
  </si>
  <si>
    <t>DGSW182</t>
  </si>
  <si>
    <t xml:space="preserve">SISTEMA TELESCOPICO MANUAL </t>
  </si>
  <si>
    <t>DGSW183</t>
  </si>
  <si>
    <t>CARRETILLA PARA CANCEL</t>
  </si>
  <si>
    <t>DGSW184</t>
  </si>
  <si>
    <t>SWITCH CON LLAVE  PLATEADO</t>
  </si>
  <si>
    <t>DGSW185</t>
  </si>
  <si>
    <t>Plateado</t>
  </si>
  <si>
    <t>SWITCH CON LLAVE DORADO</t>
  </si>
  <si>
    <t>DGSW186</t>
  </si>
  <si>
    <t>Dorado</t>
  </si>
  <si>
    <t>SISTEMA TELESCOPICO AUTOMATIZADO</t>
  </si>
  <si>
    <t>DGSW187</t>
  </si>
  <si>
    <t xml:space="preserve">SENSOR DE FUNCION DUAL </t>
  </si>
  <si>
    <t>DGSW188</t>
  </si>
  <si>
    <t xml:space="preserve">SOPORTE PARA ELECTROIMAN EM2805 </t>
  </si>
  <si>
    <t>DGSW189</t>
  </si>
  <si>
    <t>Alamacen</t>
  </si>
  <si>
    <t xml:space="preserve">SISTEMA  AUTOMATIZADO (Piezas Sobrantes) </t>
  </si>
  <si>
    <t>DGSW190</t>
  </si>
  <si>
    <t>SENSOR DE PRESENCIA ULTRA</t>
  </si>
  <si>
    <t>DGSW191</t>
  </si>
  <si>
    <t>Pza</t>
  </si>
  <si>
    <t>BOTON DE PANICO</t>
  </si>
  <si>
    <t>DGSW192</t>
  </si>
  <si>
    <t>APAGADOR WI-FI NEGRO PLACA DE CRISTAL 2 APAGADOR</t>
  </si>
  <si>
    <t>DGSW193</t>
  </si>
  <si>
    <t>Pza.</t>
  </si>
  <si>
    <t>APAGADOR 1 APAGADOR C/ENCHUFEWI-FI PLACA CRISTAL NEGRO</t>
  </si>
  <si>
    <t>DWGS194</t>
  </si>
  <si>
    <t xml:space="preserve">CERRADURA MECANICA DE 11 DIGITOS ABATIBLE </t>
  </si>
  <si>
    <t>DWGS195</t>
  </si>
  <si>
    <t>Plateada</t>
  </si>
  <si>
    <t>pza</t>
  </si>
  <si>
    <t xml:space="preserve">Bodega </t>
  </si>
  <si>
    <t xml:space="preserve">CERRADURA MECANICA DE 11 DIGITOS CORREDIZA </t>
  </si>
  <si>
    <t>DGSW196</t>
  </si>
  <si>
    <t>VISOR INTELIGENTE WI-FI ** (COMPRA MINIMA 2 PRODUCTOS) **</t>
  </si>
  <si>
    <t>DGSW197</t>
  </si>
  <si>
    <t>Bodega</t>
  </si>
  <si>
    <t>Estado NUEVO</t>
  </si>
  <si>
    <t>Estado REPARADO</t>
  </si>
  <si>
    <t>Estado REFACCION</t>
  </si>
  <si>
    <t>Codigo de Barras NUEVO</t>
  </si>
  <si>
    <t xml:space="preserve"> </t>
  </si>
  <si>
    <t>Codigo de Barras REFACCION</t>
  </si>
  <si>
    <t>Codigo de Barras RESTAURADO</t>
  </si>
  <si>
    <t>ID PRODUCTO</t>
  </si>
  <si>
    <t>ESTADO</t>
  </si>
  <si>
    <t>CANTIDAD</t>
  </si>
  <si>
    <t>POSISION</t>
  </si>
  <si>
    <t>ALARMAS</t>
  </si>
  <si>
    <t>ALEXA</t>
  </si>
  <si>
    <t>PRODUCTO</t>
  </si>
  <si>
    <t>ID DEL 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</si>
</sst>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3" x14ac:knownFonts="1">
    <font>
      <sz val="11"/>
      <color theme="1"/>
      <name val="Calibri"/>
      <family val="2"/>
      <scheme val="minor"/>
    </font>
    <font>
      <sz val="26"/>
      <color theme="1"/>
      <name val="Archon Code 39 Barcode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9" tint="-0.499984740745262"/>
      <name val="Archon Code 39 Barcode"/>
    </font>
    <font>
      <sz val="11"/>
      <color theme="7" tint="-0.249977111117893"/>
      <name val="Calibri"/>
      <family val="2"/>
      <scheme val="minor"/>
    </font>
    <font>
      <sz val="26"/>
      <color theme="7" tint="-0.249977111117893"/>
      <name val="Archon Code 39 Barcode"/>
    </font>
    <font>
      <sz val="11"/>
      <color theme="7" tint="-0.249977111117893"/>
      <name val="Archon Code 39 Barcode"/>
    </font>
    <font>
      <sz val="11"/>
      <color rgb="FFC00000"/>
      <name val="Calibri"/>
      <family val="2"/>
      <scheme val="minor"/>
    </font>
    <font>
      <sz val="26"/>
      <color rgb="FFC00000"/>
      <name val="Archon Code 39 Barcode"/>
    </font>
    <font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44" fontId="0" fillId="3" borderId="15" xfId="0" applyNumberFormat="1" applyFill="1" applyBorder="1"/>
    <xf numFmtId="44" fontId="0" fillId="0" borderId="1" xfId="0" applyNumberFormat="1" applyBorder="1"/>
    <xf numFmtId="0" fontId="0" fillId="3" borderId="5" xfId="0" applyFill="1" applyBorder="1" applyAlignment="1">
      <alignment horizontal="center" vertical="center"/>
    </xf>
    <xf numFmtId="44" fontId="0" fillId="3" borderId="1" xfId="0" applyNumberFormat="1" applyFill="1" applyBorder="1"/>
    <xf numFmtId="0" fontId="0" fillId="0" borderId="13" xfId="0" applyBorder="1" applyAlignment="1">
      <alignment horizontal="center" vertical="center"/>
    </xf>
    <xf numFmtId="44" fontId="0" fillId="3" borderId="14" xfId="0" applyNumberFormat="1" applyFill="1" applyBorder="1"/>
    <xf numFmtId="44" fontId="0" fillId="0" borderId="14" xfId="0" applyNumberFormat="1" applyBorder="1"/>
    <xf numFmtId="0" fontId="0" fillId="0" borderId="19" xfId="0" applyBorder="1" applyAlignment="1">
      <alignment horizontal="center" vertical="center"/>
    </xf>
    <xf numFmtId="44" fontId="0" fillId="0" borderId="20" xfId="0" applyNumberFormat="1" applyBorder="1"/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3" borderId="12" xfId="0" applyFill="1" applyBorder="1"/>
    <xf numFmtId="0" fontId="0" fillId="3" borderId="14" xfId="0" applyFill="1" applyBorder="1"/>
    <xf numFmtId="0" fontId="0" fillId="0" borderId="16" xfId="0" applyBorder="1" applyAlignment="1">
      <alignment wrapText="1"/>
    </xf>
    <xf numFmtId="0" fontId="0" fillId="0" borderId="1" xfId="0" applyBorder="1"/>
    <xf numFmtId="0" fontId="0" fillId="3" borderId="16" xfId="0" applyFill="1" applyBorder="1" applyAlignment="1">
      <alignment wrapText="1"/>
    </xf>
    <xf numFmtId="0" fontId="0" fillId="3" borderId="1" xfId="0" applyFill="1" applyBorder="1"/>
    <xf numFmtId="0" fontId="0" fillId="0" borderId="14" xfId="0" applyBorder="1"/>
    <xf numFmtId="0" fontId="0" fillId="3" borderId="16" xfId="0" applyFill="1" applyBorder="1"/>
    <xf numFmtId="0" fontId="0" fillId="0" borderId="16" xfId="0" applyBorder="1"/>
    <xf numFmtId="0" fontId="0" fillId="3" borderId="17" xfId="0" applyFill="1" applyBorder="1"/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4" fillId="0" borderId="20" xfId="0" applyFont="1" applyBorder="1"/>
    <xf numFmtId="0" fontId="0" fillId="0" borderId="4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0" fillId="0" borderId="0" xfId="0" applyFont="1"/>
    <xf numFmtId="0" fontId="6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2" fillId="0" borderId="0" xfId="0" applyFont="1"/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47">
    <dxf>
      <font>
        <color theme="9" tint="-0.499984740745262"/>
      </font>
    </dxf>
    <dxf>
      <font>
        <color theme="7" tint="-0.24994659260841701"/>
      </font>
    </dxf>
    <dxf>
      <font>
        <color rgb="FFC00000"/>
      </font>
    </dxf>
    <dxf>
      <font>
        <color theme="9" tint="-0.499984740745262"/>
      </font>
    </dxf>
    <dxf>
      <font>
        <color theme="7" tint="-0.24994659260841701"/>
      </font>
    </dxf>
    <dxf>
      <font>
        <color rgb="FFC00000"/>
      </font>
    </dxf>
    <dxf>
      <font>
        <color theme="9" tint="-0.499984740745262"/>
      </font>
    </dxf>
    <dxf>
      <font>
        <color theme="7" tint="-0.24994659260841701"/>
      </font>
    </dxf>
    <dxf>
      <font>
        <color rgb="FFC00000"/>
      </font>
    </dxf>
    <dxf>
      <font>
        <color theme="9" tint="-0.499984740745262"/>
      </font>
    </dxf>
    <dxf>
      <font>
        <color theme="7" tint="-0.24994659260841701"/>
      </font>
    </dxf>
    <dxf>
      <font>
        <color rgb="FFC00000"/>
      </font>
    </dxf>
    <dxf>
      <font>
        <color theme="9" tint="-0.499984740745262"/>
      </font>
    </dxf>
    <dxf>
      <font>
        <color theme="7" tint="-0.24994659260841701"/>
      </font>
    </dxf>
    <dxf>
      <font>
        <color rgb="FFC00000"/>
      </font>
    </dxf>
    <dxf>
      <font>
        <color rgb="FFC00000"/>
      </font>
    </dxf>
    <dxf>
      <font>
        <color theme="7" tint="-0.24994659260841701"/>
      </font>
    </dxf>
    <dxf>
      <font>
        <color theme="9" tint="-0.499984740745262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6"/>
        <color rgb="FFC00000"/>
        <name val="Archon Code 39 Barcode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26"/>
        <color theme="7" tint="-0.249977111117893"/>
        <name val="Archon Code 39 Barcode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26"/>
        <color theme="9" tint="-0.499984740745262"/>
        <name val="Archon Code 39 Barcode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647700</xdr:colOff>
      <xdr:row>9</xdr:row>
      <xdr:rowOff>9525</xdr:rowOff>
    </xdr:from>
    <xdr:to>
      <xdr:col>4</xdr:col>
      <xdr:colOff>438150</xdr:colOff>
      <xdr:row>13</xdr:row>
      <xdr:rowOff>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B7D8082D-4AB2-9D32-9761-E138981EB6F8}"/>
            </a:ext>
          </a:extLst>
        </xdr:cNvPr>
        <xdr:cNvSpPr/>
      </xdr:nvSpPr>
      <xdr:spPr>
        <a:xfrm>
          <a:off x="3886200" y="1724025"/>
          <a:ext cx="3028950" cy="75247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2</xdr:col>
      <xdr:colOff>771525</xdr:colOff>
      <xdr:row>9</xdr:row>
      <xdr:rowOff>85725</xdr:rowOff>
    </xdr:from>
    <xdr:to>
      <xdr:col>4</xdr:col>
      <xdr:colOff>333375</xdr:colOff>
      <xdr:row>12</xdr:row>
      <xdr:rowOff>114300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5C16DDD6-7A54-0D9B-A8AF-98DA8B7DCD43}"/>
            </a:ext>
          </a:extLst>
        </xdr:cNvPr>
        <xdr:cNvSpPr txBox="1"/>
      </xdr:nvSpPr>
      <xdr:spPr>
        <a:xfrm>
          <a:off x="4010025" y="1800225"/>
          <a:ext cx="2800350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NOTA: Solo Se Coloca El Numero De La</a:t>
          </a:r>
          <a:r>
            <a:rPr lang="es-MX" sz="1100" baseline="0"/>
            <a:t> Clave Del Producto En La Columna de ID PRODUCTO</a:t>
          </a:r>
          <a:endParaRPr lang="es-MX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9\Desktop\Programa%20DGSW.xlsm" TargetMode="External"/><Relationship Id="rId1" Type="http://schemas.openxmlformats.org/officeDocument/2006/relationships/externalLinkPath" Target="Programa%20DGS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ductos"/>
      <sheetName val="Movimientos"/>
      <sheetName val="DESINGLASS "/>
      <sheetName val="HOJA MAESTRA"/>
      <sheetName val="Tabla de Precios"/>
      <sheetName val="Tabla CT Precios"/>
      <sheetName val="Conversor de precios "/>
      <sheetName val="Hoja1"/>
      <sheetName val="Hoja para inventario"/>
      <sheetName val="Lista de Precio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K2">
            <v>499.16666731558331</v>
          </cell>
          <cell r="L2">
            <v>900.26400104034326</v>
          </cell>
          <cell r="M2">
            <v>599.00000077870004</v>
          </cell>
        </row>
        <row r="3">
          <cell r="K3">
            <v>1040.8333346864165</v>
          </cell>
          <cell r="L3">
            <v>1768.6640021692629</v>
          </cell>
          <cell r="M3">
            <v>1249.0000016236997</v>
          </cell>
        </row>
        <row r="4">
          <cell r="K4">
            <v>1666.6583354999852</v>
          </cell>
          <cell r="L4">
            <v>2771.9866434735764</v>
          </cell>
          <cell r="M4">
            <v>1999.9900025999823</v>
          </cell>
        </row>
        <row r="5">
          <cell r="K5">
            <v>1666.6583354999893</v>
          </cell>
          <cell r="L5">
            <v>2771.9866434735832</v>
          </cell>
          <cell r="M5">
            <v>1999.9900025999873</v>
          </cell>
        </row>
        <row r="6">
          <cell r="K6">
            <v>458.33333392916671</v>
          </cell>
          <cell r="L6">
            <v>834.80000095524008</v>
          </cell>
          <cell r="M6">
            <v>550.00000071500006</v>
          </cell>
        </row>
        <row r="7">
          <cell r="K7">
            <v>287.29000014364499</v>
          </cell>
          <cell r="L7">
            <v>560.58332823029161</v>
          </cell>
          <cell r="M7">
            <v>344.74800017237396</v>
          </cell>
        </row>
        <row r="8">
          <cell r="K8">
            <v>458.33333379166675</v>
          </cell>
          <cell r="L8">
            <v>834.80000073480016</v>
          </cell>
          <cell r="M8">
            <v>550.0000005500001</v>
          </cell>
        </row>
        <row r="9">
          <cell r="K9">
            <v>517.52000025876009</v>
          </cell>
          <cell r="L9">
            <v>929.68806441484412</v>
          </cell>
          <cell r="M9">
            <v>621.02400031051206</v>
          </cell>
        </row>
        <row r="10">
          <cell r="K10">
            <v>517.52000025876009</v>
          </cell>
          <cell r="L10">
            <v>929.68806441484412</v>
          </cell>
          <cell r="M10">
            <v>1242.0480006210241</v>
          </cell>
        </row>
        <row r="11">
          <cell r="K11">
            <v>417.11000020855499</v>
          </cell>
          <cell r="L11">
            <v>768.71075233435533</v>
          </cell>
          <cell r="M11">
            <v>500.53200025026598</v>
          </cell>
        </row>
        <row r="12">
          <cell r="K12">
            <v>417.11000020855499</v>
          </cell>
          <cell r="L12">
            <v>768.71075233435533</v>
          </cell>
          <cell r="M12">
            <v>500.53200025026598</v>
          </cell>
        </row>
        <row r="13">
          <cell r="K13">
            <v>417.11000020855499</v>
          </cell>
          <cell r="L13">
            <v>768.71075233435533</v>
          </cell>
          <cell r="M13">
            <v>500.53200025026598</v>
          </cell>
        </row>
        <row r="14">
          <cell r="K14">
            <v>417.11000020855499</v>
          </cell>
          <cell r="L14">
            <v>768.71075233435533</v>
          </cell>
          <cell r="M14">
            <v>500.53200025026598</v>
          </cell>
        </row>
        <row r="15">
          <cell r="K15">
            <v>539.51000026975498</v>
          </cell>
          <cell r="L15">
            <v>964.94243243247126</v>
          </cell>
          <cell r="M15">
            <v>647.41200032370602</v>
          </cell>
        </row>
        <row r="16">
          <cell r="K16">
            <v>433.33333333896667</v>
          </cell>
          <cell r="L16">
            <v>794.72000000903142</v>
          </cell>
          <cell r="M16">
            <v>520.00000000676005</v>
          </cell>
        </row>
        <row r="17">
          <cell r="K17">
            <v>433.33333333896667</v>
          </cell>
          <cell r="L17">
            <v>794.72000000903142</v>
          </cell>
          <cell r="M17">
            <v>520.00000000676005</v>
          </cell>
        </row>
        <row r="18">
          <cell r="K18">
            <v>433.33333333896667</v>
          </cell>
          <cell r="L18">
            <v>794.72000000903142</v>
          </cell>
          <cell r="M18">
            <v>520.00000000676005</v>
          </cell>
        </row>
        <row r="19">
          <cell r="K19">
            <v>433.33333333896667</v>
          </cell>
          <cell r="L19">
            <v>794.72000000903142</v>
          </cell>
          <cell r="M19">
            <v>520.00000000676005</v>
          </cell>
        </row>
        <row r="20">
          <cell r="K20">
            <v>565.18000028258984</v>
          </cell>
          <cell r="L20">
            <v>1006.0965764530481</v>
          </cell>
          <cell r="M20">
            <v>678.21600033910784</v>
          </cell>
        </row>
        <row r="21">
          <cell r="K21">
            <v>454.1666672570833</v>
          </cell>
          <cell r="L21">
            <v>828.12000094655605</v>
          </cell>
          <cell r="M21">
            <v>545.00000070850001</v>
          </cell>
        </row>
        <row r="22">
          <cell r="K22">
            <v>454.16666725708353</v>
          </cell>
          <cell r="L22">
            <v>828.12000094655627</v>
          </cell>
          <cell r="M22">
            <v>545.00000070850024</v>
          </cell>
        </row>
        <row r="23">
          <cell r="K23">
            <v>454.16666725708353</v>
          </cell>
          <cell r="L23">
            <v>828.12000094655627</v>
          </cell>
          <cell r="M23">
            <v>545.00000070850024</v>
          </cell>
        </row>
        <row r="24">
          <cell r="K24">
            <v>454.16666725708353</v>
          </cell>
          <cell r="L24">
            <v>828.12000094655627</v>
          </cell>
          <cell r="M24">
            <v>545.00000070850024</v>
          </cell>
        </row>
        <row r="25">
          <cell r="K25">
            <v>483.62500000628711</v>
          </cell>
          <cell r="L25">
            <v>875.34760001007953</v>
          </cell>
          <cell r="M25">
            <v>580.35000000754451</v>
          </cell>
        </row>
        <row r="26">
          <cell r="K26">
            <v>549.90000027495</v>
          </cell>
          <cell r="L26">
            <v>981.59968044079983</v>
          </cell>
          <cell r="M26">
            <v>659.88000032994</v>
          </cell>
        </row>
        <row r="27">
          <cell r="K27">
            <v>158.33333353916666</v>
          </cell>
          <cell r="L27">
            <v>353.84000032999199</v>
          </cell>
          <cell r="M27">
            <v>190.000000247</v>
          </cell>
        </row>
        <row r="28">
          <cell r="K28">
            <v>91.666666785833314</v>
          </cell>
          <cell r="L28">
            <v>246.96000019104798</v>
          </cell>
          <cell r="M28">
            <v>110.00000014299998</v>
          </cell>
        </row>
        <row r="29">
          <cell r="K29">
            <v>625.54166747987074</v>
          </cell>
          <cell r="L29">
            <v>1102.8684013037289</v>
          </cell>
          <cell r="M29">
            <v>750.65000097584493</v>
          </cell>
        </row>
        <row r="30">
          <cell r="K30">
            <v>133.83333350731667</v>
          </cell>
          <cell r="L30">
            <v>314.56160027893009</v>
          </cell>
          <cell r="M30">
            <v>160.60000020877999</v>
          </cell>
        </row>
        <row r="31">
          <cell r="K31">
            <v>134.34000006717</v>
          </cell>
          <cell r="L31">
            <v>315.37388810768692</v>
          </cell>
          <cell r="M31">
            <v>161.20800008060399</v>
          </cell>
        </row>
        <row r="32">
          <cell r="K32">
            <v>541.66666737083335</v>
          </cell>
          <cell r="L32">
            <v>968.40000112892005</v>
          </cell>
          <cell r="M32">
            <v>650.00000084500005</v>
          </cell>
        </row>
        <row r="33">
          <cell r="K33">
            <v>1586.2500007931249</v>
          </cell>
          <cell r="L33">
            <v>2643.0760012715377</v>
          </cell>
          <cell r="M33">
            <v>1903.5000009517498</v>
          </cell>
        </row>
        <row r="34">
          <cell r="K34">
            <v>275.000000003575</v>
          </cell>
          <cell r="L34">
            <v>540.8800000057314</v>
          </cell>
          <cell r="M34">
            <v>330.00000000428997</v>
          </cell>
        </row>
        <row r="35">
          <cell r="K35">
            <v>260.85000013042497</v>
          </cell>
          <cell r="L35">
            <v>518.19472020909734</v>
          </cell>
          <cell r="M35">
            <v>313.02000015650998</v>
          </cell>
        </row>
        <row r="36">
          <cell r="K36">
            <v>100.00000000130001</v>
          </cell>
          <cell r="L36">
            <v>260.32000000208416</v>
          </cell>
          <cell r="M36">
            <v>120.00000000156001</v>
          </cell>
        </row>
        <row r="37">
          <cell r="K37">
            <v>583.33333409166653</v>
          </cell>
          <cell r="L37">
            <v>1035.2000012157598</v>
          </cell>
          <cell r="M37">
            <v>700.00000090999981</v>
          </cell>
        </row>
        <row r="38">
          <cell r="K38">
            <v>625.00000081250005</v>
          </cell>
          <cell r="L38">
            <v>1102.0000013026001</v>
          </cell>
          <cell r="M38">
            <v>750.00000097500003</v>
          </cell>
        </row>
        <row r="39">
          <cell r="K39">
            <v>1083.3333347416667</v>
          </cell>
          <cell r="L39">
            <v>1836.8000022578401</v>
          </cell>
          <cell r="M39">
            <v>1300.0000016900001</v>
          </cell>
        </row>
        <row r="40">
          <cell r="K40">
            <v>625.00000081250005</v>
          </cell>
          <cell r="L40">
            <v>1102.0000013026001</v>
          </cell>
          <cell r="M40">
            <v>750.00000097500003</v>
          </cell>
        </row>
        <row r="41">
          <cell r="K41">
            <v>574.16666741308336</v>
          </cell>
          <cell r="L41">
            <v>1020.5040011966553</v>
          </cell>
          <cell r="M41">
            <v>689.00000089570005</v>
          </cell>
        </row>
        <row r="42">
          <cell r="K42">
            <v>541.66666737083335</v>
          </cell>
          <cell r="L42">
            <v>968.40000112892005</v>
          </cell>
          <cell r="M42">
            <v>650.00000084500005</v>
          </cell>
        </row>
        <row r="43">
          <cell r="K43">
            <v>1069.98000053499</v>
          </cell>
          <cell r="L43">
            <v>1815.3919368576962</v>
          </cell>
          <cell r="M43">
            <v>1283.9760006419881</v>
          </cell>
        </row>
        <row r="44">
          <cell r="K44">
            <v>20383.372035398228</v>
          </cell>
          <cell r="L44">
            <v>32778.622047150435</v>
          </cell>
          <cell r="M44">
            <v>24460.046442477873</v>
          </cell>
        </row>
        <row r="45">
          <cell r="K45">
            <v>0</v>
          </cell>
          <cell r="L45">
            <v>100</v>
          </cell>
          <cell r="M45">
            <v>0</v>
          </cell>
        </row>
        <row r="46">
          <cell r="K46">
            <v>341.87000017093499</v>
          </cell>
          <cell r="L46">
            <v>648.08598427404297</v>
          </cell>
          <cell r="M46">
            <v>410.24400020512201</v>
          </cell>
        </row>
        <row r="47">
          <cell r="K47">
            <v>78.210000000000008</v>
          </cell>
          <cell r="L47">
            <v>225.38627200000002</v>
          </cell>
          <cell r="M47">
            <v>93.852000000000004</v>
          </cell>
        </row>
        <row r="48">
          <cell r="K48">
            <v>587.27000029363501</v>
          </cell>
          <cell r="L48">
            <v>1041.5112644707556</v>
          </cell>
          <cell r="M48">
            <v>704.72400035236205</v>
          </cell>
        </row>
        <row r="49">
          <cell r="K49">
            <v>151.785</v>
          </cell>
          <cell r="L49">
            <v>343.34171200000003</v>
          </cell>
          <cell r="M49">
            <v>182.142</v>
          </cell>
        </row>
        <row r="50">
          <cell r="K50">
            <v>1083.3250014083224</v>
          </cell>
          <cell r="L50">
            <v>1836.7866422578227</v>
          </cell>
          <cell r="M50">
            <v>1299.9900016899869</v>
          </cell>
        </row>
        <row r="51">
          <cell r="K51">
            <v>306.95999999999998</v>
          </cell>
          <cell r="L51">
            <v>592.11827199999993</v>
          </cell>
          <cell r="M51">
            <v>368.35199999999998</v>
          </cell>
        </row>
        <row r="52">
          <cell r="K52">
            <v>600.00000078000005</v>
          </cell>
          <cell r="L52">
            <v>1061.9200012504962</v>
          </cell>
          <cell r="M52">
            <v>720.00000093600011</v>
          </cell>
        </row>
        <row r="53">
          <cell r="K53">
            <v>432.46500000000003</v>
          </cell>
          <cell r="L53">
            <v>793.32788800000014</v>
          </cell>
          <cell r="M53">
            <v>518.95800000000008</v>
          </cell>
        </row>
        <row r="54">
          <cell r="K54">
            <v>2358.3333363991669</v>
          </cell>
          <cell r="L54">
            <v>3880.8800049151441</v>
          </cell>
          <cell r="M54">
            <v>2830.0000036790002</v>
          </cell>
        </row>
        <row r="55">
          <cell r="K55">
            <v>2583.3333366916668</v>
          </cell>
          <cell r="L55">
            <v>4241.6000053840799</v>
          </cell>
          <cell r="M55">
            <v>3100.0000040300001</v>
          </cell>
        </row>
        <row r="56">
          <cell r="K56">
            <v>676.80000033839997</v>
          </cell>
          <cell r="L56">
            <v>1185.0457605425227</v>
          </cell>
          <cell r="M56">
            <v>812.16000040607992</v>
          </cell>
        </row>
        <row r="57">
          <cell r="K57">
            <v>676.80000033839997</v>
          </cell>
          <cell r="L57">
            <v>1185.0457605425227</v>
          </cell>
          <cell r="M57">
            <v>812.16000040607992</v>
          </cell>
        </row>
        <row r="58">
          <cell r="K58">
            <v>3300.0000016500003</v>
          </cell>
          <cell r="L58">
            <v>5390.5600026452812</v>
          </cell>
          <cell r="M58">
            <v>3960.0000019800004</v>
          </cell>
        </row>
        <row r="59">
          <cell r="K59">
            <v>564.56999999999994</v>
          </cell>
          <cell r="L59">
            <v>1005.118624</v>
          </cell>
          <cell r="M59">
            <v>677.48399999999992</v>
          </cell>
        </row>
        <row r="60">
          <cell r="K60">
            <v>410.25641066666662</v>
          </cell>
          <cell r="L60">
            <v>757.7230775807999</v>
          </cell>
          <cell r="M60">
            <v>492.30769279999993</v>
          </cell>
        </row>
        <row r="61">
          <cell r="K61">
            <v>141.27000000000001</v>
          </cell>
          <cell r="L61">
            <v>326.48406399999999</v>
          </cell>
          <cell r="M61">
            <v>169.524</v>
          </cell>
        </row>
        <row r="62">
          <cell r="K62">
            <v>719.45000035972498</v>
          </cell>
          <cell r="L62">
            <v>1253.4222405767111</v>
          </cell>
          <cell r="M62">
            <v>863.34000043166998</v>
          </cell>
        </row>
        <row r="63">
          <cell r="K63">
            <v>476.98500000000001</v>
          </cell>
          <cell r="L63">
            <v>864.70235200000013</v>
          </cell>
          <cell r="M63">
            <v>572.38200000000006</v>
          </cell>
        </row>
        <row r="64">
          <cell r="K64">
            <v>0</v>
          </cell>
          <cell r="L64">
            <v>100</v>
          </cell>
          <cell r="M64">
            <v>0</v>
          </cell>
        </row>
        <row r="65">
          <cell r="K65">
            <v>0</v>
          </cell>
          <cell r="L65">
            <v>100</v>
          </cell>
          <cell r="M65">
            <v>0</v>
          </cell>
        </row>
        <row r="66">
          <cell r="K66">
            <v>408.33333333864169</v>
          </cell>
          <cell r="L66">
            <v>754.64000000851036</v>
          </cell>
          <cell r="M66">
            <v>490.00000000637004</v>
          </cell>
        </row>
        <row r="67">
          <cell r="K67">
            <v>879.4900004397449</v>
          </cell>
          <cell r="L67">
            <v>1509.9983687049992</v>
          </cell>
          <cell r="M67">
            <v>1055.388000527694</v>
          </cell>
        </row>
        <row r="68">
          <cell r="K68">
            <v>421.65668663023553</v>
          </cell>
          <cell r="L68">
            <v>776.00000000559362</v>
          </cell>
          <cell r="M68">
            <v>505.98802395628263</v>
          </cell>
        </row>
        <row r="69">
          <cell r="K69">
            <v>598.78499999999997</v>
          </cell>
          <cell r="L69">
            <v>1059.9721119999999</v>
          </cell>
          <cell r="M69">
            <v>718.54199999999992</v>
          </cell>
        </row>
        <row r="70">
          <cell r="K70">
            <v>208.33333333604165</v>
          </cell>
          <cell r="L70">
            <v>434.00000000434193</v>
          </cell>
          <cell r="M70">
            <v>250.00000000324997</v>
          </cell>
        </row>
        <row r="71">
          <cell r="K71">
            <v>208.33333333604165</v>
          </cell>
          <cell r="L71">
            <v>434.00000000434193</v>
          </cell>
          <cell r="M71">
            <v>250.00000000324997</v>
          </cell>
        </row>
        <row r="72">
          <cell r="K72">
            <v>533.530000266765</v>
          </cell>
          <cell r="L72">
            <v>955.35529642767767</v>
          </cell>
          <cell r="M72">
            <v>640.23600032011802</v>
          </cell>
        </row>
        <row r="73">
          <cell r="K73">
            <v>192</v>
          </cell>
          <cell r="L73">
            <v>407.81439999999998</v>
          </cell>
          <cell r="M73">
            <v>230.4</v>
          </cell>
        </row>
        <row r="74">
          <cell r="K74">
            <v>227.52</v>
          </cell>
          <cell r="L74">
            <v>464.760064</v>
          </cell>
          <cell r="M74">
            <v>273.024</v>
          </cell>
        </row>
        <row r="75">
          <cell r="K75">
            <v>173.73</v>
          </cell>
          <cell r="L75">
            <v>378.52393599999999</v>
          </cell>
          <cell r="M75">
            <v>208.476</v>
          </cell>
        </row>
        <row r="76">
          <cell r="K76">
            <v>500.00000065</v>
          </cell>
          <cell r="L76">
            <v>901.60000104208007</v>
          </cell>
          <cell r="M76">
            <v>600.00000078000005</v>
          </cell>
        </row>
        <row r="77">
          <cell r="K77">
            <v>541.66666737083335</v>
          </cell>
          <cell r="L77">
            <v>968.40000112892005</v>
          </cell>
          <cell r="M77">
            <v>650.00000084500005</v>
          </cell>
        </row>
        <row r="78">
          <cell r="K78">
            <v>678.84615452499997</v>
          </cell>
          <cell r="L78">
            <v>1188.32615493448</v>
          </cell>
          <cell r="M78">
            <v>814.61538542999995</v>
          </cell>
        </row>
        <row r="79">
          <cell r="K79">
            <v>875.61000043780507</v>
          </cell>
          <cell r="L79">
            <v>1503.7779527018893</v>
          </cell>
          <cell r="M79">
            <v>1050.7320005253662</v>
          </cell>
        </row>
        <row r="80">
          <cell r="K80">
            <v>243.58974383333398</v>
          </cell>
          <cell r="L80">
            <v>490.52307731360105</v>
          </cell>
          <cell r="M80">
            <v>292.30769260000079</v>
          </cell>
        </row>
        <row r="81">
          <cell r="K81">
            <v>256.4102566666665</v>
          </cell>
          <cell r="L81">
            <v>511.07692348799975</v>
          </cell>
          <cell r="M81">
            <v>307.6923079999998</v>
          </cell>
        </row>
        <row r="82">
          <cell r="K82">
            <v>605.09999999999991</v>
          </cell>
          <cell r="L82">
            <v>1070.0963199999999</v>
          </cell>
          <cell r="M82">
            <v>726.11999999999989</v>
          </cell>
        </row>
        <row r="83">
          <cell r="K83">
            <v>605.10000030254992</v>
          </cell>
          <cell r="L83">
            <v>1070.0963204850482</v>
          </cell>
          <cell r="M83">
            <v>726.12000036305994</v>
          </cell>
        </row>
        <row r="84">
          <cell r="K84">
            <v>240</v>
          </cell>
          <cell r="L84">
            <v>484.76800000000003</v>
          </cell>
          <cell r="M84">
            <v>288</v>
          </cell>
        </row>
        <row r="85">
          <cell r="K85">
            <v>133.33333350666666</v>
          </cell>
          <cell r="L85">
            <v>313.76000027788803</v>
          </cell>
          <cell r="M85">
            <v>160.00000020799999</v>
          </cell>
        </row>
        <row r="86">
          <cell r="K86">
            <v>96.076923172999983</v>
          </cell>
          <cell r="L86">
            <v>254.03052323095358</v>
          </cell>
          <cell r="M86">
            <v>115.29230780759998</v>
          </cell>
        </row>
        <row r="87">
          <cell r="K87">
            <v>407.69166719666589</v>
          </cell>
          <cell r="L87">
            <v>753.61128084969482</v>
          </cell>
          <cell r="M87">
            <v>489.23000063599909</v>
          </cell>
        </row>
        <row r="88">
          <cell r="K88">
            <v>336.53846187500005</v>
          </cell>
          <cell r="L88">
            <v>639.53846207800007</v>
          </cell>
          <cell r="M88">
            <v>403.84615425000004</v>
          </cell>
        </row>
        <row r="89">
          <cell r="K89">
            <v>527.34000026366994</v>
          </cell>
          <cell r="L89">
            <v>945.43148842271557</v>
          </cell>
          <cell r="M89">
            <v>632.80800031640388</v>
          </cell>
        </row>
        <row r="90">
          <cell r="K90">
            <v>650.00000084499993</v>
          </cell>
          <cell r="L90">
            <v>1142.0800013547041</v>
          </cell>
          <cell r="M90">
            <v>780.00000101399996</v>
          </cell>
        </row>
        <row r="91">
          <cell r="K91">
            <v>263.25</v>
          </cell>
          <cell r="L91">
            <v>522.04240000000004</v>
          </cell>
          <cell r="M91">
            <v>315.89999999999998</v>
          </cell>
        </row>
        <row r="92">
          <cell r="K92">
            <v>1083.3333347416667</v>
          </cell>
          <cell r="L92">
            <v>1836.8000022578401</v>
          </cell>
          <cell r="M92">
            <v>1300.0000016900001</v>
          </cell>
        </row>
        <row r="93">
          <cell r="K93">
            <v>990.13000049506491</v>
          </cell>
          <cell r="L93">
            <v>1687.3764167936879</v>
          </cell>
          <cell r="M93">
            <v>1188.1560005940778</v>
          </cell>
        </row>
        <row r="94">
          <cell r="K94">
            <v>658.33333418916675</v>
          </cell>
          <cell r="L94">
            <v>1155.4400013720719</v>
          </cell>
          <cell r="M94">
            <v>790.00000102700005</v>
          </cell>
        </row>
        <row r="95">
          <cell r="K95">
            <v>428.76</v>
          </cell>
          <cell r="L95">
            <v>787.38803199999995</v>
          </cell>
          <cell r="M95">
            <v>514.51199999999994</v>
          </cell>
        </row>
        <row r="96">
          <cell r="K96">
            <v>746.33000037316492</v>
          </cell>
          <cell r="L96">
            <v>1296.516256598258</v>
          </cell>
          <cell r="M96">
            <v>895.59600044779791</v>
          </cell>
        </row>
        <row r="97">
          <cell r="K97">
            <v>379.16666715958331</v>
          </cell>
          <cell r="L97">
            <v>707.88000079024403</v>
          </cell>
          <cell r="M97">
            <v>455.0000005915</v>
          </cell>
        </row>
        <row r="98">
          <cell r="K98">
            <v>375.06000018753002</v>
          </cell>
          <cell r="L98">
            <v>701.29619230064816</v>
          </cell>
          <cell r="M98">
            <v>450.07200022503605</v>
          </cell>
        </row>
        <row r="99">
          <cell r="K99">
            <v>419.48000020974007</v>
          </cell>
          <cell r="L99">
            <v>772.51033633625525</v>
          </cell>
          <cell r="M99">
            <v>503.37600025168808</v>
          </cell>
        </row>
        <row r="100">
          <cell r="K100">
            <v>201.18000010059001</v>
          </cell>
          <cell r="L100">
            <v>422.53177616126595</v>
          </cell>
          <cell r="M100">
            <v>241.41600012070802</v>
          </cell>
        </row>
        <row r="101">
          <cell r="K101">
            <v>0</v>
          </cell>
          <cell r="L101">
            <v>100</v>
          </cell>
          <cell r="M101">
            <v>0</v>
          </cell>
        </row>
        <row r="102">
          <cell r="K102">
            <v>0</v>
          </cell>
          <cell r="L102">
            <v>100</v>
          </cell>
          <cell r="M102">
            <v>0</v>
          </cell>
        </row>
        <row r="103">
          <cell r="K103">
            <v>1985.28000099264</v>
          </cell>
          <cell r="L103">
            <v>3282.8008975914008</v>
          </cell>
          <cell r="M103">
            <v>2382.3360011911682</v>
          </cell>
        </row>
        <row r="104">
          <cell r="K104">
            <v>0</v>
          </cell>
          <cell r="L104">
            <v>100</v>
          </cell>
          <cell r="M104">
            <v>0</v>
          </cell>
        </row>
        <row r="105">
          <cell r="K105">
            <v>0</v>
          </cell>
          <cell r="L105">
            <v>100</v>
          </cell>
          <cell r="M105">
            <v>0</v>
          </cell>
        </row>
        <row r="106">
          <cell r="K106">
            <v>144.06</v>
          </cell>
          <cell r="L106">
            <v>330.95699200000001</v>
          </cell>
          <cell r="M106">
            <v>172.87200000000001</v>
          </cell>
        </row>
        <row r="107">
          <cell r="K107">
            <v>117.2250001523925</v>
          </cell>
          <cell r="L107">
            <v>287.93512024431567</v>
          </cell>
          <cell r="M107">
            <v>140.67000018287101</v>
          </cell>
        </row>
        <row r="108">
          <cell r="K108">
            <v>437.66000021883002</v>
          </cell>
          <cell r="L108">
            <v>801.65651235082828</v>
          </cell>
          <cell r="M108">
            <v>525.19200026259603</v>
          </cell>
        </row>
        <row r="109">
          <cell r="K109">
            <v>309.85000015492506</v>
          </cell>
          <cell r="L109">
            <v>596.75152024837587</v>
          </cell>
          <cell r="M109">
            <v>371.82000018591009</v>
          </cell>
        </row>
        <row r="110">
          <cell r="K110">
            <v>358.630000179315</v>
          </cell>
          <cell r="L110">
            <v>674.95561628747782</v>
          </cell>
          <cell r="M110">
            <v>430.35600021517803</v>
          </cell>
        </row>
        <row r="111">
          <cell r="K111">
            <v>416.66666720833337</v>
          </cell>
          <cell r="L111">
            <v>768.00000086840009</v>
          </cell>
          <cell r="M111">
            <v>500.00000065000006</v>
          </cell>
        </row>
        <row r="112">
          <cell r="K112">
            <v>375.00000048750002</v>
          </cell>
          <cell r="L112">
            <v>701.20000078155999</v>
          </cell>
          <cell r="M112">
            <v>450.00000058500001</v>
          </cell>
        </row>
        <row r="113">
          <cell r="K113">
            <v>375.00000048750002</v>
          </cell>
          <cell r="L113">
            <v>701.20000078155999</v>
          </cell>
          <cell r="M113">
            <v>450.00000058500001</v>
          </cell>
        </row>
        <row r="114">
          <cell r="K114">
            <v>1749.1666689405836</v>
          </cell>
          <cell r="L114">
            <v>2904.2640036455441</v>
          </cell>
          <cell r="M114">
            <v>2099.0000027287006</v>
          </cell>
        </row>
        <row r="115">
          <cell r="K115">
            <v>2004.6700010023351</v>
          </cell>
          <cell r="L115">
            <v>3313.8869456069433</v>
          </cell>
          <cell r="M115">
            <v>2405.604001202802</v>
          </cell>
        </row>
        <row r="116">
          <cell r="K116">
            <v>2004.6700010023351</v>
          </cell>
          <cell r="L116">
            <v>3313.8869456069433</v>
          </cell>
          <cell r="M116">
            <v>2405.604001202802</v>
          </cell>
        </row>
        <row r="117">
          <cell r="K117">
            <v>2004.6700010023351</v>
          </cell>
          <cell r="L117">
            <v>3313.8869456069433</v>
          </cell>
          <cell r="M117">
            <v>2405.604001202802</v>
          </cell>
        </row>
        <row r="118">
          <cell r="K118">
            <v>10416.670005208336</v>
          </cell>
          <cell r="L118">
            <v>16800.005352350003</v>
          </cell>
          <cell r="M118">
            <v>12500.004006250003</v>
          </cell>
        </row>
        <row r="119">
          <cell r="K119">
            <v>4000.0000052</v>
          </cell>
          <cell r="L119">
            <v>6512.8000083366405</v>
          </cell>
          <cell r="M119">
            <v>4800.0000062400004</v>
          </cell>
        </row>
        <row r="120">
          <cell r="K120">
            <v>183.87500023903749</v>
          </cell>
          <cell r="L120">
            <v>394.78840038322494</v>
          </cell>
          <cell r="M120">
            <v>220.650000286845</v>
          </cell>
        </row>
        <row r="121">
          <cell r="K121">
            <v>283.33333370166667</v>
          </cell>
          <cell r="L121">
            <v>554.24000059051195</v>
          </cell>
          <cell r="M121">
            <v>340.00000044199999</v>
          </cell>
        </row>
        <row r="122">
          <cell r="K122">
            <v>399.77000019988498</v>
          </cell>
          <cell r="L122">
            <v>740.91126432045564</v>
          </cell>
          <cell r="M122">
            <v>479.72400023986199</v>
          </cell>
        </row>
        <row r="123">
          <cell r="K123">
            <v>162.50000008124999</v>
          </cell>
          <cell r="L123">
            <v>360.52000013025997</v>
          </cell>
          <cell r="M123">
            <v>195.00000009749999</v>
          </cell>
        </row>
        <row r="124">
          <cell r="K124">
            <v>306.17000015308503</v>
          </cell>
          <cell r="L124">
            <v>590.85174424542583</v>
          </cell>
          <cell r="M124">
            <v>367.40400018370201</v>
          </cell>
        </row>
        <row r="125">
          <cell r="K125">
            <v>408.33333386416666</v>
          </cell>
          <cell r="L125">
            <v>754.64000085103203</v>
          </cell>
          <cell r="M125">
            <v>490.00000063699997</v>
          </cell>
        </row>
        <row r="126">
          <cell r="K126">
            <v>161.64000000000001</v>
          </cell>
          <cell r="L126">
            <v>359.14124800000002</v>
          </cell>
          <cell r="M126">
            <v>193.96800000000002</v>
          </cell>
        </row>
        <row r="127">
          <cell r="K127">
            <v>375.00000048750002</v>
          </cell>
          <cell r="L127">
            <v>701.20000078155999</v>
          </cell>
          <cell r="M127">
            <v>450.00000058500001</v>
          </cell>
        </row>
        <row r="128">
          <cell r="K128">
            <v>104.17500000000001</v>
          </cell>
          <cell r="L128">
            <v>267.01336000000003</v>
          </cell>
          <cell r="M128">
            <v>125.01000000000002</v>
          </cell>
        </row>
        <row r="129">
          <cell r="K129">
            <v>601.875</v>
          </cell>
          <cell r="L129">
            <v>1064.9259999999999</v>
          </cell>
          <cell r="M129">
            <v>722.25</v>
          </cell>
        </row>
        <row r="130">
          <cell r="K130">
            <v>549</v>
          </cell>
          <cell r="L130">
            <v>980.15679999999998</v>
          </cell>
          <cell r="M130">
            <v>658.8</v>
          </cell>
        </row>
        <row r="131">
          <cell r="K131">
            <v>291.66666704583326</v>
          </cell>
          <cell r="L131">
            <v>567.60000060787991</v>
          </cell>
          <cell r="M131">
            <v>350.00000045499991</v>
          </cell>
        </row>
        <row r="132">
          <cell r="K132">
            <v>750.00000097500003</v>
          </cell>
          <cell r="L132">
            <v>1302.40000156312</v>
          </cell>
          <cell r="M132">
            <v>900.00000117000002</v>
          </cell>
        </row>
        <row r="133">
          <cell r="K133">
            <v>466.6666672733333</v>
          </cell>
          <cell r="L133">
            <v>848.16000097260803</v>
          </cell>
          <cell r="M133">
            <v>560.00000072800003</v>
          </cell>
        </row>
        <row r="134">
          <cell r="K134">
            <v>563.82196721311482</v>
          </cell>
          <cell r="L134">
            <v>1003.9193778360657</v>
          </cell>
          <cell r="M134">
            <v>676.58636065573774</v>
          </cell>
        </row>
        <row r="135">
          <cell r="K135">
            <v>393.07000019653503</v>
          </cell>
          <cell r="L135">
            <v>730.16982431508495</v>
          </cell>
          <cell r="M135">
            <v>471.68400023584206</v>
          </cell>
        </row>
        <row r="136">
          <cell r="K136">
            <v>403.40999999999997</v>
          </cell>
          <cell r="L136">
            <v>746.74691199999995</v>
          </cell>
          <cell r="M136">
            <v>484.09199999999998</v>
          </cell>
        </row>
        <row r="137">
          <cell r="K137">
            <v>277.60500000000002</v>
          </cell>
          <cell r="L137">
            <v>545.0563360000001</v>
          </cell>
          <cell r="M137">
            <v>333.12600000000003</v>
          </cell>
        </row>
        <row r="138">
          <cell r="K138">
            <v>352.56410291666668</v>
          </cell>
          <cell r="L138">
            <v>665.230769796</v>
          </cell>
          <cell r="M138">
            <v>423.07692350000002</v>
          </cell>
        </row>
        <row r="139">
          <cell r="K139">
            <v>348.29000017414501</v>
          </cell>
          <cell r="L139">
            <v>658.37852827918925</v>
          </cell>
          <cell r="M139">
            <v>417.94800020897401</v>
          </cell>
        </row>
        <row r="140">
          <cell r="K140">
            <v>202.51499999999999</v>
          </cell>
          <cell r="L140">
            <v>424.67204799999996</v>
          </cell>
          <cell r="M140">
            <v>243.01799999999997</v>
          </cell>
        </row>
        <row r="141">
          <cell r="K141">
            <v>206.19</v>
          </cell>
          <cell r="L141">
            <v>430.56380799999999</v>
          </cell>
          <cell r="M141">
            <v>247.428</v>
          </cell>
        </row>
        <row r="142">
          <cell r="K142">
            <v>178.36500000000001</v>
          </cell>
          <cell r="L142">
            <v>385.954768</v>
          </cell>
          <cell r="M142">
            <v>214.03800000000001</v>
          </cell>
        </row>
        <row r="143">
          <cell r="K143">
            <v>1025.0000010250001</v>
          </cell>
          <cell r="L143">
            <v>1743.2800016432802</v>
          </cell>
          <cell r="M143">
            <v>1230.0000012300002</v>
          </cell>
        </row>
        <row r="144">
          <cell r="K144">
            <v>26.895</v>
          </cell>
          <cell r="L144">
            <v>143.118064</v>
          </cell>
          <cell r="M144">
            <v>32.274000000000001</v>
          </cell>
        </row>
        <row r="145">
          <cell r="K145">
            <v>1333.3333350666667</v>
          </cell>
          <cell r="L145">
            <v>2237.60000277888</v>
          </cell>
          <cell r="M145">
            <v>1600.0000020800001</v>
          </cell>
        </row>
        <row r="146">
          <cell r="K146">
            <v>249.255</v>
          </cell>
          <cell r="L146">
            <v>499.605616</v>
          </cell>
          <cell r="M146">
            <v>299.10599999999999</v>
          </cell>
        </row>
        <row r="147">
          <cell r="K147">
            <v>605.67000030283498</v>
          </cell>
          <cell r="L147">
            <v>1071.010144485505</v>
          </cell>
          <cell r="M147">
            <v>726.804000363402</v>
          </cell>
        </row>
        <row r="148">
          <cell r="K148">
            <v>8757.8287500000006</v>
          </cell>
          <cell r="L148">
            <v>14140.551052000001</v>
          </cell>
          <cell r="M148">
            <v>10509.3945</v>
          </cell>
        </row>
        <row r="149">
          <cell r="K149">
            <v>9228.911250000001</v>
          </cell>
          <cell r="L149">
            <v>14895.790516000001</v>
          </cell>
          <cell r="M149">
            <v>11074.693500000001</v>
          </cell>
        </row>
        <row r="150">
          <cell r="K150">
            <v>0</v>
          </cell>
          <cell r="L150">
            <v>100</v>
          </cell>
          <cell r="M150">
            <v>0</v>
          </cell>
        </row>
        <row r="151">
          <cell r="K151">
            <v>0</v>
          </cell>
          <cell r="L151">
            <v>100</v>
          </cell>
          <cell r="M151">
            <v>0</v>
          </cell>
        </row>
        <row r="152">
          <cell r="K152">
            <v>7500.0000037499995</v>
          </cell>
          <cell r="L152">
            <v>12124.000006012</v>
          </cell>
          <cell r="M152">
            <v>9000.0000044999997</v>
          </cell>
        </row>
        <row r="153">
          <cell r="K153">
            <v>6161.7000030808504</v>
          </cell>
          <cell r="L153">
            <v>9978.4374449392199</v>
          </cell>
          <cell r="M153">
            <v>7394.0400036970204</v>
          </cell>
        </row>
        <row r="154">
          <cell r="K154">
            <v>6161.7000030808504</v>
          </cell>
          <cell r="L154">
            <v>9978.4374449392199</v>
          </cell>
          <cell r="M154">
            <v>7394.0400036970204</v>
          </cell>
        </row>
        <row r="155">
          <cell r="K155">
            <v>3889.0401241935488</v>
          </cell>
          <cell r="L155">
            <v>6334.9091271070974</v>
          </cell>
          <cell r="M155">
            <v>4666.8481490322583</v>
          </cell>
        </row>
        <row r="156">
          <cell r="K156">
            <v>0</v>
          </cell>
          <cell r="L156">
            <v>100</v>
          </cell>
          <cell r="M156">
            <v>0</v>
          </cell>
        </row>
        <row r="157">
          <cell r="K157">
            <v>5530.65</v>
          </cell>
          <cell r="L157">
            <v>8966.7380799999992</v>
          </cell>
          <cell r="M157">
            <v>6636.78</v>
          </cell>
        </row>
        <row r="158">
          <cell r="K158">
            <v>5566.6652758064511</v>
          </cell>
          <cell r="L158">
            <v>9024.4777701729017</v>
          </cell>
          <cell r="M158">
            <v>6679.9983309677409</v>
          </cell>
        </row>
        <row r="159">
          <cell r="K159">
            <v>5021.3675214238601</v>
          </cell>
          <cell r="L159">
            <v>8150.2564103467321</v>
          </cell>
          <cell r="M159">
            <v>6025.6410257086318</v>
          </cell>
        </row>
        <row r="160">
          <cell r="K160">
            <v>625.16666747938348</v>
          </cell>
          <cell r="L160">
            <v>1102.2672013029476</v>
          </cell>
          <cell r="M160">
            <v>750.2000009752602</v>
          </cell>
        </row>
        <row r="161">
          <cell r="K161">
            <v>829.95833441227933</v>
          </cell>
          <cell r="L161">
            <v>1430.5892017297663</v>
          </cell>
          <cell r="M161">
            <v>995.95000129473522</v>
          </cell>
        </row>
        <row r="162">
          <cell r="K162">
            <v>474.16666728308337</v>
          </cell>
          <cell r="L162">
            <v>860.18400098823918</v>
          </cell>
          <cell r="M162">
            <v>569.0000007397</v>
          </cell>
        </row>
        <row r="163">
          <cell r="K163">
            <v>282.24</v>
          </cell>
          <cell r="L163">
            <v>552.487168</v>
          </cell>
          <cell r="M163">
            <v>338.68799999999999</v>
          </cell>
        </row>
        <row r="164">
          <cell r="K164">
            <v>193.20000000000002</v>
          </cell>
          <cell r="L164">
            <v>409.73824000000002</v>
          </cell>
          <cell r="M164">
            <v>231.84000000000003</v>
          </cell>
        </row>
        <row r="165">
          <cell r="K165">
            <v>153.63</v>
          </cell>
          <cell r="L165">
            <v>346.29961600000001</v>
          </cell>
          <cell r="M165">
            <v>184.35599999999999</v>
          </cell>
        </row>
        <row r="166">
          <cell r="K166">
            <v>933.42000046670989</v>
          </cell>
          <cell r="L166">
            <v>1596.4589447482294</v>
          </cell>
          <cell r="M166">
            <v>1120.1040005600519</v>
          </cell>
        </row>
        <row r="167">
          <cell r="K167">
            <v>88.89</v>
          </cell>
          <cell r="L167">
            <v>242.50844800000002</v>
          </cell>
          <cell r="M167">
            <v>106.66800000000001</v>
          </cell>
        </row>
        <row r="168">
          <cell r="K168">
            <v>259.5</v>
          </cell>
          <cell r="L168">
            <v>516.03039999999999</v>
          </cell>
          <cell r="M168">
            <v>311.39999999999998</v>
          </cell>
        </row>
        <row r="169">
          <cell r="K169">
            <v>479.40000023969992</v>
          </cell>
          <cell r="L169">
            <v>868.57408038428696</v>
          </cell>
          <cell r="M169">
            <v>575.28000028763995</v>
          </cell>
        </row>
        <row r="170">
          <cell r="K170">
            <v>329.21999999999997</v>
          </cell>
          <cell r="L170">
            <v>627.80550399999993</v>
          </cell>
          <cell r="M170">
            <v>395.06399999999996</v>
          </cell>
        </row>
        <row r="171">
          <cell r="K171">
            <v>1199.630000599815</v>
          </cell>
          <cell r="L171">
            <v>2023.2468169616234</v>
          </cell>
          <cell r="M171">
            <v>1439.556000719778</v>
          </cell>
        </row>
        <row r="172">
          <cell r="K172">
            <v>259.04999999999995</v>
          </cell>
          <cell r="L172">
            <v>515.30895999999996</v>
          </cell>
          <cell r="M172">
            <v>310.85999999999996</v>
          </cell>
        </row>
        <row r="173">
          <cell r="K173">
            <v>763.16000038157995</v>
          </cell>
          <cell r="L173">
            <v>1323.4981126117491</v>
          </cell>
          <cell r="M173">
            <v>915.79200045789594</v>
          </cell>
        </row>
        <row r="174">
          <cell r="K174">
            <v>5186.0400025930194</v>
          </cell>
          <cell r="L174">
            <v>8414.2593321571294</v>
          </cell>
          <cell r="M174">
            <v>6223.2480031116229</v>
          </cell>
        </row>
        <row r="175">
          <cell r="K175">
            <v>3300.0000016500003</v>
          </cell>
          <cell r="L175">
            <v>5390.5600026452812</v>
          </cell>
          <cell r="M175">
            <v>3960.0000019800004</v>
          </cell>
        </row>
        <row r="176">
          <cell r="K176">
            <v>0</v>
          </cell>
          <cell r="L176">
            <v>100</v>
          </cell>
          <cell r="M176">
            <v>0</v>
          </cell>
        </row>
        <row r="177">
          <cell r="K177">
            <v>2550.5000012752498</v>
          </cell>
          <cell r="L177">
            <v>4188.961602044481</v>
          </cell>
          <cell r="M177">
            <v>3060.6000015302998</v>
          </cell>
        </row>
        <row r="178">
          <cell r="K178">
            <v>0</v>
          </cell>
          <cell r="L178">
            <v>100</v>
          </cell>
          <cell r="M178">
            <v>0</v>
          </cell>
        </row>
        <row r="179">
          <cell r="K179">
            <v>840</v>
          </cell>
          <cell r="L179">
            <v>1446.6880000000001</v>
          </cell>
          <cell r="M179">
            <v>1008</v>
          </cell>
        </row>
        <row r="180">
          <cell r="K180">
            <v>788.16000000000008</v>
          </cell>
          <cell r="L180">
            <v>1363.5781120000001</v>
          </cell>
          <cell r="M180">
            <v>945.79200000000014</v>
          </cell>
        </row>
        <row r="181">
          <cell r="K181">
            <v>1485</v>
          </cell>
          <cell r="L181">
            <v>2480.752</v>
          </cell>
          <cell r="M181">
            <v>1782</v>
          </cell>
        </row>
        <row r="182">
          <cell r="K182">
            <v>900</v>
          </cell>
          <cell r="L182">
            <v>1542.88</v>
          </cell>
          <cell r="M182">
            <v>1080</v>
          </cell>
        </row>
        <row r="183">
          <cell r="K183">
            <v>2880.54</v>
          </cell>
          <cell r="L183">
            <v>4718.0817280000001</v>
          </cell>
          <cell r="M183">
            <v>3456.6480000000001</v>
          </cell>
        </row>
        <row r="184">
          <cell r="K184">
            <v>0</v>
          </cell>
          <cell r="L184">
            <v>100</v>
          </cell>
          <cell r="M184">
            <v>0</v>
          </cell>
        </row>
        <row r="185">
          <cell r="K185">
            <v>373.5</v>
          </cell>
          <cell r="L185">
            <v>698.79520000000002</v>
          </cell>
          <cell r="M185">
            <v>448.2</v>
          </cell>
        </row>
        <row r="186">
          <cell r="K186">
            <v>373.5</v>
          </cell>
          <cell r="L186">
            <v>698.79520000000002</v>
          </cell>
          <cell r="M186">
            <v>448.2</v>
          </cell>
        </row>
        <row r="187">
          <cell r="K187">
            <v>45449.80619469026</v>
          </cell>
          <cell r="L187">
            <v>72965.129291327423</v>
          </cell>
          <cell r="M187">
            <v>54539.767433628309</v>
          </cell>
        </row>
        <row r="188">
          <cell r="K188">
            <v>2711.5950000000003</v>
          </cell>
          <cell r="L188">
            <v>4447.229104</v>
          </cell>
          <cell r="M188">
            <v>3253.9140000000002</v>
          </cell>
        </row>
        <row r="189">
          <cell r="K189">
            <v>558.27</v>
          </cell>
          <cell r="L189">
            <v>995.01846399999999</v>
          </cell>
          <cell r="M189">
            <v>669.92399999999998</v>
          </cell>
        </row>
        <row r="190">
          <cell r="K190">
            <v>0</v>
          </cell>
          <cell r="L190">
            <v>100</v>
          </cell>
          <cell r="M190">
            <v>0</v>
          </cell>
        </row>
        <row r="191">
          <cell r="K191">
            <v>750</v>
          </cell>
          <cell r="L191">
            <v>1302.4000000000001</v>
          </cell>
          <cell r="M191">
            <v>900</v>
          </cell>
        </row>
        <row r="192">
          <cell r="K192">
            <v>316.5</v>
          </cell>
          <cell r="L192">
            <v>607.41280000000006</v>
          </cell>
          <cell r="M192">
            <v>379.8</v>
          </cell>
        </row>
        <row r="193">
          <cell r="K193">
            <v>430.5</v>
          </cell>
          <cell r="L193">
            <v>790.17759999999998</v>
          </cell>
          <cell r="M193">
            <v>516.6</v>
          </cell>
        </row>
        <row r="194">
          <cell r="K194">
            <v>1200</v>
          </cell>
          <cell r="L194">
            <v>2023.8400000000001</v>
          </cell>
          <cell r="M194">
            <v>1440</v>
          </cell>
        </row>
        <row r="195">
          <cell r="K195">
            <v>2242.5</v>
          </cell>
          <cell r="L195">
            <v>3695.1759999999999</v>
          </cell>
          <cell r="M195">
            <v>2691</v>
          </cell>
        </row>
        <row r="196">
          <cell r="K196">
            <v>2595</v>
          </cell>
          <cell r="L196">
            <v>4260.3040000000001</v>
          </cell>
          <cell r="M196">
            <v>3114</v>
          </cell>
        </row>
        <row r="197">
          <cell r="K197">
            <v>270</v>
          </cell>
          <cell r="L197">
            <v>532.86400000000003</v>
          </cell>
          <cell r="M197">
            <v>324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DCFF85-CC13-410B-8254-1A25B396B5E6}" name="Catalogo" displayName="Catalogo" ref="A1:I202" totalsRowShown="0" headerRowDxfId="46" dataDxfId="44" headerRowBorderDxfId="45" tableBorderDxfId="43" totalsRowBorderDxfId="42">
  <autoFilter ref="A1:I202" xr:uid="{35DCFF85-CC13-410B-8254-1A25B396B5E6}"/>
  <tableColumns count="9">
    <tableColumn id="1" xr3:uid="{1A11EACE-4DAB-42E2-A543-E61AD91925DF}" name="ID" dataDxfId="41">
      <calculatedColumnFormula>ROW(A1)</calculatedColumnFormula>
    </tableColumn>
    <tableColumn id="2" xr3:uid="{9E2098AF-5820-4EF2-BD2B-7D552128F8CD}" name="Produto" dataDxfId="40">
      <calculatedColumnFormula>PRODUCTOS!A2</calculatedColumnFormula>
    </tableColumn>
    <tableColumn id="3" xr3:uid="{48AD12E7-02B8-4763-A797-CFA97FE6FCE6}" name="Clave " dataDxfId="39">
      <calculatedColumnFormula>PRODUCTOS!C2</calculatedColumnFormula>
    </tableColumn>
    <tableColumn id="6" xr3:uid="{DD7D9159-01F2-494B-945F-BA00D2310945}" name="Estado NUEVO" dataDxfId="38"/>
    <tableColumn id="8" xr3:uid="{FCACE98B-BBB5-4F66-A3E7-789E68F0CC21}" name="Estado REPARADO" dataDxfId="37"/>
    <tableColumn id="7" xr3:uid="{13C2D238-0B4D-404D-9E53-9FE4DBAE8E78}" name="Estado REFACCION" dataDxfId="36"/>
    <tableColumn id="4" xr3:uid="{6BA31CC2-0843-4133-958E-E9B8AC333E54}" name="Codigo de Barras NUEVO" dataDxfId="35">
      <calculatedColumnFormula>"*" &amp; Catalogo[[#This Row],[Clave ]] &amp; "-" &amp; Catalogo[[#This Row],[Estado NUEVO]] &amp; "*"</calculatedColumnFormula>
    </tableColumn>
    <tableColumn id="9" xr3:uid="{5087FFBD-759D-4470-B15E-664FAFADEF48}" name="Codigo de Barras RESTAURADO" dataDxfId="34">
      <calculatedColumnFormula>"*" &amp; Catalogo[[#This Row],[Clave ]] &amp; "-" &amp; Catalogo[[#This Row],[Estado REPARADO]] &amp; "*"</calculatedColumnFormula>
    </tableColumn>
    <tableColumn id="10" xr3:uid="{712AE261-01A1-44EE-929D-D95D6C48880C}" name="Codigo de Barras REFACCION" dataDxfId="33">
      <calculatedColumnFormula>"*" &amp; Catalogo[[#This Row],[Clave ]] &amp; "-" &amp; Catalogo[[#This Row],[Estado REFACCION]] &amp; "*"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BC6AB-B921-485E-9F3C-8172FA8085F5}" name="Etiquetador" displayName="Etiquetador" ref="A1:D7" totalsRowShown="0" headerRowDxfId="32" dataDxfId="30" headerRowBorderDxfId="31" tableBorderDxfId="29" totalsRowBorderDxfId="28">
  <autoFilter ref="A1:D7" xr:uid="{97EBC6AB-B921-485E-9F3C-8172FA8085F5}"/>
  <tableColumns count="4">
    <tableColumn id="1" xr3:uid="{1D333473-CC92-4370-825F-3C9AC1EA706F}" name="POSISION" dataDxfId="27"/>
    <tableColumn id="2" xr3:uid="{EF337170-61A0-49B3-A81A-4A7DEDDD4B13}" name="ID PRODUCTO" dataDxfId="26"/>
    <tableColumn id="3" xr3:uid="{0BCCC4AA-8D57-4BA6-929F-2EB3DA974ECC}" name="ESTADO" dataDxfId="25"/>
    <tableColumn id="4" xr3:uid="{C883637B-C324-4882-84CE-A17EDFFD3830}" name="CANTIDAD" dataDxfId="2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EB0F9-430C-4F75-A8E5-63874622C1B5}">
  <sheetPr codeName="Hoja1">
    <tabColor theme="9"/>
  </sheetPr>
  <dimension ref="A1:I202"/>
  <sheetViews>
    <sheetView zoomScale="160" zoomScaleNormal="160" workbookViewId="0">
      <selection activeCell="B3" sqref="B3"/>
    </sheetView>
  </sheetViews>
  <sheetFormatPr baseColWidth="10" defaultRowHeight="32.25" x14ac:dyDescent="0.25"/>
  <cols>
    <col min="1" max="1" width="11.42578125" style="8"/>
    <col min="2" max="2" width="46.7109375" style="27" customWidth="1"/>
    <col min="3" max="3" width="11.140625" style="8" customWidth="1"/>
    <col min="4" max="4" width="2.5703125" style="8" hidden="1" customWidth="1"/>
    <col min="5" max="5" width="4.5703125" style="8" hidden="1" customWidth="1"/>
    <col min="6" max="6" width="6" style="8" hidden="1" customWidth="1"/>
    <col min="7" max="7" width="27.5703125" style="52" bestFit="1" customWidth="1"/>
    <col min="8" max="8" width="29.42578125" style="48" bestFit="1" customWidth="1"/>
    <col min="9" max="9" width="29.5703125" style="51" bestFit="1" customWidth="1"/>
  </cols>
  <sheetData>
    <row r="1" spans="1:9" ht="29.25" customHeight="1" x14ac:dyDescent="0.25">
      <c r="A1" s="1" t="s">
        <v>0</v>
      </c>
      <c r="B1" s="26" t="s">
        <v>1</v>
      </c>
      <c r="C1" s="2" t="s">
        <v>2</v>
      </c>
      <c r="D1" s="42" t="s">
        <v>491</v>
      </c>
      <c r="E1" s="42" t="s">
        <v>492</v>
      </c>
      <c r="F1" s="42" t="s">
        <v>493</v>
      </c>
      <c r="G1" s="54" t="s">
        <v>494</v>
      </c>
      <c r="H1" s="53" t="s">
        <v>497</v>
      </c>
      <c r="I1" s="53" t="s">
        <v>496</v>
      </c>
    </row>
    <row r="2" spans="1:9" x14ac:dyDescent="0.25">
      <c r="A2" s="4">
        <f t="shared" ref="A2" si="0">ROW(A1)</f>
        <v>1</v>
      </c>
      <c r="B2" s="25"/>
      <c r="C2" s="5">
        <f>PRODUCTOS!C2</f>
        <v>0</v>
      </c>
      <c r="D2" s="10">
        <v>0</v>
      </c>
      <c r="E2" s="10">
        <v>1</v>
      </c>
      <c r="F2" s="10">
        <v>2</v>
      </c>
      <c r="G2" s="44" t="str">
        <f>"*" &amp; Catalogo[[#This Row],[Clave ]] &amp; "-" &amp; Catalogo[[#This Row],[Estado NUEVO]] &amp; "*"</f>
        <v>*0-0*</v>
      </c>
      <c r="H2" s="46" t="str">
        <f>"*" &amp; Catalogo[[#This Row],[Clave ]] &amp; "-" &amp; Catalogo[[#This Row],[Estado REPARADO]] &amp; "*"</f>
        <v>*0-1*</v>
      </c>
      <c r="I2" s="49" t="str">
        <f>"*" &amp; Catalogo[[#This Row],[Clave ]] &amp; "-" &amp; Catalogo[[#This Row],[Estado REFACCION]] &amp; "*"</f>
        <v>*0-2*</v>
      </c>
    </row>
    <row r="3" spans="1:9" x14ac:dyDescent="0.25">
      <c r="A3" s="6">
        <f>ROW(A2)</f>
        <v>2</v>
      </c>
      <c r="B3" s="24" t="str">
        <f>PRODUCTOS!A3</f>
        <v>ALARMAS</v>
      </c>
      <c r="C3" s="7" t="str">
        <f>PRODUCTOS!C3</f>
        <v>DGSW002</v>
      </c>
      <c r="D3" s="11">
        <v>0</v>
      </c>
      <c r="E3" s="11">
        <v>1</v>
      </c>
      <c r="F3" s="11">
        <v>2</v>
      </c>
      <c r="G3" s="45" t="str">
        <f>"*" &amp; Catalogo[[#This Row],[Clave ]] &amp; "-" &amp; Catalogo[[#This Row],[Estado NUEVO]] &amp; "*"</f>
        <v>*DGSW002-0*</v>
      </c>
      <c r="H3" s="47" t="str">
        <f>"*" &amp; Catalogo[[#This Row],[Clave ]] &amp; "-" &amp; Catalogo[[#This Row],[Estado REPARADO]] &amp; "*"</f>
        <v>*DGSW002-1*</v>
      </c>
      <c r="I3" s="50" t="str">
        <f>"*" &amp; Catalogo[[#This Row],[Clave ]] &amp; "-" &amp; Catalogo[[#This Row],[Estado REFACCION]] &amp; "*"</f>
        <v>*DGSW002-2*</v>
      </c>
    </row>
    <row r="4" spans="1:9" x14ac:dyDescent="0.25">
      <c r="A4" s="6">
        <f t="shared" ref="A4:A12" si="1">ROW(A3)</f>
        <v>3</v>
      </c>
      <c r="B4" s="24" t="str">
        <f>PRODUCTOS!A4</f>
        <v>ALEXA</v>
      </c>
      <c r="C4" s="7" t="str">
        <f>PRODUCTOS!C4</f>
        <v>DGSW003</v>
      </c>
      <c r="D4" s="11">
        <v>0</v>
      </c>
      <c r="E4" s="11">
        <v>1</v>
      </c>
      <c r="F4" s="11">
        <v>2</v>
      </c>
      <c r="G4" s="45" t="str">
        <f>"*" &amp; Catalogo[[#This Row],[Clave ]] &amp; "-" &amp; Catalogo[[#This Row],[Estado NUEVO]] &amp; "*"</f>
        <v>*DGSW003-0*</v>
      </c>
      <c r="H4" s="47" t="str">
        <f>"*" &amp; Catalogo[[#This Row],[Clave ]] &amp; "-" &amp; Catalogo[[#This Row],[Estado REPARADO]] &amp; "*"</f>
        <v>*DGSW003-1*</v>
      </c>
      <c r="I4" s="50" t="str">
        <f>"*" &amp; Catalogo[[#This Row],[Clave ]] &amp; "-" &amp; Catalogo[[#This Row],[Estado REFACCION]] &amp; "*"</f>
        <v>*DGSW003-2*</v>
      </c>
    </row>
    <row r="5" spans="1:9" x14ac:dyDescent="0.25">
      <c r="A5" s="6">
        <f t="shared" si="1"/>
        <v>4</v>
      </c>
      <c r="B5" s="24" t="str">
        <f>PRODUCTOS!A5</f>
        <v>ALEXA BOLITA BLANCA</v>
      </c>
      <c r="C5" s="7" t="str">
        <f>PRODUCTOS!C5</f>
        <v>DGSW004</v>
      </c>
      <c r="D5" s="11">
        <v>0</v>
      </c>
      <c r="E5" s="11">
        <v>1</v>
      </c>
      <c r="F5" s="11">
        <v>2</v>
      </c>
      <c r="G5" s="45" t="str">
        <f>"*" &amp; Catalogo[[#This Row],[Clave ]] &amp; "-" &amp; Catalogo[[#This Row],[Estado NUEVO]] &amp; "*"</f>
        <v>*DGSW004-0*</v>
      </c>
      <c r="H5" s="47" t="str">
        <f>"*" &amp; Catalogo[[#This Row],[Clave ]] &amp; "-" &amp; Catalogo[[#This Row],[Estado REPARADO]] &amp; "*"</f>
        <v>*DGSW004-1*</v>
      </c>
      <c r="I5" s="50" t="str">
        <f>"*" &amp; Catalogo[[#This Row],[Clave ]] &amp; "-" &amp; Catalogo[[#This Row],[Estado REFACCION]] &amp; "*"</f>
        <v>*DGSW004-2*</v>
      </c>
    </row>
    <row r="6" spans="1:9" x14ac:dyDescent="0.25">
      <c r="A6" s="6">
        <f t="shared" si="1"/>
        <v>5</v>
      </c>
      <c r="B6" s="24" t="str">
        <f>PRODUCTOS!A6</f>
        <v>ALEXA BOLITA NEGRA</v>
      </c>
      <c r="C6" s="7" t="str">
        <f>PRODUCTOS!C6</f>
        <v>DGSW005</v>
      </c>
      <c r="D6" s="11">
        <v>0</v>
      </c>
      <c r="E6" s="11">
        <v>1</v>
      </c>
      <c r="F6" s="11">
        <v>2</v>
      </c>
      <c r="G6" s="45" t="str">
        <f>"*" &amp; Catalogo[[#This Row],[Clave ]] &amp; "-" &amp; Catalogo[[#This Row],[Estado NUEVO]] &amp; "*"</f>
        <v>*DGSW005-0*</v>
      </c>
      <c r="H6" s="47" t="str">
        <f>"*" &amp; Catalogo[[#This Row],[Clave ]] &amp; "-" &amp; Catalogo[[#This Row],[Estado REPARADO]] &amp; "*"</f>
        <v>*DGSW005-1*</v>
      </c>
      <c r="I6" s="50" t="str">
        <f>"*" &amp; Catalogo[[#This Row],[Clave ]] &amp; "-" &amp; Catalogo[[#This Row],[Estado REFACCION]] &amp; "*"</f>
        <v>*DGSW005-2*</v>
      </c>
    </row>
    <row r="7" spans="1:9" x14ac:dyDescent="0.25">
      <c r="A7" s="6">
        <f t="shared" si="1"/>
        <v>6</v>
      </c>
      <c r="B7" s="24" t="str">
        <f>PRODUCTOS!A7</f>
        <v>APAGADOR BLANCO BOTONES AZULES PLACA DE CRISTAL</v>
      </c>
      <c r="C7" s="7" t="str">
        <f>PRODUCTOS!C7</f>
        <v>DGSW006</v>
      </c>
      <c r="D7" s="11">
        <v>0</v>
      </c>
      <c r="E7" s="11">
        <v>1</v>
      </c>
      <c r="F7" s="11">
        <v>2</v>
      </c>
      <c r="G7" s="45" t="str">
        <f>"*" &amp; Catalogo[[#This Row],[Clave ]] &amp; "-" &amp; Catalogo[[#This Row],[Estado NUEVO]] &amp; "*"</f>
        <v>*DGSW006-0*</v>
      </c>
      <c r="H7" s="47" t="str">
        <f>"*" &amp; Catalogo[[#This Row],[Clave ]] &amp; "-" &amp; Catalogo[[#This Row],[Estado REPARADO]] &amp; "*"</f>
        <v>*DGSW006-1*</v>
      </c>
      <c r="I7" s="50" t="str">
        <f>"*" &amp; Catalogo[[#This Row],[Clave ]] &amp; "-" &amp; Catalogo[[#This Row],[Estado REFACCION]] &amp; "*"</f>
        <v>*DGSW006-2*</v>
      </c>
    </row>
    <row r="8" spans="1:9" x14ac:dyDescent="0.25">
      <c r="A8" s="6">
        <f t="shared" si="1"/>
        <v>7</v>
      </c>
      <c r="B8" s="24" t="str">
        <f>PRODUCTOS!A8</f>
        <v>APAGADOR BROADLINK MCB1</v>
      </c>
      <c r="C8" s="7" t="str">
        <f>PRODUCTOS!C8</f>
        <v>DGSW007</v>
      </c>
      <c r="D8" s="11">
        <v>0</v>
      </c>
      <c r="E8" s="11">
        <v>1</v>
      </c>
      <c r="F8" s="11">
        <v>2</v>
      </c>
      <c r="G8" s="45" t="str">
        <f>"*" &amp; Catalogo[[#This Row],[Clave ]] &amp; "-" &amp; Catalogo[[#This Row],[Estado NUEVO]] &amp; "*"</f>
        <v>*DGSW007-0*</v>
      </c>
      <c r="H8" s="47" t="str">
        <f>"*" &amp; Catalogo[[#This Row],[Clave ]] &amp; "-" &amp; Catalogo[[#This Row],[Estado REPARADO]] &amp; "*"</f>
        <v>*DGSW007-1*</v>
      </c>
      <c r="I8" s="50" t="str">
        <f>"*" &amp; Catalogo[[#This Row],[Clave ]] &amp; "-" &amp; Catalogo[[#This Row],[Estado REFACCION]] &amp; "*"</f>
        <v>*DGSW007-2*</v>
      </c>
    </row>
    <row r="9" spans="1:9" x14ac:dyDescent="0.25">
      <c r="A9" s="6">
        <f t="shared" si="1"/>
        <v>8</v>
      </c>
      <c r="B9" s="24" t="str">
        <f>PRODUCTOS!A9</f>
        <v>APAGADOR WIFI 1 CANAL (Caja Azul)</v>
      </c>
      <c r="C9" s="7" t="str">
        <f>PRODUCTOS!C9</f>
        <v>DGSW008</v>
      </c>
      <c r="D9" s="11">
        <v>0</v>
      </c>
      <c r="E9" s="11">
        <v>1</v>
      </c>
      <c r="F9" s="11">
        <v>2</v>
      </c>
      <c r="G9" s="45" t="str">
        <f>"*" &amp; Catalogo[[#This Row],[Clave ]] &amp; "-" &amp; Catalogo[[#This Row],[Estado NUEVO]] &amp; "*"</f>
        <v>*DGSW008-0*</v>
      </c>
      <c r="H9" s="47" t="str">
        <f>"*" &amp; Catalogo[[#This Row],[Clave ]] &amp; "-" &amp; Catalogo[[#This Row],[Estado REPARADO]] &amp; "*"</f>
        <v>*DGSW008-1*</v>
      </c>
      <c r="I9" s="50" t="str">
        <f>"*" &amp; Catalogo[[#This Row],[Clave ]] &amp; "-" &amp; Catalogo[[#This Row],[Estado REFACCION]] &amp; "*"</f>
        <v>*DGSW008-2*</v>
      </c>
    </row>
    <row r="10" spans="1:9" x14ac:dyDescent="0.25">
      <c r="A10" s="6">
        <f t="shared" si="1"/>
        <v>9</v>
      </c>
      <c r="B10" s="24" t="str">
        <f>PRODUCTOS!A10</f>
        <v>APAGADOR WI-FI + RADIO FRECUENCIA DE 1 APAGADOR</v>
      </c>
      <c r="C10" s="7" t="str">
        <f>PRODUCTOS!C10</f>
        <v>DGSW009</v>
      </c>
      <c r="D10" s="11">
        <v>0</v>
      </c>
      <c r="E10" s="11">
        <v>1</v>
      </c>
      <c r="F10" s="11">
        <v>2</v>
      </c>
      <c r="G10" s="45" t="str">
        <f>"*" &amp; Catalogo[[#This Row],[Clave ]] &amp; "-" &amp; Catalogo[[#This Row],[Estado NUEVO]] &amp; "*"</f>
        <v>*DGSW009-0*</v>
      </c>
      <c r="H10" s="47" t="str">
        <f>"*" &amp; Catalogo[[#This Row],[Clave ]] &amp; "-" &amp; Catalogo[[#This Row],[Estado REPARADO]] &amp; "*"</f>
        <v>*DGSW009-1*</v>
      </c>
      <c r="I10" s="50" t="str">
        <f>"*" &amp; Catalogo[[#This Row],[Clave ]] &amp; "-" &amp; Catalogo[[#This Row],[Estado REFACCION]] &amp; "*"</f>
        <v>*DGSW009-2*</v>
      </c>
    </row>
    <row r="11" spans="1:9" x14ac:dyDescent="0.25">
      <c r="A11" s="6">
        <f t="shared" si="1"/>
        <v>10</v>
      </c>
      <c r="B11" s="24" t="str">
        <f>PRODUCTOS!A11</f>
        <v>APAGADOR WIFI DE 1 APAGADOR</v>
      </c>
      <c r="C11" s="7" t="str">
        <f>PRODUCTOS!C11</f>
        <v>DGSW010</v>
      </c>
      <c r="D11" s="11">
        <v>0</v>
      </c>
      <c r="E11" s="11">
        <v>1</v>
      </c>
      <c r="F11" s="11">
        <v>2</v>
      </c>
      <c r="G11" s="45" t="str">
        <f>"*" &amp; Catalogo[[#This Row],[Clave ]] &amp; "-" &amp; Catalogo[[#This Row],[Estado NUEVO]] &amp; "*"</f>
        <v>*DGSW010-0*</v>
      </c>
      <c r="H11" s="47" t="str">
        <f>"*" &amp; Catalogo[[#This Row],[Clave ]] &amp; "-" &amp; Catalogo[[#This Row],[Estado REPARADO]] &amp; "*"</f>
        <v>*DGSW010-1*</v>
      </c>
      <c r="I11" s="50" t="str">
        <f>"*" &amp; Catalogo[[#This Row],[Clave ]] &amp; "-" &amp; Catalogo[[#This Row],[Estado REFACCION]] &amp; "*"</f>
        <v>*DGSW010-2*</v>
      </c>
    </row>
    <row r="12" spans="1:9" x14ac:dyDescent="0.25">
      <c r="A12" s="6">
        <f t="shared" si="1"/>
        <v>11</v>
      </c>
      <c r="B12" s="24" t="str">
        <f>PRODUCTOS!A12</f>
        <v>APAGADOR ZIGBEE BLANCO CON MARCO PLACA CRISTAL DE 1 APAGADOR</v>
      </c>
      <c r="C12" s="7" t="str">
        <f>PRODUCTOS!C12</f>
        <v>DGSW011</v>
      </c>
      <c r="D12" s="11">
        <v>0</v>
      </c>
      <c r="E12" s="11">
        <v>1</v>
      </c>
      <c r="F12" s="11">
        <v>2</v>
      </c>
      <c r="G12" s="45" t="str">
        <f>"*" &amp; Catalogo[[#This Row],[Clave ]] &amp; "-" &amp; Catalogo[[#This Row],[Estado NUEVO]] &amp; "*"</f>
        <v>*DGSW011-0*</v>
      </c>
      <c r="H12" s="47" t="str">
        <f>"*" &amp; Catalogo[[#This Row],[Clave ]] &amp; "-" &amp; Catalogo[[#This Row],[Estado REPARADO]] &amp; "*"</f>
        <v>*DGSW011-1*</v>
      </c>
      <c r="I12" s="50" t="str">
        <f>"*" &amp; Catalogo[[#This Row],[Clave ]] &amp; "-" &amp; Catalogo[[#This Row],[Estado REFACCION]] &amp; "*"</f>
        <v>*DGSW011-2*</v>
      </c>
    </row>
    <row r="13" spans="1:9" x14ac:dyDescent="0.25">
      <c r="A13" s="6">
        <f t="shared" ref="A13:A44" si="2">ROW(A12)</f>
        <v>12</v>
      </c>
      <c r="B13" s="24" t="str">
        <f>PRODUCTOS!A13</f>
        <v>APAGADOR ZIGBEE NEGRO CON MARCO PLACA CRISTAL DE 1 APAGADO</v>
      </c>
      <c r="C13" s="7" t="str">
        <f>PRODUCTOS!C13</f>
        <v>DGSW012</v>
      </c>
      <c r="D13" s="11">
        <v>0</v>
      </c>
      <c r="E13" s="11">
        <v>1</v>
      </c>
      <c r="F13" s="11">
        <v>2</v>
      </c>
      <c r="G13" s="45" t="str">
        <f>"*" &amp; Catalogo[[#This Row],[Clave ]] &amp; "-" &amp; Catalogo[[#This Row],[Estado NUEVO]] &amp; "*"</f>
        <v>*DGSW012-0*</v>
      </c>
      <c r="H13" s="47" t="str">
        <f>"*" &amp; Catalogo[[#This Row],[Clave ]] &amp; "-" &amp; Catalogo[[#This Row],[Estado REPARADO]] &amp; "*"</f>
        <v>*DGSW012-1*</v>
      </c>
      <c r="I13" s="50" t="str">
        <f>"*" &amp; Catalogo[[#This Row],[Clave ]] &amp; "-" &amp; Catalogo[[#This Row],[Estado REFACCION]] &amp; "*"</f>
        <v>*DGSW012-2*</v>
      </c>
    </row>
    <row r="14" spans="1:9" x14ac:dyDescent="0.25">
      <c r="A14" s="6">
        <f t="shared" si="2"/>
        <v>13</v>
      </c>
      <c r="B14" s="24" t="str">
        <f>PRODUCTOS!A14</f>
        <v>APAGADOR ZIGBEE BLANCO CON MARCO METAL 1  APAGADOR</v>
      </c>
      <c r="C14" s="7" t="str">
        <f>PRODUCTOS!C14</f>
        <v>DGSW013</v>
      </c>
      <c r="D14" s="11">
        <v>0</v>
      </c>
      <c r="E14" s="11">
        <v>1</v>
      </c>
      <c r="F14" s="11">
        <v>2</v>
      </c>
      <c r="G14" s="45" t="str">
        <f>"*" &amp; Catalogo[[#This Row],[Clave ]] &amp; "-" &amp; Catalogo[[#This Row],[Estado NUEVO]] &amp; "*"</f>
        <v>*DGSW013-0*</v>
      </c>
      <c r="H14" s="47" t="str">
        <f>"*" &amp; Catalogo[[#This Row],[Clave ]] &amp; "-" &amp; Catalogo[[#This Row],[Estado REPARADO]] &amp; "*"</f>
        <v>*DGSW013-1*</v>
      </c>
      <c r="I14" s="50" t="str">
        <f>"*" &amp; Catalogo[[#This Row],[Clave ]] &amp; "-" &amp; Catalogo[[#This Row],[Estado REFACCION]] &amp; "*"</f>
        <v>*DGSW013-2*</v>
      </c>
    </row>
    <row r="15" spans="1:9" x14ac:dyDescent="0.25">
      <c r="A15" s="6">
        <f t="shared" si="2"/>
        <v>14</v>
      </c>
      <c r="B15" s="24" t="str">
        <f>PRODUCTOS!A15</f>
        <v>APAGADOR ZIGBEE NEGRO CON MARCO METAL 1 APAGADOR</v>
      </c>
      <c r="C15" s="7" t="str">
        <f>PRODUCTOS!C15</f>
        <v>DGSW014</v>
      </c>
      <c r="D15" s="11">
        <v>0</v>
      </c>
      <c r="E15" s="11">
        <v>1</v>
      </c>
      <c r="F15" s="11">
        <v>2</v>
      </c>
      <c r="G15" s="45" t="str">
        <f>"*" &amp; Catalogo[[#This Row],[Clave ]] &amp; "-" &amp; Catalogo[[#This Row],[Estado NUEVO]] &amp; "*"</f>
        <v>*DGSW014-0*</v>
      </c>
      <c r="H15" s="47" t="str">
        <f>"*" &amp; Catalogo[[#This Row],[Clave ]] &amp; "-" &amp; Catalogo[[#This Row],[Estado REPARADO]] &amp; "*"</f>
        <v>*DGSW014-1*</v>
      </c>
      <c r="I15" s="50" t="str">
        <f>"*" &amp; Catalogo[[#This Row],[Clave ]] &amp; "-" &amp; Catalogo[[#This Row],[Estado REFACCION]] &amp; "*"</f>
        <v>*DGSW014-2*</v>
      </c>
    </row>
    <row r="16" spans="1:9" x14ac:dyDescent="0.25">
      <c r="A16" s="6">
        <f t="shared" si="2"/>
        <v>15</v>
      </c>
      <c r="B16" s="24" t="str">
        <f>PRODUCTOS!A16</f>
        <v>APAGADOR WIFI +RADIO FRECUENCIA DE 2 APAGADOR</v>
      </c>
      <c r="C16" s="7" t="str">
        <f>PRODUCTOS!C16</f>
        <v>DGSW015</v>
      </c>
      <c r="D16" s="11">
        <v>0</v>
      </c>
      <c r="E16" s="11">
        <v>1</v>
      </c>
      <c r="F16" s="11">
        <v>2</v>
      </c>
      <c r="G16" s="45" t="str">
        <f>"*" &amp; Catalogo[[#This Row],[Clave ]] &amp; "-" &amp; Catalogo[[#This Row],[Estado NUEVO]] &amp; "*"</f>
        <v>*DGSW015-0*</v>
      </c>
      <c r="H16" s="47" t="str">
        <f>"*" &amp; Catalogo[[#This Row],[Clave ]] &amp; "-" &amp; Catalogo[[#This Row],[Estado REPARADO]] &amp; "*"</f>
        <v>*DGSW015-1*</v>
      </c>
      <c r="I16" s="50" t="str">
        <f>"*" &amp; Catalogo[[#This Row],[Clave ]] &amp; "-" &amp; Catalogo[[#This Row],[Estado REFACCION]] &amp; "*"</f>
        <v>*DGSW015-2*</v>
      </c>
    </row>
    <row r="17" spans="1:9" x14ac:dyDescent="0.25">
      <c r="A17" s="6">
        <f t="shared" si="2"/>
        <v>16</v>
      </c>
      <c r="B17" s="24" t="str">
        <f>PRODUCTOS!A17</f>
        <v xml:space="preserve">APAGADOR ZIGBEE BLANCO CON MARCO PLACA CRISTAL 2 APAGADOR </v>
      </c>
      <c r="C17" s="7" t="str">
        <f>PRODUCTOS!C17</f>
        <v>DGSW016</v>
      </c>
      <c r="D17" s="11">
        <v>0</v>
      </c>
      <c r="E17" s="11">
        <v>1</v>
      </c>
      <c r="F17" s="11">
        <v>2</v>
      </c>
      <c r="G17" s="45" t="str">
        <f>"*" &amp; Catalogo[[#This Row],[Clave ]] &amp; "-" &amp; Catalogo[[#This Row],[Estado NUEVO]] &amp; "*"</f>
        <v>*DGSW016-0*</v>
      </c>
      <c r="H17" s="47" t="str">
        <f>"*" &amp; Catalogo[[#This Row],[Clave ]] &amp; "-" &amp; Catalogo[[#This Row],[Estado REPARADO]] &amp; "*"</f>
        <v>*DGSW016-1*</v>
      </c>
      <c r="I17" s="50" t="str">
        <f>"*" &amp; Catalogo[[#This Row],[Clave ]] &amp; "-" &amp; Catalogo[[#This Row],[Estado REFACCION]] &amp; "*"</f>
        <v>*DGSW016-2*</v>
      </c>
    </row>
    <row r="18" spans="1:9" x14ac:dyDescent="0.25">
      <c r="A18" s="6">
        <f t="shared" si="2"/>
        <v>17</v>
      </c>
      <c r="B18" s="24" t="str">
        <f>PRODUCTOS!A18</f>
        <v xml:space="preserve">APAGADOR ZIGBEE NEGRO CON MARCO PLACA CRISTAL 2 APAGADOR </v>
      </c>
      <c r="C18" s="7" t="str">
        <f>PRODUCTOS!C18</f>
        <v>DGSW017</v>
      </c>
      <c r="D18" s="11">
        <v>0</v>
      </c>
      <c r="E18" s="11">
        <v>1</v>
      </c>
      <c r="F18" s="11">
        <v>2</v>
      </c>
      <c r="G18" s="45" t="str">
        <f>"*" &amp; Catalogo[[#This Row],[Clave ]] &amp; "-" &amp; Catalogo[[#This Row],[Estado NUEVO]] &amp; "*"</f>
        <v>*DGSW017-0*</v>
      </c>
      <c r="H18" s="47" t="str">
        <f>"*" &amp; Catalogo[[#This Row],[Clave ]] &amp; "-" &amp; Catalogo[[#This Row],[Estado REPARADO]] &amp; "*"</f>
        <v>*DGSW017-1*</v>
      </c>
      <c r="I18" s="50" t="str">
        <f>"*" &amp; Catalogo[[#This Row],[Clave ]] &amp; "-" &amp; Catalogo[[#This Row],[Estado REFACCION]] &amp; "*"</f>
        <v>*DGSW017-2*</v>
      </c>
    </row>
    <row r="19" spans="1:9" x14ac:dyDescent="0.25">
      <c r="A19" s="6">
        <f t="shared" si="2"/>
        <v>18</v>
      </c>
      <c r="B19" s="24" t="str">
        <f>PRODUCTOS!A19</f>
        <v xml:space="preserve">APAGADOR ZIGBEE BLANCO CON MARCO METAL 2 APAGADOR </v>
      </c>
      <c r="C19" s="7" t="str">
        <f>PRODUCTOS!C19</f>
        <v>DGSW018</v>
      </c>
      <c r="D19" s="11">
        <v>0</v>
      </c>
      <c r="E19" s="11">
        <v>1</v>
      </c>
      <c r="F19" s="11">
        <v>2</v>
      </c>
      <c r="G19" s="45" t="str">
        <f>"*" &amp; Catalogo[[#This Row],[Clave ]] &amp; "-" &amp; Catalogo[[#This Row],[Estado NUEVO]] &amp; "*"</f>
        <v>*DGSW018-0*</v>
      </c>
      <c r="H19" s="47" t="str">
        <f>"*" &amp; Catalogo[[#This Row],[Clave ]] &amp; "-" &amp; Catalogo[[#This Row],[Estado REPARADO]] &amp; "*"</f>
        <v>*DGSW018-1*</v>
      </c>
      <c r="I19" s="50" t="str">
        <f>"*" &amp; Catalogo[[#This Row],[Clave ]] &amp; "-" &amp; Catalogo[[#This Row],[Estado REFACCION]] &amp; "*"</f>
        <v>*DGSW018-2*</v>
      </c>
    </row>
    <row r="20" spans="1:9" x14ac:dyDescent="0.25">
      <c r="A20" s="6">
        <f t="shared" si="2"/>
        <v>19</v>
      </c>
      <c r="B20" s="24" t="str">
        <f>PRODUCTOS!A20</f>
        <v>APAGADOR ZIGBEE NEGRO CON MARCO METAL 2 APAGADOR</v>
      </c>
      <c r="C20" s="7" t="str">
        <f>PRODUCTOS!C20</f>
        <v>DGSW019</v>
      </c>
      <c r="D20" s="11">
        <v>0</v>
      </c>
      <c r="E20" s="11">
        <v>1</v>
      </c>
      <c r="F20" s="11">
        <v>2</v>
      </c>
      <c r="G20" s="45" t="str">
        <f>"*" &amp; Catalogo[[#This Row],[Clave ]] &amp; "-" &amp; Catalogo[[#This Row],[Estado NUEVO]] &amp; "*"</f>
        <v>*DGSW019-0*</v>
      </c>
      <c r="H20" s="47" t="str">
        <f>"*" &amp; Catalogo[[#This Row],[Clave ]] &amp; "-" &amp; Catalogo[[#This Row],[Estado REPARADO]] &amp; "*"</f>
        <v>*DGSW019-1*</v>
      </c>
      <c r="I20" s="50" t="str">
        <f>"*" &amp; Catalogo[[#This Row],[Clave ]] &amp; "-" &amp; Catalogo[[#This Row],[Estado REFACCION]] &amp; "*"</f>
        <v>*DGSW019-2*</v>
      </c>
    </row>
    <row r="21" spans="1:9" x14ac:dyDescent="0.25">
      <c r="A21" s="6">
        <f t="shared" si="2"/>
        <v>20</v>
      </c>
      <c r="B21" s="24" t="str">
        <f>PRODUCTOS!A21</f>
        <v>APAGADOR WIFI + RADIO FRECUENCIA DE 3 APAGADOR</v>
      </c>
      <c r="C21" s="7" t="str">
        <f>PRODUCTOS!C21</f>
        <v>DGSW020</v>
      </c>
      <c r="D21" s="11">
        <v>0</v>
      </c>
      <c r="E21" s="11">
        <v>1</v>
      </c>
      <c r="F21" s="11">
        <v>2</v>
      </c>
      <c r="G21" s="45" t="str">
        <f>"*" &amp; Catalogo[[#This Row],[Clave ]] &amp; "-" &amp; Catalogo[[#This Row],[Estado NUEVO]] &amp; "*"</f>
        <v>*DGSW020-0*</v>
      </c>
      <c r="H21" s="47" t="str">
        <f>"*" &amp; Catalogo[[#This Row],[Clave ]] &amp; "-" &amp; Catalogo[[#This Row],[Estado REPARADO]] &amp; "*"</f>
        <v>*DGSW020-1*</v>
      </c>
      <c r="I21" s="50" t="str">
        <f>"*" &amp; Catalogo[[#This Row],[Clave ]] &amp; "-" &amp; Catalogo[[#This Row],[Estado REFACCION]] &amp; "*"</f>
        <v>*DGSW020-2*</v>
      </c>
    </row>
    <row r="22" spans="1:9" x14ac:dyDescent="0.25">
      <c r="A22" s="6">
        <f t="shared" si="2"/>
        <v>21</v>
      </c>
      <c r="B22" s="24" t="str">
        <f>PRODUCTOS!A22</f>
        <v>APAGADOR ZIGBEE BLANCO CON MARCO PLACA CRISTAL 3 APAGADOR</v>
      </c>
      <c r="C22" s="7" t="str">
        <f>PRODUCTOS!C22</f>
        <v>DGSW021</v>
      </c>
      <c r="D22" s="11">
        <v>0</v>
      </c>
      <c r="E22" s="11">
        <v>1</v>
      </c>
      <c r="F22" s="11">
        <v>2</v>
      </c>
      <c r="G22" s="45" t="str">
        <f>"*" &amp; Catalogo[[#This Row],[Clave ]] &amp; "-" &amp; Catalogo[[#This Row],[Estado NUEVO]] &amp; "*"</f>
        <v>*DGSW021-0*</v>
      </c>
      <c r="H22" s="47" t="str">
        <f>"*" &amp; Catalogo[[#This Row],[Clave ]] &amp; "-" &amp; Catalogo[[#This Row],[Estado REPARADO]] &amp; "*"</f>
        <v>*DGSW021-1*</v>
      </c>
      <c r="I22" s="50" t="str">
        <f>"*" &amp; Catalogo[[#This Row],[Clave ]] &amp; "-" &amp; Catalogo[[#This Row],[Estado REFACCION]] &amp; "*"</f>
        <v>*DGSW021-2*</v>
      </c>
    </row>
    <row r="23" spans="1:9" x14ac:dyDescent="0.25">
      <c r="A23" s="6">
        <f t="shared" si="2"/>
        <v>22</v>
      </c>
      <c r="B23" s="24" t="str">
        <f>PRODUCTOS!A23</f>
        <v>APAGADOR ZIGBEE NEGRO CON MARCO PLACA CRISTAL 3 APAGADOR</v>
      </c>
      <c r="C23" s="7" t="str">
        <f>PRODUCTOS!C23</f>
        <v>DGSW022</v>
      </c>
      <c r="D23" s="11">
        <v>0</v>
      </c>
      <c r="E23" s="11">
        <v>1</v>
      </c>
      <c r="F23" s="11">
        <v>2</v>
      </c>
      <c r="G23" s="45" t="str">
        <f>"*" &amp; Catalogo[[#This Row],[Clave ]] &amp; "-" &amp; Catalogo[[#This Row],[Estado NUEVO]] &amp; "*"</f>
        <v>*DGSW022-0*</v>
      </c>
      <c r="H23" s="47" t="str">
        <f>"*" &amp; Catalogo[[#This Row],[Clave ]] &amp; "-" &amp; Catalogo[[#This Row],[Estado REPARADO]] &amp; "*"</f>
        <v>*DGSW022-1*</v>
      </c>
      <c r="I23" s="50" t="str">
        <f>"*" &amp; Catalogo[[#This Row],[Clave ]] &amp; "-" &amp; Catalogo[[#This Row],[Estado REFACCION]] &amp; "*"</f>
        <v>*DGSW022-2*</v>
      </c>
    </row>
    <row r="24" spans="1:9" x14ac:dyDescent="0.25">
      <c r="A24" s="6">
        <f t="shared" si="2"/>
        <v>23</v>
      </c>
      <c r="B24" s="24" t="str">
        <f>PRODUCTOS!A24</f>
        <v>APAGADOR ZIGBEE BLANCO CON MARCO METAL 3 APAGADOR</v>
      </c>
      <c r="C24" s="7" t="str">
        <f>PRODUCTOS!C24</f>
        <v>DGSW023</v>
      </c>
      <c r="D24" s="11">
        <v>0</v>
      </c>
      <c r="E24" s="11">
        <v>1</v>
      </c>
      <c r="F24" s="11">
        <v>2</v>
      </c>
      <c r="G24" s="45" t="str">
        <f>"*" &amp; Catalogo[[#This Row],[Clave ]] &amp; "-" &amp; Catalogo[[#This Row],[Estado NUEVO]] &amp; "*"</f>
        <v>*DGSW023-0*</v>
      </c>
      <c r="H24" s="47" t="str">
        <f>"*" &amp; Catalogo[[#This Row],[Clave ]] &amp; "-" &amp; Catalogo[[#This Row],[Estado REPARADO]] &amp; "*"</f>
        <v>*DGSW023-1*</v>
      </c>
      <c r="I24" s="50" t="str">
        <f>"*" &amp; Catalogo[[#This Row],[Clave ]] &amp; "-" &amp; Catalogo[[#This Row],[Estado REFACCION]] &amp; "*"</f>
        <v>*DGSW023-2*</v>
      </c>
    </row>
    <row r="25" spans="1:9" x14ac:dyDescent="0.25">
      <c r="A25" s="6">
        <f t="shared" si="2"/>
        <v>24</v>
      </c>
      <c r="B25" s="24" t="str">
        <f>PRODUCTOS!A25</f>
        <v>APAGADOR ZIGBEE NEGRO MARCO METAL 3 APAGADOR</v>
      </c>
      <c r="C25" s="7" t="str">
        <f>PRODUCTOS!C25</f>
        <v>DGSW024</v>
      </c>
      <c r="D25" s="11">
        <v>0</v>
      </c>
      <c r="E25" s="11">
        <v>1</v>
      </c>
      <c r="F25" s="11">
        <v>2</v>
      </c>
      <c r="G25" s="45" t="str">
        <f>"*" &amp; Catalogo[[#This Row],[Clave ]] &amp; "-" &amp; Catalogo[[#This Row],[Estado NUEVO]] &amp; "*"</f>
        <v>*DGSW024-0*</v>
      </c>
      <c r="H25" s="47" t="str">
        <f>"*" &amp; Catalogo[[#This Row],[Clave ]] &amp; "-" &amp; Catalogo[[#This Row],[Estado REPARADO]] &amp; "*"</f>
        <v>*DGSW024-1*</v>
      </c>
      <c r="I25" s="50" t="str">
        <f>"*" &amp; Catalogo[[#This Row],[Clave ]] &amp; "-" &amp; Catalogo[[#This Row],[Estado REFACCION]] &amp; "*"</f>
        <v>*DGSW024-2*</v>
      </c>
    </row>
    <row r="26" spans="1:9" x14ac:dyDescent="0.25">
      <c r="A26" s="6">
        <f t="shared" si="2"/>
        <v>25</v>
      </c>
      <c r="B26" s="24" t="str">
        <f>PRODUCTOS!A26</f>
        <v xml:space="preserve"> APAGADOR SWITCH DIMEABLE BLANCO</v>
      </c>
      <c r="C26" s="7" t="str">
        <f>PRODUCTOS!C26</f>
        <v>DGSW025</v>
      </c>
      <c r="D26" s="11">
        <v>0</v>
      </c>
      <c r="E26" s="11">
        <v>1</v>
      </c>
      <c r="F26" s="11">
        <v>2</v>
      </c>
      <c r="G26" s="45" t="str">
        <f>"*" &amp; Catalogo[[#This Row],[Clave ]] &amp; "-" &amp; Catalogo[[#This Row],[Estado NUEVO]] &amp; "*"</f>
        <v>*DGSW025-0*</v>
      </c>
      <c r="H26" s="47" t="str">
        <f>"*" &amp; Catalogo[[#This Row],[Clave ]] &amp; "-" &amp; Catalogo[[#This Row],[Estado REPARADO]] &amp; "*"</f>
        <v>*DGSW025-1*</v>
      </c>
      <c r="I26" s="50" t="str">
        <f>"*" &amp; Catalogo[[#This Row],[Clave ]] &amp; "-" &amp; Catalogo[[#This Row],[Estado REFACCION]] &amp; "*"</f>
        <v>*DGSW025-2*</v>
      </c>
    </row>
    <row r="27" spans="1:9" x14ac:dyDescent="0.25">
      <c r="A27" s="6">
        <f t="shared" si="2"/>
        <v>26</v>
      </c>
      <c r="B27" s="24" t="str">
        <f>PRODUCTOS!A27</f>
        <v>APAGADOR ZIGBEE SWITCH BLANCO SENCILLO</v>
      </c>
      <c r="C27" s="7" t="str">
        <f>PRODUCTOS!C27</f>
        <v>DGSW026</v>
      </c>
      <c r="D27" s="11">
        <v>0</v>
      </c>
      <c r="E27" s="11">
        <v>1</v>
      </c>
      <c r="F27" s="11">
        <v>2</v>
      </c>
      <c r="G27" s="45" t="str">
        <f>"*" &amp; Catalogo[[#This Row],[Clave ]] &amp; "-" &amp; Catalogo[[#This Row],[Estado NUEVO]] &amp; "*"</f>
        <v>*DGSW026-0*</v>
      </c>
      <c r="H27" s="47" t="str">
        <f>"*" &amp; Catalogo[[#This Row],[Clave ]] &amp; "-" &amp; Catalogo[[#This Row],[Estado REPARADO]] &amp; "*"</f>
        <v>*DGSW026-1*</v>
      </c>
      <c r="I27" s="50" t="str">
        <f>"*" &amp; Catalogo[[#This Row],[Clave ]] &amp; "-" &amp; Catalogo[[#This Row],[Estado REFACCION]] &amp; "*"</f>
        <v>*DGSW026-2*</v>
      </c>
    </row>
    <row r="28" spans="1:9" x14ac:dyDescent="0.25">
      <c r="A28" s="6">
        <f t="shared" si="2"/>
        <v>27</v>
      </c>
      <c r="B28" s="24" t="str">
        <f>PRODUCTOS!A28</f>
        <v>APAGADOR TOUCH PARA ESPEJO</v>
      </c>
      <c r="C28" s="7" t="str">
        <f>PRODUCTOS!C28</f>
        <v>DGSW027</v>
      </c>
      <c r="D28" s="11">
        <v>0</v>
      </c>
      <c r="E28" s="11">
        <v>1</v>
      </c>
      <c r="F28" s="11">
        <v>2</v>
      </c>
      <c r="G28" s="45" t="str">
        <f>"*" &amp; Catalogo[[#This Row],[Clave ]] &amp; "-" &amp; Catalogo[[#This Row],[Estado NUEVO]] &amp; "*"</f>
        <v>*DGSW027-0*</v>
      </c>
      <c r="H28" s="47" t="str">
        <f>"*" &amp; Catalogo[[#This Row],[Clave ]] &amp; "-" &amp; Catalogo[[#This Row],[Estado REPARADO]] &amp; "*"</f>
        <v>*DGSW027-1*</v>
      </c>
      <c r="I28" s="50" t="str">
        <f>"*" &amp; Catalogo[[#This Row],[Clave ]] &amp; "-" &amp; Catalogo[[#This Row],[Estado REFACCION]] &amp; "*"</f>
        <v>*DGSW027-2*</v>
      </c>
    </row>
    <row r="29" spans="1:9" x14ac:dyDescent="0.25">
      <c r="A29" s="6">
        <f t="shared" si="2"/>
        <v>28</v>
      </c>
      <c r="B29" s="24" t="str">
        <f>PRODUCTOS!A29</f>
        <v>BANDA DEL SISTEMA A/2  ( METROS )</v>
      </c>
      <c r="C29" s="7" t="str">
        <f>PRODUCTOS!C29</f>
        <v>DGSW028</v>
      </c>
      <c r="D29" s="11">
        <v>0</v>
      </c>
      <c r="E29" s="11">
        <v>1</v>
      </c>
      <c r="F29" s="11">
        <v>2</v>
      </c>
      <c r="G29" s="45" t="str">
        <f>"*" &amp; Catalogo[[#This Row],[Clave ]] &amp; "-" &amp; Catalogo[[#This Row],[Estado NUEVO]] &amp; "*"</f>
        <v>*DGSW028-0*</v>
      </c>
      <c r="H29" s="47" t="str">
        <f>"*" &amp; Catalogo[[#This Row],[Clave ]] &amp; "-" &amp; Catalogo[[#This Row],[Estado REPARADO]] &amp; "*"</f>
        <v>*DGSW028-1*</v>
      </c>
      <c r="I29" s="50" t="str">
        <f>"*" &amp; Catalogo[[#This Row],[Clave ]] &amp; "-" &amp; Catalogo[[#This Row],[Estado REFACCION]] &amp; "*"</f>
        <v>*DGSW028-2*</v>
      </c>
    </row>
    <row r="30" spans="1:9" x14ac:dyDescent="0.25">
      <c r="A30" s="6">
        <f t="shared" si="2"/>
        <v>29</v>
      </c>
      <c r="B30" s="24" t="str">
        <f>PRODUCTOS!A30</f>
        <v xml:space="preserve">BATERIA 12V 9A </v>
      </c>
      <c r="C30" s="7" t="str">
        <f>PRODUCTOS!C30</f>
        <v>DGSW029</v>
      </c>
      <c r="D30" s="11">
        <v>0</v>
      </c>
      <c r="E30" s="11">
        <v>1</v>
      </c>
      <c r="F30" s="11">
        <v>2</v>
      </c>
      <c r="G30" s="45" t="str">
        <f>"*" &amp; Catalogo[[#This Row],[Clave ]] &amp; "-" &amp; Catalogo[[#This Row],[Estado NUEVO]] &amp; "*"</f>
        <v>*DGSW029-0*</v>
      </c>
      <c r="H30" s="47" t="str">
        <f>"*" &amp; Catalogo[[#This Row],[Clave ]] &amp; "-" &amp; Catalogo[[#This Row],[Estado REPARADO]] &amp; "*"</f>
        <v>*DGSW029-1*</v>
      </c>
      <c r="I30" s="50" t="str">
        <f>"*" &amp; Catalogo[[#This Row],[Clave ]] &amp; "-" &amp; Catalogo[[#This Row],[Estado REFACCION]] &amp; "*"</f>
        <v>*DGSW029-2*</v>
      </c>
    </row>
    <row r="31" spans="1:9" x14ac:dyDescent="0.25">
      <c r="A31" s="6">
        <f t="shared" si="2"/>
        <v>30</v>
      </c>
      <c r="B31" s="24" t="str">
        <f>PRODUCTOS!A31</f>
        <v xml:space="preserve">BESTCON INTERRUPTOR REMOTO </v>
      </c>
      <c r="C31" s="7" t="str">
        <f>PRODUCTOS!C31</f>
        <v>DGSW030</v>
      </c>
      <c r="D31" s="11">
        <v>0</v>
      </c>
      <c r="E31" s="11">
        <v>1</v>
      </c>
      <c r="F31" s="11">
        <v>2</v>
      </c>
      <c r="G31" s="45" t="str">
        <f>"*" &amp; Catalogo[[#This Row],[Clave ]] &amp; "-" &amp; Catalogo[[#This Row],[Estado NUEVO]] &amp; "*"</f>
        <v>*DGSW030-0*</v>
      </c>
      <c r="H31" s="47" t="str">
        <f>"*" &amp; Catalogo[[#This Row],[Clave ]] &amp; "-" &amp; Catalogo[[#This Row],[Estado REPARADO]] &amp; "*"</f>
        <v>*DGSW030-1*</v>
      </c>
      <c r="I31" s="50" t="str">
        <f>"*" &amp; Catalogo[[#This Row],[Clave ]] &amp; "-" &amp; Catalogo[[#This Row],[Estado REFACCION]] &amp; "*"</f>
        <v>*DGSW030-2*</v>
      </c>
    </row>
    <row r="32" spans="1:9" x14ac:dyDescent="0.25">
      <c r="A32" s="6">
        <f t="shared" si="2"/>
        <v>31</v>
      </c>
      <c r="B32" s="24" t="str">
        <f>PRODUCTOS!A32</f>
        <v>BRAKET EN U A280</v>
      </c>
      <c r="C32" s="7" t="str">
        <f>PRODUCTOS!C32</f>
        <v>DGSW031</v>
      </c>
      <c r="D32" s="11">
        <v>0</v>
      </c>
      <c r="E32" s="11">
        <v>1</v>
      </c>
      <c r="F32" s="11">
        <v>2</v>
      </c>
      <c r="G32" s="45" t="str">
        <f>"*" &amp; Catalogo[[#This Row],[Clave ]] &amp; "-" &amp; Catalogo[[#This Row],[Estado NUEVO]] &amp; "*"</f>
        <v>*DGSW031-0*</v>
      </c>
      <c r="H32" s="47" t="str">
        <f>"*" &amp; Catalogo[[#This Row],[Clave ]] &amp; "-" &amp; Catalogo[[#This Row],[Estado REPARADO]] &amp; "*"</f>
        <v>*DGSW031-1*</v>
      </c>
      <c r="I32" s="50" t="str">
        <f>"*" &amp; Catalogo[[#This Row],[Clave ]] &amp; "-" &amp; Catalogo[[#This Row],[Estado REFACCION]] &amp; "*"</f>
        <v>*DGSW031-2*</v>
      </c>
    </row>
    <row r="33" spans="1:9" x14ac:dyDescent="0.25">
      <c r="A33" s="6">
        <f t="shared" si="2"/>
        <v>32</v>
      </c>
      <c r="B33" s="24" t="str">
        <f>PRODUCTOS!A33</f>
        <v>BOTONERAS EN GENERAL</v>
      </c>
      <c r="C33" s="7" t="str">
        <f>PRODUCTOS!C33</f>
        <v>DGSW032</v>
      </c>
      <c r="D33" s="11">
        <v>0</v>
      </c>
      <c r="E33" s="11">
        <v>1</v>
      </c>
      <c r="F33" s="11">
        <v>2</v>
      </c>
      <c r="G33" s="45" t="str">
        <f>"*" &amp; Catalogo[[#This Row],[Clave ]] &amp; "-" &amp; Catalogo[[#This Row],[Estado NUEVO]] &amp; "*"</f>
        <v>*DGSW032-0*</v>
      </c>
      <c r="H33" s="47" t="str">
        <f>"*" &amp; Catalogo[[#This Row],[Clave ]] &amp; "-" &amp; Catalogo[[#This Row],[Estado REPARADO]] &amp; "*"</f>
        <v>*DGSW032-1*</v>
      </c>
      <c r="I33" s="50" t="str">
        <f>"*" &amp; Catalogo[[#This Row],[Clave ]] &amp; "-" &amp; Catalogo[[#This Row],[Estado REFACCION]] &amp; "*"</f>
        <v>*DGSW032-2*</v>
      </c>
    </row>
    <row r="34" spans="1:9" x14ac:dyDescent="0.25">
      <c r="A34" s="6">
        <f t="shared" si="2"/>
        <v>33</v>
      </c>
      <c r="B34" s="24" t="str">
        <f>PRODUCTOS!A34</f>
        <v>BOTON DORADO WIFI</v>
      </c>
      <c r="C34" s="7" t="str">
        <f>PRODUCTOS!C34</f>
        <v>DGSW033</v>
      </c>
      <c r="D34" s="11">
        <v>0</v>
      </c>
      <c r="E34" s="11">
        <v>1</v>
      </c>
      <c r="F34" s="11">
        <v>2</v>
      </c>
      <c r="G34" s="45" t="str">
        <f>"*" &amp; Catalogo[[#This Row],[Clave ]] &amp; "-" &amp; Catalogo[[#This Row],[Estado NUEVO]] &amp; "*"</f>
        <v>*DGSW033-0*</v>
      </c>
      <c r="H34" s="47" t="str">
        <f>"*" &amp; Catalogo[[#This Row],[Clave ]] &amp; "-" &amp; Catalogo[[#This Row],[Estado REPARADO]] &amp; "*"</f>
        <v>*DGSW033-1*</v>
      </c>
      <c r="I34" s="50" t="str">
        <f>"*" &amp; Catalogo[[#This Row],[Clave ]] &amp; "-" &amp; Catalogo[[#This Row],[Estado REFACCION]] &amp; "*"</f>
        <v>*DGSW033-2*</v>
      </c>
    </row>
    <row r="35" spans="1:9" x14ac:dyDescent="0.25">
      <c r="A35" s="6">
        <f t="shared" si="2"/>
        <v>34</v>
      </c>
      <c r="B35" s="24" t="str">
        <f>PRODUCTOS!A35</f>
        <v>BOTON NO TOUCH</v>
      </c>
      <c r="C35" s="7" t="str">
        <f>PRODUCTOS!C35</f>
        <v>DGSW034</v>
      </c>
      <c r="D35" s="11">
        <v>0</v>
      </c>
      <c r="E35" s="11">
        <v>1</v>
      </c>
      <c r="F35" s="11">
        <v>2</v>
      </c>
      <c r="G35" s="45" t="str">
        <f>"*" &amp; Catalogo[[#This Row],[Clave ]] &amp; "-" &amp; Catalogo[[#This Row],[Estado NUEVO]] &amp; "*"</f>
        <v>*DGSW034-0*</v>
      </c>
      <c r="H35" s="47" t="str">
        <f>"*" &amp; Catalogo[[#This Row],[Clave ]] &amp; "-" &amp; Catalogo[[#This Row],[Estado REPARADO]] &amp; "*"</f>
        <v>*DGSW034-1*</v>
      </c>
      <c r="I35" s="50" t="str">
        <f>"*" &amp; Catalogo[[#This Row],[Clave ]] &amp; "-" &amp; Catalogo[[#This Row],[Estado REFACCION]] &amp; "*"</f>
        <v>*DGSW034-2*</v>
      </c>
    </row>
    <row r="36" spans="1:9" x14ac:dyDescent="0.25">
      <c r="A36" s="6">
        <f t="shared" si="2"/>
        <v>35</v>
      </c>
      <c r="B36" s="24" t="str">
        <f>PRODUCTOS!A36</f>
        <v>BOTON PUSH D-001</v>
      </c>
      <c r="C36" s="7" t="str">
        <f>PRODUCTOS!C36</f>
        <v>DGSW035</v>
      </c>
      <c r="D36" s="11">
        <v>0</v>
      </c>
      <c r="E36" s="11">
        <v>1</v>
      </c>
      <c r="F36" s="11">
        <v>2</v>
      </c>
      <c r="G36" s="45" t="str">
        <f>"*" &amp; Catalogo[[#This Row],[Clave ]] &amp; "-" &amp; Catalogo[[#This Row],[Estado NUEVO]] &amp; "*"</f>
        <v>*DGSW035-0*</v>
      </c>
      <c r="H36" s="47" t="str">
        <f>"*" &amp; Catalogo[[#This Row],[Clave ]] &amp; "-" &amp; Catalogo[[#This Row],[Estado REPARADO]] &amp; "*"</f>
        <v>*DGSW035-1*</v>
      </c>
      <c r="I36" s="50" t="str">
        <f>"*" &amp; Catalogo[[#This Row],[Clave ]] &amp; "-" &amp; Catalogo[[#This Row],[Estado REFACCION]] &amp; "*"</f>
        <v>*DGSW035-2*</v>
      </c>
    </row>
    <row r="37" spans="1:9" x14ac:dyDescent="0.25">
      <c r="A37" s="6">
        <f t="shared" si="2"/>
        <v>36</v>
      </c>
      <c r="B37" s="24" t="str">
        <f>PRODUCTOS!A37</f>
        <v>BOTON DE SALIDA</v>
      </c>
      <c r="C37" s="7" t="str">
        <f>PRODUCTOS!C37</f>
        <v>DGSW036</v>
      </c>
      <c r="D37" s="11">
        <v>0</v>
      </c>
      <c r="E37" s="11">
        <v>1</v>
      </c>
      <c r="F37" s="11">
        <v>2</v>
      </c>
      <c r="G37" s="45" t="str">
        <f>"*" &amp; Catalogo[[#This Row],[Clave ]] &amp; "-" &amp; Catalogo[[#This Row],[Estado NUEVO]] &amp; "*"</f>
        <v>*DGSW036-0*</v>
      </c>
      <c r="H37" s="47" t="str">
        <f>"*" &amp; Catalogo[[#This Row],[Clave ]] &amp; "-" &amp; Catalogo[[#This Row],[Estado REPARADO]] &amp; "*"</f>
        <v>*DGSW036-1*</v>
      </c>
      <c r="I37" s="50" t="str">
        <f>"*" &amp; Catalogo[[#This Row],[Clave ]] &amp; "-" &amp; Catalogo[[#This Row],[Estado REFACCION]] &amp; "*"</f>
        <v>*DGSW036-2*</v>
      </c>
    </row>
    <row r="38" spans="1:9" x14ac:dyDescent="0.25">
      <c r="A38" s="6">
        <f t="shared" si="2"/>
        <v>37</v>
      </c>
      <c r="B38" s="24" t="str">
        <f>PRODUCTOS!A38</f>
        <v xml:space="preserve">BOTONERA DE GAJOS DE NARANJA </v>
      </c>
      <c r="C38" s="7" t="str">
        <f>PRODUCTOS!C38</f>
        <v>DGSW037</v>
      </c>
      <c r="D38" s="11">
        <v>0</v>
      </c>
      <c r="E38" s="11">
        <v>1</v>
      </c>
      <c r="F38" s="11">
        <v>2</v>
      </c>
      <c r="G38" s="45" t="str">
        <f>"*" &amp; Catalogo[[#This Row],[Clave ]] &amp; "-" &amp; Catalogo[[#This Row],[Estado NUEVO]] &amp; "*"</f>
        <v>*DGSW037-0*</v>
      </c>
      <c r="H38" s="47" t="str">
        <f>"*" &amp; Catalogo[[#This Row],[Clave ]] &amp; "-" &amp; Catalogo[[#This Row],[Estado REPARADO]] &amp; "*"</f>
        <v>*DGSW037-1*</v>
      </c>
      <c r="I38" s="50" t="str">
        <f>"*" &amp; Catalogo[[#This Row],[Clave ]] &amp; "-" &amp; Catalogo[[#This Row],[Estado REFACCION]] &amp; "*"</f>
        <v>*DGSW037-2*</v>
      </c>
    </row>
    <row r="39" spans="1:9" x14ac:dyDescent="0.25">
      <c r="A39" s="6">
        <f t="shared" si="2"/>
        <v>38</v>
      </c>
      <c r="B39" s="24" t="str">
        <f>PRODUCTOS!A39</f>
        <v>BOTONERA WIFI Y CONTROL REMOTO CAJA NARANJA /PEQUIPOS Juego 2</v>
      </c>
      <c r="C39" s="7" t="str">
        <f>PRODUCTOS!C39</f>
        <v>DGSW038</v>
      </c>
      <c r="D39" s="11">
        <v>0</v>
      </c>
      <c r="E39" s="11">
        <v>1</v>
      </c>
      <c r="F39" s="11">
        <v>2</v>
      </c>
      <c r="G39" s="45" t="str">
        <f>"*" &amp; Catalogo[[#This Row],[Clave ]] &amp; "-" &amp; Catalogo[[#This Row],[Estado NUEVO]] &amp; "*"</f>
        <v>*DGSW038-0*</v>
      </c>
      <c r="H39" s="47" t="str">
        <f>"*" &amp; Catalogo[[#This Row],[Clave ]] &amp; "-" &amp; Catalogo[[#This Row],[Estado REPARADO]] &amp; "*"</f>
        <v>*DGSW038-1*</v>
      </c>
      <c r="I39" s="50" t="str">
        <f>"*" &amp; Catalogo[[#This Row],[Clave ]] &amp; "-" &amp; Catalogo[[#This Row],[Estado REFACCION]] &amp; "*"</f>
        <v>*DGSW038-2*</v>
      </c>
    </row>
    <row r="40" spans="1:9" x14ac:dyDescent="0.25">
      <c r="A40" s="6">
        <f t="shared" si="2"/>
        <v>39</v>
      </c>
      <c r="B40" s="24" t="str">
        <f>PRODUCTOS!A40</f>
        <v>BOTONERA WIFI y RADIO FRECUENCIA</v>
      </c>
      <c r="C40" s="7" t="str">
        <f>PRODUCTOS!C40</f>
        <v>DGSW039</v>
      </c>
      <c r="D40" s="11">
        <v>0</v>
      </c>
      <c r="E40" s="11">
        <v>1</v>
      </c>
      <c r="F40" s="11">
        <v>2</v>
      </c>
      <c r="G40" s="45" t="str">
        <f>"*" &amp; Catalogo[[#This Row],[Clave ]] &amp; "-" &amp; Catalogo[[#This Row],[Estado NUEVO]] &amp; "*"</f>
        <v>*DGSW039-0*</v>
      </c>
      <c r="H40" s="47" t="str">
        <f>"*" &amp; Catalogo[[#This Row],[Clave ]] &amp; "-" &amp; Catalogo[[#This Row],[Estado REPARADO]] &amp; "*"</f>
        <v>*DGSW039-1*</v>
      </c>
      <c r="I40" s="50" t="str">
        <f>"*" &amp; Catalogo[[#This Row],[Clave ]] &amp; "-" &amp; Catalogo[[#This Row],[Estado REFACCION]] &amp; "*"</f>
        <v>*DGSW039-2*</v>
      </c>
    </row>
    <row r="41" spans="1:9" x14ac:dyDescent="0.25">
      <c r="A41" s="6">
        <f t="shared" si="2"/>
        <v>40</v>
      </c>
      <c r="B41" s="24" t="str">
        <f>PRODUCTOS!A41</f>
        <v>BOTONERA WIFI TACTIL</v>
      </c>
      <c r="C41" s="7" t="str">
        <f>PRODUCTOS!C41</f>
        <v>DGSW040</v>
      </c>
      <c r="D41" s="11">
        <v>0</v>
      </c>
      <c r="E41" s="11">
        <v>1</v>
      </c>
      <c r="F41" s="11">
        <v>2</v>
      </c>
      <c r="G41" s="45" t="str">
        <f>"*" &amp; Catalogo[[#This Row],[Clave ]] &amp; "-" &amp; Catalogo[[#This Row],[Estado NUEVO]] &amp; "*"</f>
        <v>*DGSW040-0*</v>
      </c>
      <c r="H41" s="47" t="str">
        <f>"*" &amp; Catalogo[[#This Row],[Clave ]] &amp; "-" &amp; Catalogo[[#This Row],[Estado REPARADO]] &amp; "*"</f>
        <v>*DGSW040-1*</v>
      </c>
      <c r="I41" s="50" t="str">
        <f>"*" &amp; Catalogo[[#This Row],[Clave ]] &amp; "-" &amp; Catalogo[[#This Row],[Estado REFACCION]] &amp; "*"</f>
        <v>*DGSW040-2*</v>
      </c>
    </row>
    <row r="42" spans="1:9" x14ac:dyDescent="0.25">
      <c r="A42" s="6">
        <f t="shared" si="2"/>
        <v>41</v>
      </c>
      <c r="B42" s="24" t="str">
        <f>PRODUCTOS!A42</f>
        <v>BRIDGE SONOFF CONVERTIDOR</v>
      </c>
      <c r="C42" s="7" t="str">
        <f>PRODUCTOS!C42</f>
        <v>DGSW041</v>
      </c>
      <c r="D42" s="11">
        <v>0</v>
      </c>
      <c r="E42" s="11">
        <v>1</v>
      </c>
      <c r="F42" s="11">
        <v>2</v>
      </c>
      <c r="G42" s="45" t="str">
        <f>"*" &amp; Catalogo[[#This Row],[Clave ]] &amp; "-" &amp; Catalogo[[#This Row],[Estado NUEVO]] &amp; "*"</f>
        <v>*DGSW041-0*</v>
      </c>
      <c r="H42" s="47" t="str">
        <f>"*" &amp; Catalogo[[#This Row],[Clave ]] &amp; "-" &amp; Catalogo[[#This Row],[Estado REPARADO]] &amp; "*"</f>
        <v>*DGSW041-1*</v>
      </c>
      <c r="I42" s="50" t="str">
        <f>"*" &amp; Catalogo[[#This Row],[Clave ]] &amp; "-" &amp; Catalogo[[#This Row],[Estado REFACCION]] &amp; "*"</f>
        <v>*DGSW041-2*</v>
      </c>
    </row>
    <row r="43" spans="1:9" x14ac:dyDescent="0.25">
      <c r="A43" s="6">
        <f t="shared" si="2"/>
        <v>42</v>
      </c>
      <c r="B43" s="24" t="str">
        <f>PRODUCTOS!A43</f>
        <v>BRIDGE SONOFF MINI</v>
      </c>
      <c r="C43" s="7" t="str">
        <f>PRODUCTOS!C43</f>
        <v>DGSW042</v>
      </c>
      <c r="D43" s="11">
        <v>0</v>
      </c>
      <c r="E43" s="11">
        <v>1</v>
      </c>
      <c r="F43" s="11">
        <v>2</v>
      </c>
      <c r="G43" s="45" t="str">
        <f>"*" &amp; Catalogo[[#This Row],[Clave ]] &amp; "-" &amp; Catalogo[[#This Row],[Estado NUEVO]] &amp; "*"</f>
        <v>*DGSW042-0*</v>
      </c>
      <c r="H43" s="47" t="str">
        <f>"*" &amp; Catalogo[[#This Row],[Clave ]] &amp; "-" &amp; Catalogo[[#This Row],[Estado REPARADO]] &amp; "*"</f>
        <v>*DGSW042-1*</v>
      </c>
      <c r="I43" s="50" t="str">
        <f>"*" &amp; Catalogo[[#This Row],[Clave ]] &amp; "-" &amp; Catalogo[[#This Row],[Estado REFACCION]] &amp; "*"</f>
        <v>*DGSW042-2*</v>
      </c>
    </row>
    <row r="44" spans="1:9" x14ac:dyDescent="0.25">
      <c r="A44" s="6">
        <f t="shared" si="2"/>
        <v>43</v>
      </c>
      <c r="B44" s="24" t="str">
        <f>PRODUCTOS!A44</f>
        <v>BROADLINK</v>
      </c>
      <c r="C44" s="7" t="str">
        <f>PRODUCTOS!C44</f>
        <v>DGSW043</v>
      </c>
      <c r="D44" s="11">
        <v>0</v>
      </c>
      <c r="E44" s="11">
        <v>1</v>
      </c>
      <c r="F44" s="11">
        <v>2</v>
      </c>
      <c r="G44" s="45" t="str">
        <f>"*" &amp; Catalogo[[#This Row],[Clave ]] &amp; "-" &amp; Catalogo[[#This Row],[Estado NUEVO]] &amp; "*"</f>
        <v>*DGSW043-0*</v>
      </c>
      <c r="H44" s="47" t="str">
        <f>"*" &amp; Catalogo[[#This Row],[Clave ]] &amp; "-" &amp; Catalogo[[#This Row],[Estado REPARADO]] &amp; "*"</f>
        <v>*DGSW043-1*</v>
      </c>
      <c r="I44" s="50" t="str">
        <f>"*" &amp; Catalogo[[#This Row],[Clave ]] &amp; "-" &amp; Catalogo[[#This Row],[Estado REFACCION]] &amp; "*"</f>
        <v>*DGSW043-2*</v>
      </c>
    </row>
    <row r="45" spans="1:9" x14ac:dyDescent="0.25">
      <c r="A45" s="6">
        <f t="shared" ref="A45:A76" si="3">ROW(A44)</f>
        <v>44</v>
      </c>
      <c r="B45" s="24" t="str">
        <f>PRODUCTOS!A45</f>
        <v xml:space="preserve">CABEZAL YSD 100F (PIEZAS) </v>
      </c>
      <c r="C45" s="7" t="str">
        <f>PRODUCTOS!C45</f>
        <v>DGSW044</v>
      </c>
      <c r="D45" s="11">
        <v>0</v>
      </c>
      <c r="E45" s="11">
        <v>1</v>
      </c>
      <c r="F45" s="11">
        <v>2</v>
      </c>
      <c r="G45" s="45" t="str">
        <f>"*" &amp; Catalogo[[#This Row],[Clave ]] &amp; "-" &amp; Catalogo[[#This Row],[Estado NUEVO]] &amp; "*"</f>
        <v>*DGSW044-0*</v>
      </c>
      <c r="H45" s="47" t="str">
        <f>"*" &amp; Catalogo[[#This Row],[Clave ]] &amp; "-" &amp; Catalogo[[#This Row],[Estado REPARADO]] &amp; "*"</f>
        <v>*DGSW044-1*</v>
      </c>
      <c r="I45" s="50" t="str">
        <f>"*" &amp; Catalogo[[#This Row],[Clave ]] &amp; "-" &amp; Catalogo[[#This Row],[Estado REFACCION]] &amp; "*"</f>
        <v>*DGSW044-2*</v>
      </c>
    </row>
    <row r="46" spans="1:9" x14ac:dyDescent="0.25">
      <c r="A46" s="6">
        <f t="shared" si="3"/>
        <v>45</v>
      </c>
      <c r="B46" s="24" t="str">
        <f>PRODUCTOS!A46</f>
        <v>CABEZAL YSD 100F (RIELES)</v>
      </c>
      <c r="C46" s="7" t="str">
        <f>PRODUCTOS!C46</f>
        <v>DGSW045</v>
      </c>
      <c r="D46" s="11">
        <v>0</v>
      </c>
      <c r="E46" s="11">
        <v>1</v>
      </c>
      <c r="F46" s="11">
        <v>2</v>
      </c>
      <c r="G46" s="45" t="str">
        <f>"*" &amp; Catalogo[[#This Row],[Clave ]] &amp; "-" &amp; Catalogo[[#This Row],[Estado NUEVO]] &amp; "*"</f>
        <v>*DGSW045-0*</v>
      </c>
      <c r="H46" s="47" t="str">
        <f>"*" &amp; Catalogo[[#This Row],[Clave ]] &amp; "-" &amp; Catalogo[[#This Row],[Estado REPARADO]] &amp; "*"</f>
        <v>*DGSW045-1*</v>
      </c>
      <c r="I46" s="50" t="str">
        <f>"*" &amp; Catalogo[[#This Row],[Clave ]] &amp; "-" &amp; Catalogo[[#This Row],[Estado REFACCION]] &amp; "*"</f>
        <v>*DGSW045-2*</v>
      </c>
    </row>
    <row r="47" spans="1:9" x14ac:dyDescent="0.25">
      <c r="A47" s="6">
        <f t="shared" si="3"/>
        <v>46</v>
      </c>
      <c r="B47" s="24" t="str">
        <f>PRODUCTOS!A47</f>
        <v>CABLE SENSOR DE TEMPERATURA Y HUMEDAD SB-001</v>
      </c>
      <c r="C47" s="7" t="str">
        <f>PRODUCTOS!C47</f>
        <v>DGSW046</v>
      </c>
      <c r="D47" s="11">
        <v>0</v>
      </c>
      <c r="E47" s="11">
        <v>1</v>
      </c>
      <c r="F47" s="11">
        <v>2</v>
      </c>
      <c r="G47" s="45" t="str">
        <f>"*" &amp; Catalogo[[#This Row],[Clave ]] &amp; "-" &amp; Catalogo[[#This Row],[Estado NUEVO]] &amp; "*"</f>
        <v>*DGSW046-0*</v>
      </c>
      <c r="H47" s="47" t="str">
        <f>"*" &amp; Catalogo[[#This Row],[Clave ]] &amp; "-" &amp; Catalogo[[#This Row],[Estado REPARADO]] &amp; "*"</f>
        <v>*DGSW046-1*</v>
      </c>
      <c r="I47" s="50" t="str">
        <f>"*" &amp; Catalogo[[#This Row],[Clave ]] &amp; "-" &amp; Catalogo[[#This Row],[Estado REFACCION]] &amp; "*"</f>
        <v>*DGSW046-2*</v>
      </c>
    </row>
    <row r="48" spans="1:9" x14ac:dyDescent="0.25">
      <c r="A48" s="6">
        <f t="shared" si="3"/>
        <v>47</v>
      </c>
      <c r="B48" s="24" t="str">
        <f>PRODUCTOS!A48</f>
        <v>CABLE HDMI</v>
      </c>
      <c r="C48" s="7" t="str">
        <f>PRODUCTOS!C48</f>
        <v>DGSW047</v>
      </c>
      <c r="D48" s="11">
        <v>0</v>
      </c>
      <c r="E48" s="11">
        <v>1</v>
      </c>
      <c r="F48" s="11">
        <v>2</v>
      </c>
      <c r="G48" s="45" t="str">
        <f>"*" &amp; Catalogo[[#This Row],[Clave ]] &amp; "-" &amp; Catalogo[[#This Row],[Estado NUEVO]] &amp; "*"</f>
        <v>*DGSW047-0*</v>
      </c>
      <c r="H48" s="47" t="str">
        <f>"*" &amp; Catalogo[[#This Row],[Clave ]] &amp; "-" &amp; Catalogo[[#This Row],[Estado REPARADO]] &amp; "*"</f>
        <v>*DGSW047-1*</v>
      </c>
      <c r="I48" s="50" t="str">
        <f>"*" &amp; Catalogo[[#This Row],[Clave ]] &amp; "-" &amp; Catalogo[[#This Row],[Estado REFACCION]] &amp; "*"</f>
        <v>*DGSW047-2*</v>
      </c>
    </row>
    <row r="49" spans="1:9" x14ac:dyDescent="0.25">
      <c r="A49" s="6">
        <f t="shared" si="3"/>
        <v>48</v>
      </c>
      <c r="B49" s="24" t="str">
        <f>PRODUCTOS!A49</f>
        <v>CAJA P/BATERIA  FUENTE DE ALIMENTACION GK1205</v>
      </c>
      <c r="C49" s="7" t="str">
        <f>PRODUCTOS!C49</f>
        <v>DGSW048</v>
      </c>
      <c r="D49" s="11">
        <v>0</v>
      </c>
      <c r="E49" s="11">
        <v>1</v>
      </c>
      <c r="F49" s="11">
        <v>2</v>
      </c>
      <c r="G49" s="45" t="str">
        <f>"*" &amp; Catalogo[[#This Row],[Clave ]] &amp; "-" &amp; Catalogo[[#This Row],[Estado NUEVO]] &amp; "*"</f>
        <v>*DGSW048-0*</v>
      </c>
      <c r="H49" s="47" t="str">
        <f>"*" &amp; Catalogo[[#This Row],[Clave ]] &amp; "-" &amp; Catalogo[[#This Row],[Estado REPARADO]] &amp; "*"</f>
        <v>*DGSW048-1*</v>
      </c>
      <c r="I49" s="50" t="str">
        <f>"*" &amp; Catalogo[[#This Row],[Clave ]] &amp; "-" &amp; Catalogo[[#This Row],[Estado REFACCION]] &amp; "*"</f>
        <v>*DGSW048-2*</v>
      </c>
    </row>
    <row r="50" spans="1:9" x14ac:dyDescent="0.25">
      <c r="A50" s="6">
        <f t="shared" si="3"/>
        <v>49</v>
      </c>
      <c r="B50" s="24" t="str">
        <f>PRODUCTOS!A50</f>
        <v>CAJA TAPAS DE GRAPA SOPORTE</v>
      </c>
      <c r="C50" s="7" t="str">
        <f>PRODUCTOS!C50</f>
        <v>DGSW049</v>
      </c>
      <c r="D50" s="11">
        <v>0</v>
      </c>
      <c r="E50" s="11">
        <v>1</v>
      </c>
      <c r="F50" s="11">
        <v>2</v>
      </c>
      <c r="G50" s="45" t="str">
        <f>"*" &amp; Catalogo[[#This Row],[Clave ]] &amp; "-" &amp; Catalogo[[#This Row],[Estado NUEVO]] &amp; "*"</f>
        <v>*DGSW049-0*</v>
      </c>
      <c r="H50" s="47" t="str">
        <f>"*" &amp; Catalogo[[#This Row],[Clave ]] &amp; "-" &amp; Catalogo[[#This Row],[Estado REPARADO]] &amp; "*"</f>
        <v>*DGSW049-1*</v>
      </c>
      <c r="I50" s="50" t="str">
        <f>"*" &amp; Catalogo[[#This Row],[Clave ]] &amp; "-" &amp; Catalogo[[#This Row],[Estado REFACCION]] &amp; "*"</f>
        <v>*DGSW049-2*</v>
      </c>
    </row>
    <row r="51" spans="1:9" x14ac:dyDescent="0.25">
      <c r="A51" s="6">
        <f t="shared" si="3"/>
        <v>50</v>
      </c>
      <c r="B51" s="24" t="str">
        <f>PRODUCTOS!A51</f>
        <v>CAMARA ESPIA EN SOQUET</v>
      </c>
      <c r="C51" s="7" t="str">
        <f>PRODUCTOS!C51</f>
        <v>DGSW050</v>
      </c>
      <c r="D51" s="11">
        <v>0</v>
      </c>
      <c r="E51" s="11">
        <v>1</v>
      </c>
      <c r="F51" s="11">
        <v>2</v>
      </c>
      <c r="G51" s="45" t="str">
        <f>"*" &amp; Catalogo[[#This Row],[Clave ]] &amp; "-" &amp; Catalogo[[#This Row],[Estado NUEVO]] &amp; "*"</f>
        <v>*DGSW050-0*</v>
      </c>
      <c r="H51" s="47" t="str">
        <f>"*" &amp; Catalogo[[#This Row],[Clave ]] &amp; "-" &amp; Catalogo[[#This Row],[Estado REPARADO]] &amp; "*"</f>
        <v>*DGSW050-1*</v>
      </c>
      <c r="I51" s="50" t="str">
        <f>"*" &amp; Catalogo[[#This Row],[Clave ]] &amp; "-" &amp; Catalogo[[#This Row],[Estado REFACCION]] &amp; "*"</f>
        <v>*DGSW050-2*</v>
      </c>
    </row>
    <row r="52" spans="1:9" x14ac:dyDescent="0.25">
      <c r="A52" s="6">
        <f t="shared" si="3"/>
        <v>51</v>
      </c>
      <c r="B52" s="24" t="str">
        <f>PRODUCTOS!A52</f>
        <v xml:space="preserve">CARRETILLA PARA CANCEL </v>
      </c>
      <c r="C52" s="7" t="str">
        <f>PRODUCTOS!C52</f>
        <v>DGSW051</v>
      </c>
      <c r="D52" s="11">
        <v>0</v>
      </c>
      <c r="E52" s="11">
        <v>1</v>
      </c>
      <c r="F52" s="11">
        <v>2</v>
      </c>
      <c r="G52" s="45" t="str">
        <f>"*" &amp; Catalogo[[#This Row],[Clave ]] &amp; "-" &amp; Catalogo[[#This Row],[Estado NUEVO]] &amp; "*"</f>
        <v>*DGSW051-0*</v>
      </c>
      <c r="H52" s="47" t="str">
        <f>"*" &amp; Catalogo[[#This Row],[Clave ]] &amp; "-" &amp; Catalogo[[#This Row],[Estado REPARADO]] &amp; "*"</f>
        <v>*DGSW051-1*</v>
      </c>
      <c r="I52" s="50" t="str">
        <f>"*" &amp; Catalogo[[#This Row],[Clave ]] &amp; "-" &amp; Catalogo[[#This Row],[Estado REFACCION]] &amp; "*"</f>
        <v>*DGSW051-2*</v>
      </c>
    </row>
    <row r="53" spans="1:9" x14ac:dyDescent="0.25">
      <c r="A53" s="6">
        <f t="shared" si="3"/>
        <v>52</v>
      </c>
      <c r="B53" s="24" t="str">
        <f>PRODUCTOS!A53</f>
        <v xml:space="preserve">CERRADURA BIOMETRICA DE HUELLA </v>
      </c>
      <c r="C53" s="7" t="str">
        <f>PRODUCTOS!C53</f>
        <v>DGSW052</v>
      </c>
      <c r="D53" s="11">
        <v>0</v>
      </c>
      <c r="E53" s="11">
        <v>1</v>
      </c>
      <c r="F53" s="11">
        <v>2</v>
      </c>
      <c r="G53" s="45" t="str">
        <f>"*" &amp; Catalogo[[#This Row],[Clave ]] &amp; "-" &amp; Catalogo[[#This Row],[Estado NUEVO]] &amp; "*"</f>
        <v>*DGSW052-0*</v>
      </c>
      <c r="H53" s="47" t="str">
        <f>"*" &amp; Catalogo[[#This Row],[Clave ]] &amp; "-" &amp; Catalogo[[#This Row],[Estado REPARADO]] &amp; "*"</f>
        <v>*DGSW052-1*</v>
      </c>
      <c r="I53" s="50" t="str">
        <f>"*" &amp; Catalogo[[#This Row],[Clave ]] &amp; "-" &amp; Catalogo[[#This Row],[Estado REFACCION]] &amp; "*"</f>
        <v>*DGSW052-2*</v>
      </c>
    </row>
    <row r="54" spans="1:9" x14ac:dyDescent="0.25">
      <c r="A54" s="6">
        <f t="shared" si="3"/>
        <v>53</v>
      </c>
      <c r="B54" s="24" t="str">
        <f>PRODUCTOS!A54</f>
        <v>CERRADURA CONTRASEÑA DE HUELLA</v>
      </c>
      <c r="C54" s="7" t="str">
        <f>PRODUCTOS!C54</f>
        <v>DGSW053</v>
      </c>
      <c r="D54" s="11">
        <v>0</v>
      </c>
      <c r="E54" s="11">
        <v>1</v>
      </c>
      <c r="F54" s="11">
        <v>2</v>
      </c>
      <c r="G54" s="45" t="str">
        <f>"*" &amp; Catalogo[[#This Row],[Clave ]] &amp; "-" &amp; Catalogo[[#This Row],[Estado NUEVO]] &amp; "*"</f>
        <v>*DGSW053-0*</v>
      </c>
      <c r="H54" s="47" t="str">
        <f>"*" &amp; Catalogo[[#This Row],[Clave ]] &amp; "-" &amp; Catalogo[[#This Row],[Estado REPARADO]] &amp; "*"</f>
        <v>*DGSW053-1*</v>
      </c>
      <c r="I54" s="50" t="str">
        <f>"*" &amp; Catalogo[[#This Row],[Clave ]] &amp; "-" &amp; Catalogo[[#This Row],[Estado REFACCION]] &amp; "*"</f>
        <v>*DGSW053-2*</v>
      </c>
    </row>
    <row r="55" spans="1:9" x14ac:dyDescent="0.25">
      <c r="A55" s="6">
        <f t="shared" si="3"/>
        <v>54</v>
      </c>
      <c r="B55" s="24" t="str">
        <f>PRODUCTOS!A55</f>
        <v>CERRADURA ELECTRONICA 5 EN 1  CHICA</v>
      </c>
      <c r="C55" s="7" t="str">
        <f>PRODUCTOS!C55</f>
        <v>DGSW054</v>
      </c>
      <c r="D55" s="11">
        <v>0</v>
      </c>
      <c r="E55" s="11">
        <v>1</v>
      </c>
      <c r="F55" s="11">
        <v>2</v>
      </c>
      <c r="G55" s="45" t="str">
        <f>"*" &amp; Catalogo[[#This Row],[Clave ]] &amp; "-" &amp; Catalogo[[#This Row],[Estado NUEVO]] &amp; "*"</f>
        <v>*DGSW054-0*</v>
      </c>
      <c r="H55" s="47" t="str">
        <f>"*" &amp; Catalogo[[#This Row],[Clave ]] &amp; "-" &amp; Catalogo[[#This Row],[Estado REPARADO]] &amp; "*"</f>
        <v>*DGSW054-1*</v>
      </c>
      <c r="I55" s="50" t="str">
        <f>"*" &amp; Catalogo[[#This Row],[Clave ]] &amp; "-" &amp; Catalogo[[#This Row],[Estado REFACCION]] &amp; "*"</f>
        <v>*DGSW054-2*</v>
      </c>
    </row>
    <row r="56" spans="1:9" x14ac:dyDescent="0.25">
      <c r="A56" s="6">
        <f t="shared" si="3"/>
        <v>55</v>
      </c>
      <c r="B56" s="24" t="str">
        <f>PRODUCTOS!A56</f>
        <v>CERRADURA ELECTRONICA 5 EN 1 GRANDE</v>
      </c>
      <c r="C56" s="7" t="str">
        <f>PRODUCTOS!C56</f>
        <v>DGSW055</v>
      </c>
      <c r="D56" s="11">
        <v>0</v>
      </c>
      <c r="E56" s="11">
        <v>1</v>
      </c>
      <c r="F56" s="11">
        <v>2</v>
      </c>
      <c r="G56" s="45" t="str">
        <f>"*" &amp; Catalogo[[#This Row],[Clave ]] &amp; "-" &amp; Catalogo[[#This Row],[Estado NUEVO]] &amp; "*"</f>
        <v>*DGSW055-0*</v>
      </c>
      <c r="H56" s="47" t="str">
        <f>"*" &amp; Catalogo[[#This Row],[Clave ]] &amp; "-" &amp; Catalogo[[#This Row],[Estado REPARADO]] &amp; "*"</f>
        <v>*DGSW055-1*</v>
      </c>
      <c r="I56" s="50" t="str">
        <f>"*" &amp; Catalogo[[#This Row],[Clave ]] &amp; "-" &amp; Catalogo[[#This Row],[Estado REFACCION]] &amp; "*"</f>
        <v>*DGSW055-2*</v>
      </c>
    </row>
    <row r="57" spans="1:9" x14ac:dyDescent="0.25">
      <c r="A57" s="6">
        <f t="shared" si="3"/>
        <v>56</v>
      </c>
      <c r="B57" s="24" t="str">
        <f>PRODUCTOS!A57</f>
        <v>CERRADURA ELECTROMAGNETICA GK-11</v>
      </c>
      <c r="C57" s="7" t="str">
        <f>PRODUCTOS!C57</f>
        <v>DGSW056</v>
      </c>
      <c r="D57" s="11">
        <v>0</v>
      </c>
      <c r="E57" s="11">
        <v>1</v>
      </c>
      <c r="F57" s="11">
        <v>2</v>
      </c>
      <c r="G57" s="45" t="str">
        <f>"*" &amp; Catalogo[[#This Row],[Clave ]] &amp; "-" &amp; Catalogo[[#This Row],[Estado NUEVO]] &amp; "*"</f>
        <v>*DGSW056-0*</v>
      </c>
      <c r="H57" s="47" t="str">
        <f>"*" &amp; Catalogo[[#This Row],[Clave ]] &amp; "-" &amp; Catalogo[[#This Row],[Estado REPARADO]] &amp; "*"</f>
        <v>*DGSW056-1*</v>
      </c>
      <c r="I57" s="50" t="str">
        <f>"*" &amp; Catalogo[[#This Row],[Clave ]] &amp; "-" &amp; Catalogo[[#This Row],[Estado REFACCION]] &amp; "*"</f>
        <v>*DGSW056-2*</v>
      </c>
    </row>
    <row r="58" spans="1:9" x14ac:dyDescent="0.25">
      <c r="A58" s="6">
        <f t="shared" si="3"/>
        <v>57</v>
      </c>
      <c r="B58" s="24" t="str">
        <f>PRODUCTOS!A58</f>
        <v>CERRADURA ELECTROMAGNETICA GK-5818G</v>
      </c>
      <c r="C58" s="7" t="str">
        <f>PRODUCTOS!C58</f>
        <v>DGSW057</v>
      </c>
      <c r="D58" s="11">
        <v>0</v>
      </c>
      <c r="E58" s="11">
        <v>1</v>
      </c>
      <c r="F58" s="11">
        <v>2</v>
      </c>
      <c r="G58" s="45" t="str">
        <f>"*" &amp; Catalogo[[#This Row],[Clave ]] &amp; "-" &amp; Catalogo[[#This Row],[Estado NUEVO]] &amp; "*"</f>
        <v>*DGSW057-0*</v>
      </c>
      <c r="H58" s="47" t="str">
        <f>"*" &amp; Catalogo[[#This Row],[Clave ]] &amp; "-" &amp; Catalogo[[#This Row],[Estado REPARADO]] &amp; "*"</f>
        <v>*DGSW057-1*</v>
      </c>
      <c r="I58" s="50" t="str">
        <f>"*" &amp; Catalogo[[#This Row],[Clave ]] &amp; "-" &amp; Catalogo[[#This Row],[Estado REFACCION]] &amp; "*"</f>
        <v>*DGSW057-2*</v>
      </c>
    </row>
    <row r="59" spans="1:9" x14ac:dyDescent="0.25">
      <c r="A59" s="6">
        <f t="shared" si="3"/>
        <v>58</v>
      </c>
      <c r="B59" s="24" t="str">
        <f>PRODUCTOS!A59</f>
        <v>CERRADURA ELECTRONICA PARA VIDRIO</v>
      </c>
      <c r="C59" s="7" t="str">
        <f>PRODUCTOS!C59</f>
        <v>DGSW058</v>
      </c>
      <c r="D59" s="11">
        <v>0</v>
      </c>
      <c r="E59" s="11">
        <v>1</v>
      </c>
      <c r="F59" s="11">
        <v>2</v>
      </c>
      <c r="G59" s="45" t="str">
        <f>"*" &amp; Catalogo[[#This Row],[Clave ]] &amp; "-" &amp; Catalogo[[#This Row],[Estado NUEVO]] &amp; "*"</f>
        <v>*DGSW058-0*</v>
      </c>
      <c r="H59" s="47" t="str">
        <f>"*" &amp; Catalogo[[#This Row],[Clave ]] &amp; "-" &amp; Catalogo[[#This Row],[Estado REPARADO]] &amp; "*"</f>
        <v>*DGSW058-1*</v>
      </c>
      <c r="I59" s="50" t="str">
        <f>"*" &amp; Catalogo[[#This Row],[Clave ]] &amp; "-" &amp; Catalogo[[#This Row],[Estado REFACCION]] &amp; "*"</f>
        <v>*DGSW058-2*</v>
      </c>
    </row>
    <row r="60" spans="1:9" x14ac:dyDescent="0.25">
      <c r="A60" s="6">
        <f t="shared" si="3"/>
        <v>59</v>
      </c>
      <c r="B60" s="24" t="str">
        <f>PRODUCTOS!A60</f>
        <v>CERRADURA ELECTRICA DE PUERTA CON PERNO DE CAIDA ELECTRICA</v>
      </c>
      <c r="C60" s="7" t="str">
        <f>PRODUCTOS!C60</f>
        <v>DGSW059</v>
      </c>
      <c r="D60" s="11">
        <v>0</v>
      </c>
      <c r="E60" s="11">
        <v>1</v>
      </c>
      <c r="F60" s="11">
        <v>2</v>
      </c>
      <c r="G60" s="45" t="str">
        <f>"*" &amp; Catalogo[[#This Row],[Clave ]] &amp; "-" &amp; Catalogo[[#This Row],[Estado NUEVO]] &amp; "*"</f>
        <v>*DGSW059-0*</v>
      </c>
      <c r="H60" s="47" t="str">
        <f>"*" &amp; Catalogo[[#This Row],[Clave ]] &amp; "-" &amp; Catalogo[[#This Row],[Estado REPARADO]] &amp; "*"</f>
        <v>*DGSW059-1*</v>
      </c>
      <c r="I60" s="50" t="str">
        <f>"*" &amp; Catalogo[[#This Row],[Clave ]] &amp; "-" &amp; Catalogo[[#This Row],[Estado REFACCION]] &amp; "*"</f>
        <v>*DGSW059-2*</v>
      </c>
    </row>
    <row r="61" spans="1:9" x14ac:dyDescent="0.25">
      <c r="A61" s="6">
        <f t="shared" si="3"/>
        <v>60</v>
      </c>
      <c r="B61" s="24" t="str">
        <f>PRODUCTOS!A61</f>
        <v>CERRADURA DE PULSO</v>
      </c>
      <c r="C61" s="7" t="str">
        <f>PRODUCTOS!C61</f>
        <v>DGSW060</v>
      </c>
      <c r="D61" s="11">
        <v>0</v>
      </c>
      <c r="E61" s="11">
        <v>1</v>
      </c>
      <c r="F61" s="11">
        <v>2</v>
      </c>
      <c r="G61" s="45" t="str">
        <f>"*" &amp; Catalogo[[#This Row],[Clave ]] &amp; "-" &amp; Catalogo[[#This Row],[Estado NUEVO]] &amp; "*"</f>
        <v>*DGSW060-0*</v>
      </c>
      <c r="H61" s="47" t="str">
        <f>"*" &amp; Catalogo[[#This Row],[Clave ]] &amp; "-" &amp; Catalogo[[#This Row],[Estado REPARADO]] &amp; "*"</f>
        <v>*DGSW060-1*</v>
      </c>
      <c r="I61" s="50" t="str">
        <f>"*" &amp; Catalogo[[#This Row],[Clave ]] &amp; "-" &amp; Catalogo[[#This Row],[Estado REFACCION]] &amp; "*"</f>
        <v>*DGSW060-2*</v>
      </c>
    </row>
    <row r="62" spans="1:9" x14ac:dyDescent="0.25">
      <c r="A62" s="6">
        <f t="shared" si="3"/>
        <v>61</v>
      </c>
      <c r="B62" s="24" t="str">
        <f>PRODUCTOS!A62</f>
        <v xml:space="preserve">CONTROL DE ACCESO </v>
      </c>
      <c r="C62" s="7" t="str">
        <f>PRODUCTOS!C62</f>
        <v>DGSW061</v>
      </c>
      <c r="D62" s="11">
        <v>0</v>
      </c>
      <c r="E62" s="11">
        <v>1</v>
      </c>
      <c r="F62" s="11">
        <v>2</v>
      </c>
      <c r="G62" s="45" t="str">
        <f>"*" &amp; Catalogo[[#This Row],[Clave ]] &amp; "-" &amp; Catalogo[[#This Row],[Estado NUEVO]] &amp; "*"</f>
        <v>*DGSW061-0*</v>
      </c>
      <c r="H62" s="47" t="str">
        <f>"*" &amp; Catalogo[[#This Row],[Clave ]] &amp; "-" &amp; Catalogo[[#This Row],[Estado REPARADO]] &amp; "*"</f>
        <v>*DGSW061-1*</v>
      </c>
      <c r="I62" s="50" t="str">
        <f>"*" &amp; Catalogo[[#This Row],[Clave ]] &amp; "-" &amp; Catalogo[[#This Row],[Estado REFACCION]] &amp; "*"</f>
        <v>*DGSW061-2*</v>
      </c>
    </row>
    <row r="63" spans="1:9" x14ac:dyDescent="0.25">
      <c r="A63" s="6">
        <f t="shared" si="3"/>
        <v>62</v>
      </c>
      <c r="B63" s="24" t="str">
        <f>PRODUCTOS!A63</f>
        <v>CONTROL DE ACCESO 003 TECLADO +RFID+WIFI APP EWELINK</v>
      </c>
      <c r="C63" s="7" t="str">
        <f>PRODUCTOS!C63</f>
        <v>DGSW062</v>
      </c>
      <c r="D63" s="11">
        <v>0</v>
      </c>
      <c r="E63" s="11">
        <v>1</v>
      </c>
      <c r="F63" s="11">
        <v>2</v>
      </c>
      <c r="G63" s="45" t="str">
        <f>"*" &amp; Catalogo[[#This Row],[Clave ]] &amp; "-" &amp; Catalogo[[#This Row],[Estado NUEVO]] &amp; "*"</f>
        <v>*DGSW062-0*</v>
      </c>
      <c r="H63" s="47" t="str">
        <f>"*" &amp; Catalogo[[#This Row],[Clave ]] &amp; "-" &amp; Catalogo[[#This Row],[Estado REPARADO]] &amp; "*"</f>
        <v>*DGSW062-1*</v>
      </c>
      <c r="I63" s="50" t="str">
        <f>"*" &amp; Catalogo[[#This Row],[Clave ]] &amp; "-" &amp; Catalogo[[#This Row],[Estado REFACCION]] &amp; "*"</f>
        <v>*DGSW062-2*</v>
      </c>
    </row>
    <row r="64" spans="1:9" x14ac:dyDescent="0.25">
      <c r="A64" s="6">
        <f t="shared" si="3"/>
        <v>63</v>
      </c>
      <c r="B64" s="24" t="str">
        <f>PRODUCTOS!A64</f>
        <v>CONTACTO LUCEK</v>
      </c>
      <c r="C64" s="7" t="str">
        <f>PRODUCTOS!C64</f>
        <v>DGSW063</v>
      </c>
      <c r="D64" s="11">
        <v>0</v>
      </c>
      <c r="E64" s="11">
        <v>1</v>
      </c>
      <c r="F64" s="11">
        <v>2</v>
      </c>
      <c r="G64" s="45" t="str">
        <f>"*" &amp; Catalogo[[#This Row],[Clave ]] &amp; "-" &amp; Catalogo[[#This Row],[Estado NUEVO]] &amp; "*"</f>
        <v>*DGSW063-0*</v>
      </c>
      <c r="H64" s="47" t="str">
        <f>"*" &amp; Catalogo[[#This Row],[Clave ]] &amp; "-" &amp; Catalogo[[#This Row],[Estado REPARADO]] &amp; "*"</f>
        <v>*DGSW063-1*</v>
      </c>
      <c r="I64" s="50" t="str">
        <f>"*" &amp; Catalogo[[#This Row],[Clave ]] &amp; "-" &amp; Catalogo[[#This Row],[Estado REFACCION]] &amp; "*"</f>
        <v>*DGSW063-2*</v>
      </c>
    </row>
    <row r="65" spans="1:9" x14ac:dyDescent="0.25">
      <c r="A65" s="6">
        <f t="shared" si="3"/>
        <v>64</v>
      </c>
      <c r="B65" s="24" t="str">
        <f>PRODUCTOS!A65</f>
        <v>COMPUTADORA SISTEMAS A</v>
      </c>
      <c r="C65" s="7" t="str">
        <f>PRODUCTOS!C65</f>
        <v>DGSW064</v>
      </c>
      <c r="D65" s="11">
        <v>0</v>
      </c>
      <c r="E65" s="11">
        <v>1</v>
      </c>
      <c r="F65" s="11">
        <v>2</v>
      </c>
      <c r="G65" s="45" t="str">
        <f>"*" &amp; Catalogo[[#This Row],[Clave ]] &amp; "-" &amp; Catalogo[[#This Row],[Estado NUEVO]] &amp; "*"</f>
        <v>*DGSW064-0*</v>
      </c>
      <c r="H65" s="47" t="str">
        <f>"*" &amp; Catalogo[[#This Row],[Clave ]] &amp; "-" &amp; Catalogo[[#This Row],[Estado REPARADO]] &amp; "*"</f>
        <v>*DGSW064-1*</v>
      </c>
      <c r="I65" s="50" t="str">
        <f>"*" &amp; Catalogo[[#This Row],[Clave ]] &amp; "-" &amp; Catalogo[[#This Row],[Estado REFACCION]] &amp; "*"</f>
        <v>*DGSW064-2*</v>
      </c>
    </row>
    <row r="66" spans="1:9" x14ac:dyDescent="0.25">
      <c r="A66" s="6">
        <f t="shared" si="3"/>
        <v>65</v>
      </c>
      <c r="B66" s="24" t="str">
        <f>PRODUCTOS!A66</f>
        <v>COMPUTADORA ADICIONAL SISTEMA S-100</v>
      </c>
      <c r="C66" s="7" t="str">
        <f>PRODUCTOS!C66</f>
        <v>DGSW065</v>
      </c>
      <c r="D66" s="11">
        <v>0</v>
      </c>
      <c r="E66" s="11">
        <v>1</v>
      </c>
      <c r="F66" s="11">
        <v>2</v>
      </c>
      <c r="G66" s="45" t="str">
        <f>"*" &amp; Catalogo[[#This Row],[Clave ]] &amp; "-" &amp; Catalogo[[#This Row],[Estado NUEVO]] &amp; "*"</f>
        <v>*DGSW065-0*</v>
      </c>
      <c r="H66" s="47" t="str">
        <f>"*" &amp; Catalogo[[#This Row],[Clave ]] &amp; "-" &amp; Catalogo[[#This Row],[Estado REPARADO]] &amp; "*"</f>
        <v>*DGSW065-1*</v>
      </c>
      <c r="I66" s="50" t="str">
        <f>"*" &amp; Catalogo[[#This Row],[Clave ]] &amp; "-" &amp; Catalogo[[#This Row],[Estado REFACCION]] &amp; "*"</f>
        <v>*DGSW065-2*</v>
      </c>
    </row>
    <row r="67" spans="1:9" x14ac:dyDescent="0.25">
      <c r="A67" s="6">
        <f t="shared" si="3"/>
        <v>66</v>
      </c>
      <c r="B67" s="24" t="str">
        <f>PRODUCTOS!A67</f>
        <v>CONTROL DE ACCESO CA- 002</v>
      </c>
      <c r="C67" s="7" t="str">
        <f>PRODUCTOS!C67</f>
        <v>DGSW066</v>
      </c>
      <c r="D67" s="11">
        <v>0</v>
      </c>
      <c r="E67" s="11">
        <v>1</v>
      </c>
      <c r="F67" s="11">
        <v>2</v>
      </c>
      <c r="G67" s="45" t="str">
        <f>"*" &amp; Catalogo[[#This Row],[Clave ]] &amp; "-" &amp; Catalogo[[#This Row],[Estado NUEVO]] &amp; "*"</f>
        <v>*DGSW066-0*</v>
      </c>
      <c r="H67" s="47" t="str">
        <f>"*" &amp; Catalogo[[#This Row],[Clave ]] &amp; "-" &amp; Catalogo[[#This Row],[Estado REPARADO]] &amp; "*"</f>
        <v>*DGSW066-1*</v>
      </c>
      <c r="I67" s="50" t="str">
        <f>"*" &amp; Catalogo[[#This Row],[Clave ]] &amp; "-" &amp; Catalogo[[#This Row],[Estado REFACCION]] &amp; "*"</f>
        <v>*DGSW066-2*</v>
      </c>
    </row>
    <row r="68" spans="1:9" x14ac:dyDescent="0.25">
      <c r="A68" s="6">
        <f t="shared" si="3"/>
        <v>67</v>
      </c>
      <c r="B68" s="24" t="str">
        <f>PRODUCTOS!A68</f>
        <v>CONTROL DE ACCESO HUELLA DIGITAL CA-X9</v>
      </c>
      <c r="C68" s="7" t="str">
        <f>PRODUCTOS!C68</f>
        <v>DGSW067</v>
      </c>
      <c r="D68" s="11">
        <v>0</v>
      </c>
      <c r="E68" s="11">
        <v>1</v>
      </c>
      <c r="F68" s="11">
        <v>2</v>
      </c>
      <c r="G68" s="45" t="str">
        <f>"*" &amp; Catalogo[[#This Row],[Clave ]] &amp; "-" &amp; Catalogo[[#This Row],[Estado NUEVO]] &amp; "*"</f>
        <v>*DGSW067-0*</v>
      </c>
      <c r="H68" s="47" t="str">
        <f>"*" &amp; Catalogo[[#This Row],[Clave ]] &amp; "-" &amp; Catalogo[[#This Row],[Estado REPARADO]] &amp; "*"</f>
        <v>*DGSW067-1*</v>
      </c>
      <c r="I68" s="50" t="str">
        <f>"*" &amp; Catalogo[[#This Row],[Clave ]] &amp; "-" &amp; Catalogo[[#This Row],[Estado REFACCION]] &amp; "*"</f>
        <v>*DGSW067-2*</v>
      </c>
    </row>
    <row r="69" spans="1:9" x14ac:dyDescent="0.25">
      <c r="A69" s="6">
        <f t="shared" si="3"/>
        <v>68</v>
      </c>
      <c r="B69" s="24" t="str">
        <f>PRODUCTOS!A69</f>
        <v>CONTROL DE ACCESO WIEGAND EXTERIORES</v>
      </c>
      <c r="C69" s="7" t="str">
        <f>PRODUCTOS!C69</f>
        <v>DGSW068</v>
      </c>
      <c r="D69" s="11">
        <v>0</v>
      </c>
      <c r="E69" s="11">
        <v>1</v>
      </c>
      <c r="F69" s="11">
        <v>2</v>
      </c>
      <c r="G69" s="45" t="str">
        <f>"*" &amp; Catalogo[[#This Row],[Clave ]] &amp; "-" &amp; Catalogo[[#This Row],[Estado NUEVO]] &amp; "*"</f>
        <v>*DGSW068-0*</v>
      </c>
      <c r="H69" s="47" t="str">
        <f>"*" &amp; Catalogo[[#This Row],[Clave ]] &amp; "-" &amp; Catalogo[[#This Row],[Estado REPARADO]] &amp; "*"</f>
        <v>*DGSW068-1*</v>
      </c>
      <c r="I69" s="50" t="str">
        <f>"*" &amp; Catalogo[[#This Row],[Clave ]] &amp; "-" &amp; Catalogo[[#This Row],[Estado REFACCION]] &amp; "*"</f>
        <v>*DGSW068-2*</v>
      </c>
    </row>
    <row r="70" spans="1:9" x14ac:dyDescent="0.25">
      <c r="A70" s="6">
        <f t="shared" si="3"/>
        <v>69</v>
      </c>
      <c r="B70" s="24" t="str">
        <f>PRODUCTOS!A70</f>
        <v>CONTROL REMOTO Y BOTONERA NO TOUCH JUEGO(Caja Blanca)</v>
      </c>
      <c r="C70" s="7" t="str">
        <f>PRODUCTOS!C70</f>
        <v>DGSW069</v>
      </c>
      <c r="D70" s="11">
        <v>0</v>
      </c>
      <c r="E70" s="11">
        <v>1</v>
      </c>
      <c r="F70" s="11">
        <v>2</v>
      </c>
      <c r="G70" s="45" t="str">
        <f>"*" &amp; Catalogo[[#This Row],[Clave ]] &amp; "-" &amp; Catalogo[[#This Row],[Estado NUEVO]] &amp; "*"</f>
        <v>*DGSW069-0*</v>
      </c>
      <c r="H70" s="47" t="str">
        <f>"*" &amp; Catalogo[[#This Row],[Clave ]] &amp; "-" &amp; Catalogo[[#This Row],[Estado REPARADO]] &amp; "*"</f>
        <v>*DGSW069-1*</v>
      </c>
      <c r="I70" s="50" t="str">
        <f>"*" &amp; Catalogo[[#This Row],[Clave ]] &amp; "-" &amp; Catalogo[[#This Row],[Estado REFACCION]] &amp; "*"</f>
        <v>*DGSW069-2*</v>
      </c>
    </row>
    <row r="71" spans="1:9" x14ac:dyDescent="0.25">
      <c r="A71" s="6">
        <f t="shared" si="3"/>
        <v>70</v>
      </c>
      <c r="B71" s="24" t="str">
        <f>PRODUCTOS!A71</f>
        <v>CONTROL REMOTO RADIO FRECUENCIA</v>
      </c>
      <c r="C71" s="7" t="str">
        <f>PRODUCTOS!C71</f>
        <v>DGSW070</v>
      </c>
      <c r="D71" s="11">
        <v>0</v>
      </c>
      <c r="E71" s="11">
        <v>1</v>
      </c>
      <c r="F71" s="11">
        <v>2</v>
      </c>
      <c r="G71" s="45" t="str">
        <f>"*" &amp; Catalogo[[#This Row],[Clave ]] &amp; "-" &amp; Catalogo[[#This Row],[Estado NUEVO]] &amp; "*"</f>
        <v>*DGSW070-0*</v>
      </c>
      <c r="H71" s="47" t="str">
        <f>"*" &amp; Catalogo[[#This Row],[Clave ]] &amp; "-" &amp; Catalogo[[#This Row],[Estado REPARADO]] &amp; "*"</f>
        <v>*DGSW070-1*</v>
      </c>
      <c r="I71" s="50" t="str">
        <f>"*" &amp; Catalogo[[#This Row],[Clave ]] &amp; "-" &amp; Catalogo[[#This Row],[Estado REFACCION]] &amp; "*"</f>
        <v>*DGSW070-2*</v>
      </c>
    </row>
    <row r="72" spans="1:9" x14ac:dyDescent="0.25">
      <c r="A72" s="6">
        <f t="shared" si="3"/>
        <v>71</v>
      </c>
      <c r="B72" s="24" t="str">
        <f>PRODUCTOS!A72</f>
        <v>CONTROL REMOTO SOLO DE RADIO FRECUENCIA</v>
      </c>
      <c r="C72" s="7" t="str">
        <f>PRODUCTOS!C72</f>
        <v>DGSW071</v>
      </c>
      <c r="D72" s="11">
        <v>0</v>
      </c>
      <c r="E72" s="11">
        <v>1</v>
      </c>
      <c r="F72" s="11">
        <v>2</v>
      </c>
      <c r="G72" s="45" t="str">
        <f>"*" &amp; Catalogo[[#This Row],[Clave ]] &amp; "-" &amp; Catalogo[[#This Row],[Estado NUEVO]] &amp; "*"</f>
        <v>*DGSW071-0*</v>
      </c>
      <c r="H72" s="47" t="str">
        <f>"*" &amp; Catalogo[[#This Row],[Clave ]] &amp; "-" &amp; Catalogo[[#This Row],[Estado REPARADO]] &amp; "*"</f>
        <v>*DGSW071-1*</v>
      </c>
      <c r="I72" s="50" t="str">
        <f>"*" &amp; Catalogo[[#This Row],[Clave ]] &amp; "-" &amp; Catalogo[[#This Row],[Estado REFACCION]] &amp; "*"</f>
        <v>*DGSW071-2*</v>
      </c>
    </row>
    <row r="73" spans="1:9" x14ac:dyDescent="0.25">
      <c r="A73" s="6">
        <f t="shared" si="3"/>
        <v>72</v>
      </c>
      <c r="B73" s="24" t="str">
        <f>PRODUCTOS!A73</f>
        <v>CONTROL REMOTO UNIVERSAL RF BRIGE</v>
      </c>
      <c r="C73" s="7" t="str">
        <f>PRODUCTOS!C73</f>
        <v>DGSW072</v>
      </c>
      <c r="D73" s="11">
        <v>0</v>
      </c>
      <c r="E73" s="11">
        <v>1</v>
      </c>
      <c r="F73" s="11">
        <v>2</v>
      </c>
      <c r="G73" s="45" t="str">
        <f>"*" &amp; Catalogo[[#This Row],[Clave ]] &amp; "-" &amp; Catalogo[[#This Row],[Estado NUEVO]] &amp; "*"</f>
        <v>*DGSW072-0*</v>
      </c>
      <c r="H73" s="47" t="str">
        <f>"*" &amp; Catalogo[[#This Row],[Clave ]] &amp; "-" &amp; Catalogo[[#This Row],[Estado REPARADO]] &amp; "*"</f>
        <v>*DGSW072-1*</v>
      </c>
      <c r="I73" s="50" t="str">
        <f>"*" &amp; Catalogo[[#This Row],[Clave ]] &amp; "-" &amp; Catalogo[[#This Row],[Estado REFACCION]] &amp; "*"</f>
        <v>*DGSW072-2*</v>
      </c>
    </row>
    <row r="74" spans="1:9" x14ac:dyDescent="0.25">
      <c r="A74" s="6">
        <f t="shared" si="3"/>
        <v>73</v>
      </c>
      <c r="B74" s="24" t="str">
        <f>PRODUCTOS!A74</f>
        <v>CONTROLADOR LED</v>
      </c>
      <c r="C74" s="7" t="str">
        <f>PRODUCTOS!C74</f>
        <v>DGSW073</v>
      </c>
      <c r="D74" s="11">
        <v>0</v>
      </c>
      <c r="E74" s="11">
        <v>1</v>
      </c>
      <c r="F74" s="11">
        <v>2</v>
      </c>
      <c r="G74" s="45" t="str">
        <f>"*" &amp; Catalogo[[#This Row],[Clave ]] &amp; "-" &amp; Catalogo[[#This Row],[Estado NUEVO]] &amp; "*"</f>
        <v>*DGSW073-0*</v>
      </c>
      <c r="H74" s="47" t="str">
        <f>"*" &amp; Catalogo[[#This Row],[Clave ]] &amp; "-" &amp; Catalogo[[#This Row],[Estado REPARADO]] &amp; "*"</f>
        <v>*DGSW073-1*</v>
      </c>
      <c r="I74" s="50" t="str">
        <f>"*" &amp; Catalogo[[#This Row],[Clave ]] &amp; "-" &amp; Catalogo[[#This Row],[Estado REFACCION]] &amp; "*"</f>
        <v>*DGSW073-2*</v>
      </c>
    </row>
    <row r="75" spans="1:9" x14ac:dyDescent="0.25">
      <c r="A75" s="6">
        <f t="shared" si="3"/>
        <v>74</v>
      </c>
      <c r="B75" s="24" t="str">
        <f>PRODUCTOS!A75</f>
        <v xml:space="preserve">COMTROLADOR LED PARA ESCALERAS </v>
      </c>
      <c r="C75" s="7" t="str">
        <f>PRODUCTOS!C75</f>
        <v>DGSW074</v>
      </c>
      <c r="D75" s="11">
        <v>0</v>
      </c>
      <c r="E75" s="11">
        <v>1</v>
      </c>
      <c r="F75" s="11">
        <v>2</v>
      </c>
      <c r="G75" s="45" t="str">
        <f>"*" &amp; Catalogo[[#This Row],[Clave ]] &amp; "-" &amp; Catalogo[[#This Row],[Estado NUEVO]] &amp; "*"</f>
        <v>*DGSW074-0*</v>
      </c>
      <c r="H75" s="47" t="str">
        <f>"*" &amp; Catalogo[[#This Row],[Clave ]] &amp; "-" &amp; Catalogo[[#This Row],[Estado REPARADO]] &amp; "*"</f>
        <v>*DGSW074-1*</v>
      </c>
      <c r="I75" s="50" t="str">
        <f>"*" &amp; Catalogo[[#This Row],[Clave ]] &amp; "-" &amp; Catalogo[[#This Row],[Estado REFACCION]] &amp; "*"</f>
        <v>*DGSW074-2*</v>
      </c>
    </row>
    <row r="76" spans="1:9" x14ac:dyDescent="0.25">
      <c r="A76" s="6">
        <f t="shared" si="3"/>
        <v>75</v>
      </c>
      <c r="B76" s="24" t="str">
        <f>PRODUCTOS!A76</f>
        <v xml:space="preserve">CONTROLADOR LED SINGS </v>
      </c>
      <c r="C76" s="7" t="str">
        <f>PRODUCTOS!C76</f>
        <v>DGSW075</v>
      </c>
      <c r="D76" s="11">
        <v>0</v>
      </c>
      <c r="E76" s="11">
        <v>1</v>
      </c>
      <c r="F76" s="11">
        <v>2</v>
      </c>
      <c r="G76" s="45" t="str">
        <f>"*" &amp; Catalogo[[#This Row],[Clave ]] &amp; "-" &amp; Catalogo[[#This Row],[Estado NUEVO]] &amp; "*"</f>
        <v>*DGSW075-0*</v>
      </c>
      <c r="H76" s="47" t="str">
        <f>"*" &amp; Catalogo[[#This Row],[Clave ]] &amp; "-" &amp; Catalogo[[#This Row],[Estado REPARADO]] &amp; "*"</f>
        <v>*DGSW075-1*</v>
      </c>
      <c r="I76" s="50" t="str">
        <f>"*" &amp; Catalogo[[#This Row],[Clave ]] &amp; "-" &amp; Catalogo[[#This Row],[Estado REFACCION]] &amp; "*"</f>
        <v>*DGSW075-2*</v>
      </c>
    </row>
    <row r="77" spans="1:9" x14ac:dyDescent="0.25">
      <c r="A77" s="6">
        <f t="shared" ref="A77:A108" si="4">ROW(A76)</f>
        <v>76</v>
      </c>
      <c r="B77" s="24" t="str">
        <f>PRODUCTOS!A77</f>
        <v>CHAPAS / CANDADOS CHICOS</v>
      </c>
      <c r="C77" s="7" t="str">
        <f>PRODUCTOS!C77</f>
        <v>DGSW076</v>
      </c>
      <c r="D77" s="11">
        <v>0</v>
      </c>
      <c r="E77" s="11">
        <v>1</v>
      </c>
      <c r="F77" s="11">
        <v>2</v>
      </c>
      <c r="G77" s="45" t="str">
        <f>"*" &amp; Catalogo[[#This Row],[Clave ]] &amp; "-" &amp; Catalogo[[#This Row],[Estado NUEVO]] &amp; "*"</f>
        <v>*DGSW076-0*</v>
      </c>
      <c r="H77" s="47" t="str">
        <f>"*" &amp; Catalogo[[#This Row],[Clave ]] &amp; "-" &amp; Catalogo[[#This Row],[Estado REPARADO]] &amp; "*"</f>
        <v>*DGSW076-1*</v>
      </c>
      <c r="I77" s="50" t="str">
        <f>"*" &amp; Catalogo[[#This Row],[Clave ]] &amp; "-" &amp; Catalogo[[#This Row],[Estado REFACCION]] &amp; "*"</f>
        <v>*DGSW076-2*</v>
      </c>
    </row>
    <row r="78" spans="1:9" x14ac:dyDescent="0.25">
      <c r="A78" s="6">
        <f t="shared" si="4"/>
        <v>77</v>
      </c>
      <c r="B78" s="24" t="str">
        <f>PRODUCTOS!A78</f>
        <v>CHAPAS / CANDADOS GRNADES</v>
      </c>
      <c r="C78" s="7" t="str">
        <f>PRODUCTOS!C78</f>
        <v>DGSW077</v>
      </c>
      <c r="D78" s="11">
        <v>0</v>
      </c>
      <c r="E78" s="11">
        <v>1</v>
      </c>
      <c r="F78" s="11">
        <v>2</v>
      </c>
      <c r="G78" s="45" t="str">
        <f>"*" &amp; Catalogo[[#This Row],[Clave ]] &amp; "-" &amp; Catalogo[[#This Row],[Estado NUEVO]] &amp; "*"</f>
        <v>*DGSW077-0*</v>
      </c>
      <c r="H78" s="47" t="str">
        <f>"*" &amp; Catalogo[[#This Row],[Clave ]] &amp; "-" &amp; Catalogo[[#This Row],[Estado REPARADO]] &amp; "*"</f>
        <v>*DGSW077-1*</v>
      </c>
      <c r="I78" s="50" t="str">
        <f>"*" &amp; Catalogo[[#This Row],[Clave ]] &amp; "-" &amp; Catalogo[[#This Row],[Estado REFACCION]] &amp; "*"</f>
        <v>*DGSW077-2*</v>
      </c>
    </row>
    <row r="79" spans="1:9" x14ac:dyDescent="0.25">
      <c r="A79" s="6">
        <f t="shared" si="4"/>
        <v>78</v>
      </c>
      <c r="B79" s="24" t="str">
        <f>PRODUCTOS!A79</f>
        <v>CHAPA ELECTROMAGNETICA PARA PUERTAS 600Ibs C / Led / 280 kg</v>
      </c>
      <c r="C79" s="7" t="str">
        <f>PRODUCTOS!C79</f>
        <v>DGSW078</v>
      </c>
      <c r="D79" s="11">
        <v>0</v>
      </c>
      <c r="E79" s="11">
        <v>1</v>
      </c>
      <c r="F79" s="11">
        <v>2</v>
      </c>
      <c r="G79" s="45" t="str">
        <f>"*" &amp; Catalogo[[#This Row],[Clave ]] &amp; "-" &amp; Catalogo[[#This Row],[Estado NUEVO]] &amp; "*"</f>
        <v>*DGSW078-0*</v>
      </c>
      <c r="H79" s="47" t="str">
        <f>"*" &amp; Catalogo[[#This Row],[Clave ]] &amp; "-" &amp; Catalogo[[#This Row],[Estado REPARADO]] &amp; "*"</f>
        <v>*DGSW078-1*</v>
      </c>
      <c r="I79" s="50" t="str">
        <f>"*" &amp; Catalogo[[#This Row],[Clave ]] &amp; "-" &amp; Catalogo[[#This Row],[Estado REFACCION]] &amp; "*"</f>
        <v>*DGSW078-2*</v>
      </c>
    </row>
    <row r="80" spans="1:9" x14ac:dyDescent="0.25">
      <c r="A80" s="6">
        <f t="shared" si="4"/>
        <v>79</v>
      </c>
      <c r="B80" s="24" t="str">
        <f>PRODUCTOS!A80</f>
        <v>ELECTROIMAN EM2805</v>
      </c>
      <c r="C80" s="7" t="str">
        <f>PRODUCTOS!C80</f>
        <v>DGSW079</v>
      </c>
      <c r="D80" s="11">
        <v>0</v>
      </c>
      <c r="E80" s="11">
        <v>1</v>
      </c>
      <c r="F80" s="11">
        <v>2</v>
      </c>
      <c r="G80" s="45" t="str">
        <f>"*" &amp; Catalogo[[#This Row],[Clave ]] &amp; "-" &amp; Catalogo[[#This Row],[Estado NUEVO]] &amp; "*"</f>
        <v>*DGSW079-0*</v>
      </c>
      <c r="H80" s="47" t="str">
        <f>"*" &amp; Catalogo[[#This Row],[Clave ]] &amp; "-" &amp; Catalogo[[#This Row],[Estado REPARADO]] &amp; "*"</f>
        <v>*DGSW079-1*</v>
      </c>
      <c r="I80" s="50" t="str">
        <f>"*" &amp; Catalogo[[#This Row],[Clave ]] &amp; "-" &amp; Catalogo[[#This Row],[Estado REFACCION]] &amp; "*"</f>
        <v>*DGSW079-2*</v>
      </c>
    </row>
    <row r="81" spans="1:9" x14ac:dyDescent="0.25">
      <c r="A81" s="6">
        <f t="shared" si="4"/>
        <v>80</v>
      </c>
      <c r="B81" s="24" t="str">
        <f>PRODUCTOS!A81</f>
        <v>ELIMINADOR 12V 1 A</v>
      </c>
      <c r="C81" s="7" t="str">
        <f>PRODUCTOS!C81</f>
        <v>DGSW080</v>
      </c>
      <c r="D81" s="11">
        <v>0</v>
      </c>
      <c r="E81" s="11">
        <v>1</v>
      </c>
      <c r="F81" s="11">
        <v>2</v>
      </c>
      <c r="G81" s="45" t="str">
        <f>"*" &amp; Catalogo[[#This Row],[Clave ]] &amp; "-" &amp; Catalogo[[#This Row],[Estado NUEVO]] &amp; "*"</f>
        <v>*DGSW080-0*</v>
      </c>
      <c r="H81" s="47" t="str">
        <f>"*" &amp; Catalogo[[#This Row],[Clave ]] &amp; "-" &amp; Catalogo[[#This Row],[Estado REPARADO]] &amp; "*"</f>
        <v>*DGSW080-1*</v>
      </c>
      <c r="I81" s="50" t="str">
        <f>"*" &amp; Catalogo[[#This Row],[Clave ]] &amp; "-" &amp; Catalogo[[#This Row],[Estado REFACCION]] &amp; "*"</f>
        <v>*DGSW080-2*</v>
      </c>
    </row>
    <row r="82" spans="1:9" x14ac:dyDescent="0.25">
      <c r="A82" s="6">
        <f t="shared" si="4"/>
        <v>81</v>
      </c>
      <c r="B82" s="24" t="str">
        <f>PRODUCTOS!A82</f>
        <v>ELIMINADOR 12V 2 A</v>
      </c>
      <c r="C82" s="7" t="str">
        <f>PRODUCTOS!C82</f>
        <v>DGSW081</v>
      </c>
      <c r="D82" s="11">
        <v>0</v>
      </c>
      <c r="E82" s="11">
        <v>1</v>
      </c>
      <c r="F82" s="11">
        <v>2</v>
      </c>
      <c r="G82" s="45" t="str">
        <f>"*" &amp; Catalogo[[#This Row],[Clave ]] &amp; "-" &amp; Catalogo[[#This Row],[Estado NUEVO]] &amp; "*"</f>
        <v>*DGSW081-0*</v>
      </c>
      <c r="H82" s="47" t="str">
        <f>"*" &amp; Catalogo[[#This Row],[Clave ]] &amp; "-" &amp; Catalogo[[#This Row],[Estado REPARADO]] &amp; "*"</f>
        <v>*DGSW081-1*</v>
      </c>
      <c r="I82" s="50" t="str">
        <f>"*" &amp; Catalogo[[#This Row],[Clave ]] &amp; "-" &amp; Catalogo[[#This Row],[Estado REFACCION]] &amp; "*"</f>
        <v>*DGSW081-2*</v>
      </c>
    </row>
    <row r="83" spans="1:9" x14ac:dyDescent="0.25">
      <c r="A83" s="6">
        <f t="shared" si="4"/>
        <v>82</v>
      </c>
      <c r="B83" s="24" t="str">
        <f>PRODUCTOS!A83</f>
        <v>ENCHUFE INTELIGENTE NEGRO</v>
      </c>
      <c r="C83" s="7" t="str">
        <f>PRODUCTOS!C83</f>
        <v>DGSW082</v>
      </c>
      <c r="D83" s="11">
        <v>0</v>
      </c>
      <c r="E83" s="11">
        <v>1</v>
      </c>
      <c r="F83" s="11">
        <v>2</v>
      </c>
      <c r="G83" s="45" t="str">
        <f>"*" &amp; Catalogo[[#This Row],[Clave ]] &amp; "-" &amp; Catalogo[[#This Row],[Estado NUEVO]] &amp; "*"</f>
        <v>*DGSW082-0*</v>
      </c>
      <c r="H83" s="47" t="str">
        <f>"*" &amp; Catalogo[[#This Row],[Clave ]] &amp; "-" &amp; Catalogo[[#This Row],[Estado REPARADO]] &amp; "*"</f>
        <v>*DGSW082-1*</v>
      </c>
      <c r="I83" s="50" t="str">
        <f>"*" &amp; Catalogo[[#This Row],[Clave ]] &amp; "-" &amp; Catalogo[[#This Row],[Estado REFACCION]] &amp; "*"</f>
        <v>*DGSW082-2*</v>
      </c>
    </row>
    <row r="84" spans="1:9" x14ac:dyDescent="0.25">
      <c r="A84" s="6">
        <f t="shared" si="4"/>
        <v>83</v>
      </c>
      <c r="B84" s="24" t="str">
        <f>PRODUCTOS!A84</f>
        <v>ENCHUFE INTELIGENTE WIFI</v>
      </c>
      <c r="C84" s="7" t="str">
        <f>PRODUCTOS!C84</f>
        <v>DGSW083</v>
      </c>
      <c r="D84" s="11">
        <v>0</v>
      </c>
      <c r="E84" s="11">
        <v>1</v>
      </c>
      <c r="F84" s="11">
        <v>2</v>
      </c>
      <c r="G84" s="45" t="str">
        <f>"*" &amp; Catalogo[[#This Row],[Clave ]] &amp; "-" &amp; Catalogo[[#This Row],[Estado NUEVO]] &amp; "*"</f>
        <v>*DGSW083-0*</v>
      </c>
      <c r="H84" s="47" t="str">
        <f>"*" &amp; Catalogo[[#This Row],[Clave ]] &amp; "-" &amp; Catalogo[[#This Row],[Estado REPARADO]] &amp; "*"</f>
        <v>*DGSW083-1*</v>
      </c>
      <c r="I84" s="50" t="str">
        <f>"*" &amp; Catalogo[[#This Row],[Clave ]] &amp; "-" &amp; Catalogo[[#This Row],[Estado REFACCION]] &amp; "*"</f>
        <v>*DGSW083-2*</v>
      </c>
    </row>
    <row r="85" spans="1:9" x14ac:dyDescent="0.25">
      <c r="A85" s="6">
        <f t="shared" si="4"/>
        <v>84</v>
      </c>
      <c r="B85" s="24" t="str">
        <f>PRODUCTOS!A85</f>
        <v>FOCO WI-FI</v>
      </c>
      <c r="C85" s="7" t="str">
        <f>PRODUCTOS!C85</f>
        <v>DGSW084</v>
      </c>
      <c r="D85" s="11">
        <v>0</v>
      </c>
      <c r="E85" s="11">
        <v>1</v>
      </c>
      <c r="F85" s="11">
        <v>2</v>
      </c>
      <c r="G85" s="45" t="str">
        <f>"*" &amp; Catalogo[[#This Row],[Clave ]] &amp; "-" &amp; Catalogo[[#This Row],[Estado NUEVO]] &amp; "*"</f>
        <v>*DGSW084-0*</v>
      </c>
      <c r="H85" s="47" t="str">
        <f>"*" &amp; Catalogo[[#This Row],[Clave ]] &amp; "-" &amp; Catalogo[[#This Row],[Estado REPARADO]] &amp; "*"</f>
        <v>*DGSW084-1*</v>
      </c>
      <c r="I85" s="50" t="str">
        <f>"*" &amp; Catalogo[[#This Row],[Clave ]] &amp; "-" &amp; Catalogo[[#This Row],[Estado REFACCION]] &amp; "*"</f>
        <v>*DGSW084-2*</v>
      </c>
    </row>
    <row r="86" spans="1:9" x14ac:dyDescent="0.25">
      <c r="A86" s="6">
        <f t="shared" si="4"/>
        <v>85</v>
      </c>
      <c r="B86" s="24" t="str">
        <f>PRODUCTOS!A86</f>
        <v>FUENTE DE PODER 3V =1A</v>
      </c>
      <c r="C86" s="7" t="str">
        <f>PRODUCTOS!C86</f>
        <v>DGSW085</v>
      </c>
      <c r="D86" s="11">
        <v>0</v>
      </c>
      <c r="E86" s="11">
        <v>1</v>
      </c>
      <c r="F86" s="11">
        <v>2</v>
      </c>
      <c r="G86" s="45" t="str">
        <f>"*" &amp; Catalogo[[#This Row],[Clave ]] &amp; "-" &amp; Catalogo[[#This Row],[Estado NUEVO]] &amp; "*"</f>
        <v>*DGSW085-0*</v>
      </c>
      <c r="H86" s="47" t="str">
        <f>"*" &amp; Catalogo[[#This Row],[Clave ]] &amp; "-" &amp; Catalogo[[#This Row],[Estado REPARADO]] &amp; "*"</f>
        <v>*DGSW085-1*</v>
      </c>
      <c r="I86" s="50" t="str">
        <f>"*" &amp; Catalogo[[#This Row],[Clave ]] &amp; "-" &amp; Catalogo[[#This Row],[Estado REFACCION]] &amp; "*"</f>
        <v>*DGSW085-2*</v>
      </c>
    </row>
    <row r="87" spans="1:9" x14ac:dyDescent="0.25">
      <c r="A87" s="6">
        <f t="shared" si="4"/>
        <v>86</v>
      </c>
      <c r="B87" s="24" t="str">
        <f>PRODUCTOS!A87</f>
        <v>FUENTE DE ALIMENTACION 5v</v>
      </c>
      <c r="C87" s="7" t="str">
        <f>PRODUCTOS!C87</f>
        <v>DGSW086</v>
      </c>
      <c r="D87" s="11">
        <v>0</v>
      </c>
      <c r="E87" s="11">
        <v>1</v>
      </c>
      <c r="F87" s="11">
        <v>2</v>
      </c>
      <c r="G87" s="45" t="str">
        <f>"*" &amp; Catalogo[[#This Row],[Clave ]] &amp; "-" &amp; Catalogo[[#This Row],[Estado NUEVO]] &amp; "*"</f>
        <v>*DGSW086-0*</v>
      </c>
      <c r="H87" s="47" t="str">
        <f>"*" &amp; Catalogo[[#This Row],[Clave ]] &amp; "-" &amp; Catalogo[[#This Row],[Estado REPARADO]] &amp; "*"</f>
        <v>*DGSW086-1*</v>
      </c>
      <c r="I87" s="50" t="str">
        <f>"*" &amp; Catalogo[[#This Row],[Clave ]] &amp; "-" &amp; Catalogo[[#This Row],[Estado REFACCION]] &amp; "*"</f>
        <v>*DGSW086-2*</v>
      </c>
    </row>
    <row r="88" spans="1:9" x14ac:dyDescent="0.25">
      <c r="A88" s="6">
        <f t="shared" si="4"/>
        <v>87</v>
      </c>
      <c r="B88" s="24" t="str">
        <f>PRODUCTOS!A88</f>
        <v>FUENTE DE PODER 24V = 1.6A</v>
      </c>
      <c r="C88" s="7" t="str">
        <f>PRODUCTOS!C88</f>
        <v>DGSW087</v>
      </c>
      <c r="D88" s="11">
        <v>0</v>
      </c>
      <c r="E88" s="11">
        <v>1</v>
      </c>
      <c r="F88" s="11">
        <v>2</v>
      </c>
      <c r="G88" s="45" t="str">
        <f>"*" &amp; Catalogo[[#This Row],[Clave ]] &amp; "-" &amp; Catalogo[[#This Row],[Estado NUEVO]] &amp; "*"</f>
        <v>*DGSW087-0*</v>
      </c>
      <c r="H88" s="47" t="str">
        <f>"*" &amp; Catalogo[[#This Row],[Clave ]] &amp; "-" &amp; Catalogo[[#This Row],[Estado REPARADO]] &amp; "*"</f>
        <v>*DGSW087-1*</v>
      </c>
      <c r="I88" s="50" t="str">
        <f>"*" &amp; Catalogo[[#This Row],[Clave ]] &amp; "-" &amp; Catalogo[[#This Row],[Estado REFACCION]] &amp; "*"</f>
        <v>*DGSW087-2*</v>
      </c>
    </row>
    <row r="89" spans="1:9" x14ac:dyDescent="0.25">
      <c r="A89" s="6">
        <f t="shared" si="4"/>
        <v>88</v>
      </c>
      <c r="B89" s="24" t="str">
        <f>PRODUCTOS!A89</f>
        <v>FUENTE DE ALIMENTACION 25v</v>
      </c>
      <c r="C89" s="7" t="str">
        <f>PRODUCTOS!C89</f>
        <v>DGSW088</v>
      </c>
      <c r="D89" s="11">
        <v>0</v>
      </c>
      <c r="E89" s="11">
        <v>1</v>
      </c>
      <c r="F89" s="11">
        <v>2</v>
      </c>
      <c r="G89" s="45" t="str">
        <f>"*" &amp; Catalogo[[#This Row],[Clave ]] &amp; "-" &amp; Catalogo[[#This Row],[Estado NUEVO]] &amp; "*"</f>
        <v>*DGSW088-0*</v>
      </c>
      <c r="H89" s="47" t="str">
        <f>"*" &amp; Catalogo[[#This Row],[Clave ]] &amp; "-" &amp; Catalogo[[#This Row],[Estado REPARADO]] &amp; "*"</f>
        <v>*DGSW088-1*</v>
      </c>
      <c r="I89" s="50" t="str">
        <f>"*" &amp; Catalogo[[#This Row],[Clave ]] &amp; "-" &amp; Catalogo[[#This Row],[Estado REFACCION]] &amp; "*"</f>
        <v>*DGSW088-2*</v>
      </c>
    </row>
    <row r="90" spans="1:9" x14ac:dyDescent="0.25">
      <c r="A90" s="6">
        <f t="shared" si="4"/>
        <v>89</v>
      </c>
      <c r="B90" s="24" t="str">
        <f>PRODUCTOS!A90</f>
        <v>FUENTE DE ALIMENTACION KK 1295</v>
      </c>
      <c r="C90" s="7" t="str">
        <f>PRODUCTOS!C90</f>
        <v>DGSW089</v>
      </c>
      <c r="D90" s="11">
        <v>0</v>
      </c>
      <c r="E90" s="11">
        <v>1</v>
      </c>
      <c r="F90" s="11">
        <v>2</v>
      </c>
      <c r="G90" s="45" t="str">
        <f>"*" &amp; Catalogo[[#This Row],[Clave ]] &amp; "-" &amp; Catalogo[[#This Row],[Estado NUEVO]] &amp; "*"</f>
        <v>*DGSW089-0*</v>
      </c>
      <c r="H90" s="47" t="str">
        <f>"*" &amp; Catalogo[[#This Row],[Clave ]] &amp; "-" &amp; Catalogo[[#This Row],[Estado REPARADO]] &amp; "*"</f>
        <v>*DGSW089-1*</v>
      </c>
      <c r="I90" s="50" t="str">
        <f>"*" &amp; Catalogo[[#This Row],[Clave ]] &amp; "-" &amp; Catalogo[[#This Row],[Estado REFACCION]] &amp; "*"</f>
        <v>*DGSW089-2*</v>
      </c>
    </row>
    <row r="91" spans="1:9" x14ac:dyDescent="0.25">
      <c r="A91" s="6">
        <f t="shared" si="4"/>
        <v>90</v>
      </c>
      <c r="B91" s="24" t="str">
        <f>PRODUCTOS!A91</f>
        <v>FUENTE DE PODER MINI 12V CONTROL DE ACCESO</v>
      </c>
      <c r="C91" s="7" t="str">
        <f>PRODUCTOS!C91</f>
        <v>DGSW090</v>
      </c>
      <c r="D91" s="11">
        <v>0</v>
      </c>
      <c r="E91" s="11">
        <v>1</v>
      </c>
      <c r="F91" s="11">
        <v>2</v>
      </c>
      <c r="G91" s="45" t="str">
        <f>"*" &amp; Catalogo[[#This Row],[Clave ]] &amp; "-" &amp; Catalogo[[#This Row],[Estado NUEVO]] &amp; "*"</f>
        <v>*DGSW090-0*</v>
      </c>
      <c r="H91" s="47" t="str">
        <f>"*" &amp; Catalogo[[#This Row],[Clave ]] &amp; "-" &amp; Catalogo[[#This Row],[Estado REPARADO]] &amp; "*"</f>
        <v>*DGSW090-1*</v>
      </c>
      <c r="I91" s="50" t="str">
        <f>"*" &amp; Catalogo[[#This Row],[Clave ]] &amp; "-" &amp; Catalogo[[#This Row],[Estado REFACCION]] &amp; "*"</f>
        <v>*DGSW090-2*</v>
      </c>
    </row>
    <row r="92" spans="1:9" x14ac:dyDescent="0.25">
      <c r="A92" s="6">
        <f t="shared" si="4"/>
        <v>91</v>
      </c>
      <c r="B92" s="24" t="str">
        <f>PRODUCTOS!A92</f>
        <v>GRAPAS PARA BANDA A/2</v>
      </c>
      <c r="C92" s="7" t="str">
        <f>PRODUCTOS!C92</f>
        <v>DGSW091</v>
      </c>
      <c r="D92" s="11">
        <v>0</v>
      </c>
      <c r="E92" s="11">
        <v>1</v>
      </c>
      <c r="F92" s="11">
        <v>2</v>
      </c>
      <c r="G92" s="45" t="str">
        <f>"*" &amp; Catalogo[[#This Row],[Clave ]] &amp; "-" &amp; Catalogo[[#This Row],[Estado NUEVO]] &amp; "*"</f>
        <v>*DGSW091-0*</v>
      </c>
      <c r="H92" s="47" t="str">
        <f>"*" &amp; Catalogo[[#This Row],[Clave ]] &amp; "-" &amp; Catalogo[[#This Row],[Estado REPARADO]] &amp; "*"</f>
        <v>*DGSW091-1*</v>
      </c>
      <c r="I92" s="50" t="str">
        <f>"*" &amp; Catalogo[[#This Row],[Clave ]] &amp; "-" &amp; Catalogo[[#This Row],[Estado REFACCION]] &amp; "*"</f>
        <v>*DGSW091-2*</v>
      </c>
    </row>
    <row r="93" spans="1:9" x14ac:dyDescent="0.25">
      <c r="A93" s="6">
        <f t="shared" si="4"/>
        <v>92</v>
      </c>
      <c r="B93" s="24" t="str">
        <f>PRODUCTOS!A93</f>
        <v>GRAPAS  SOPORTE</v>
      </c>
      <c r="C93" s="7" t="str">
        <f>PRODUCTOS!C93</f>
        <v>DGSW092</v>
      </c>
      <c r="D93" s="11">
        <v>0</v>
      </c>
      <c r="E93" s="11">
        <v>1</v>
      </c>
      <c r="F93" s="11">
        <v>2</v>
      </c>
      <c r="G93" s="45" t="str">
        <f>"*" &amp; Catalogo[[#This Row],[Clave ]] &amp; "-" &amp; Catalogo[[#This Row],[Estado NUEVO]] &amp; "*"</f>
        <v>*DGSW092-0*</v>
      </c>
      <c r="H93" s="47" t="str">
        <f>"*" &amp; Catalogo[[#This Row],[Clave ]] &amp; "-" &amp; Catalogo[[#This Row],[Estado REPARADO]] &amp; "*"</f>
        <v>*DGSW092-1*</v>
      </c>
      <c r="I93" s="50" t="str">
        <f>"*" &amp; Catalogo[[#This Row],[Clave ]] &amp; "-" &amp; Catalogo[[#This Row],[Estado REFACCION]] &amp; "*"</f>
        <v>*DGSW092-2*</v>
      </c>
    </row>
    <row r="94" spans="1:9" x14ac:dyDescent="0.25">
      <c r="A94" s="6">
        <f t="shared" si="4"/>
        <v>93</v>
      </c>
      <c r="B94" s="24" t="str">
        <f>PRODUCTOS!A94</f>
        <v>HUB ZIGBEE GATEWAY CON CABLE</v>
      </c>
      <c r="C94" s="7" t="str">
        <f>PRODUCTOS!C94</f>
        <v>DGSW093</v>
      </c>
      <c r="D94" s="11">
        <v>0</v>
      </c>
      <c r="E94" s="11">
        <v>1</v>
      </c>
      <c r="F94" s="11">
        <v>2</v>
      </c>
      <c r="G94" s="45" t="str">
        <f>"*" &amp; Catalogo[[#This Row],[Clave ]] &amp; "-" &amp; Catalogo[[#This Row],[Estado NUEVO]] &amp; "*"</f>
        <v>*DGSW093-0*</v>
      </c>
      <c r="H94" s="47" t="str">
        <f>"*" &amp; Catalogo[[#This Row],[Clave ]] &amp; "-" &amp; Catalogo[[#This Row],[Estado REPARADO]] &amp; "*"</f>
        <v>*DGSW093-1*</v>
      </c>
      <c r="I94" s="50" t="str">
        <f>"*" &amp; Catalogo[[#This Row],[Clave ]] &amp; "-" &amp; Catalogo[[#This Row],[Estado REFACCION]] &amp; "*"</f>
        <v>*DGSW093-2*</v>
      </c>
    </row>
    <row r="95" spans="1:9" x14ac:dyDescent="0.25">
      <c r="A95" s="6">
        <f t="shared" si="4"/>
        <v>94</v>
      </c>
      <c r="B95" s="24" t="str">
        <f>PRODUCTOS!A95</f>
        <v>HUB ZIGBEE GATEWAY MINI</v>
      </c>
      <c r="C95" s="7" t="str">
        <f>PRODUCTOS!C95</f>
        <v>DGSW094</v>
      </c>
      <c r="D95" s="11">
        <v>0</v>
      </c>
      <c r="E95" s="11">
        <v>1</v>
      </c>
      <c r="F95" s="11">
        <v>2</v>
      </c>
      <c r="G95" s="45" t="str">
        <f>"*" &amp; Catalogo[[#This Row],[Clave ]] &amp; "-" &amp; Catalogo[[#This Row],[Estado NUEVO]] &amp; "*"</f>
        <v>*DGSW094-0*</v>
      </c>
      <c r="H95" s="47" t="str">
        <f>"*" &amp; Catalogo[[#This Row],[Clave ]] &amp; "-" &amp; Catalogo[[#This Row],[Estado REPARADO]] &amp; "*"</f>
        <v>*DGSW094-1*</v>
      </c>
      <c r="I95" s="50" t="str">
        <f>"*" &amp; Catalogo[[#This Row],[Clave ]] &amp; "-" &amp; Catalogo[[#This Row],[Estado REFACCION]] &amp; "*"</f>
        <v>*DGSW094-2*</v>
      </c>
    </row>
    <row r="96" spans="1:9" x14ac:dyDescent="0.25">
      <c r="A96" s="6">
        <f t="shared" si="4"/>
        <v>95</v>
      </c>
      <c r="B96" s="24" t="str">
        <f>PRODUCTOS!A96</f>
        <v xml:space="preserve">HUB NEGRO </v>
      </c>
      <c r="C96" s="7" t="str">
        <f>PRODUCTOS!C96</f>
        <v>DGSW095</v>
      </c>
      <c r="D96" s="11">
        <v>0</v>
      </c>
      <c r="E96" s="11">
        <v>1</v>
      </c>
      <c r="F96" s="11">
        <v>2</v>
      </c>
      <c r="G96" s="45" t="str">
        <f>"*" &amp; Catalogo[[#This Row],[Clave ]] &amp; "-" &amp; Catalogo[[#This Row],[Estado NUEVO]] &amp; "*"</f>
        <v>*DGSW095-0*</v>
      </c>
      <c r="H96" s="47" t="str">
        <f>"*" &amp; Catalogo[[#This Row],[Clave ]] &amp; "-" &amp; Catalogo[[#This Row],[Estado REPARADO]] &amp; "*"</f>
        <v>*DGSW095-1*</v>
      </c>
      <c r="I96" s="50" t="str">
        <f>"*" &amp; Catalogo[[#This Row],[Clave ]] &amp; "-" &amp; Catalogo[[#This Row],[Estado REFACCION]] &amp; "*"</f>
        <v>*DGSW095-2*</v>
      </c>
    </row>
    <row r="97" spans="1:9" x14ac:dyDescent="0.25">
      <c r="A97" s="6">
        <f t="shared" si="4"/>
        <v>96</v>
      </c>
      <c r="B97" s="24" t="str">
        <f>PRODUCTOS!A97</f>
        <v>HUB ZIGBEE /WIFI</v>
      </c>
      <c r="C97" s="7" t="str">
        <f>PRODUCTOS!C97</f>
        <v>DGSW096</v>
      </c>
      <c r="D97" s="11">
        <v>0</v>
      </c>
      <c r="E97" s="11">
        <v>1</v>
      </c>
      <c r="F97" s="11">
        <v>2</v>
      </c>
      <c r="G97" s="45" t="str">
        <f>"*" &amp; Catalogo[[#This Row],[Clave ]] &amp; "-" &amp; Catalogo[[#This Row],[Estado NUEVO]] &amp; "*"</f>
        <v>*DGSW096-0*</v>
      </c>
      <c r="H97" s="47" t="str">
        <f>"*" &amp; Catalogo[[#This Row],[Clave ]] &amp; "-" &amp; Catalogo[[#This Row],[Estado REPARADO]] &amp; "*"</f>
        <v>*DGSW096-1*</v>
      </c>
      <c r="I97" s="50" t="str">
        <f>"*" &amp; Catalogo[[#This Row],[Clave ]] &amp; "-" &amp; Catalogo[[#This Row],[Estado REFACCION]] &amp; "*"</f>
        <v>*DGSW096-2*</v>
      </c>
    </row>
    <row r="98" spans="1:9" x14ac:dyDescent="0.25">
      <c r="A98" s="6">
        <f t="shared" si="4"/>
        <v>97</v>
      </c>
      <c r="B98" s="24" t="str">
        <f>PRODUCTOS!A98</f>
        <v>INTERRUPTOR DE LUZ INTELIGENTE WI-FI</v>
      </c>
      <c r="C98" s="7" t="str">
        <f>PRODUCTOS!C98</f>
        <v>DGSW097</v>
      </c>
      <c r="D98" s="11">
        <v>0</v>
      </c>
      <c r="E98" s="11">
        <v>1</v>
      </c>
      <c r="F98" s="11">
        <v>2</v>
      </c>
      <c r="G98" s="45" t="str">
        <f>"*" &amp; Catalogo[[#This Row],[Clave ]] &amp; "-" &amp; Catalogo[[#This Row],[Estado NUEVO]] &amp; "*"</f>
        <v>*DGSW097-0*</v>
      </c>
      <c r="H98" s="47" t="str">
        <f>"*" &amp; Catalogo[[#This Row],[Clave ]] &amp; "-" &amp; Catalogo[[#This Row],[Estado REPARADO]] &amp; "*"</f>
        <v>*DGSW097-1*</v>
      </c>
      <c r="I98" s="50" t="str">
        <f>"*" &amp; Catalogo[[#This Row],[Clave ]] &amp; "-" &amp; Catalogo[[#This Row],[Estado REFACCION]] &amp; "*"</f>
        <v>*DGSW097-2*</v>
      </c>
    </row>
    <row r="99" spans="1:9" x14ac:dyDescent="0.25">
      <c r="A99" s="6">
        <f t="shared" si="4"/>
        <v>98</v>
      </c>
      <c r="B99" s="24" t="str">
        <f>PRODUCTOS!A99</f>
        <v>INTERRUPOR INTELIGENTE MINI</v>
      </c>
      <c r="C99" s="7" t="str">
        <f>PRODUCTOS!C99</f>
        <v>DGSW098</v>
      </c>
      <c r="D99" s="11">
        <v>0</v>
      </c>
      <c r="E99" s="11">
        <v>1</v>
      </c>
      <c r="F99" s="11">
        <v>2</v>
      </c>
      <c r="G99" s="45" t="str">
        <f>"*" &amp; Catalogo[[#This Row],[Clave ]] &amp; "-" &amp; Catalogo[[#This Row],[Estado NUEVO]] &amp; "*"</f>
        <v>*DGSW098-0*</v>
      </c>
      <c r="H99" s="47" t="str">
        <f>"*" &amp; Catalogo[[#This Row],[Clave ]] &amp; "-" &amp; Catalogo[[#This Row],[Estado REPARADO]] &amp; "*"</f>
        <v>*DGSW098-1*</v>
      </c>
      <c r="I99" s="50" t="str">
        <f>"*" &amp; Catalogo[[#This Row],[Clave ]] &amp; "-" &amp; Catalogo[[#This Row],[Estado REFACCION]] &amp; "*"</f>
        <v>*DGSW098-2*</v>
      </c>
    </row>
    <row r="100" spans="1:9" x14ac:dyDescent="0.25">
      <c r="A100" s="6">
        <f t="shared" si="4"/>
        <v>99</v>
      </c>
      <c r="B100" s="24" t="str">
        <f>PRODUCTOS!A100</f>
        <v>INTERRUPTOR MODULADOR NS-105</v>
      </c>
      <c r="C100" s="7" t="str">
        <f>PRODUCTOS!C100</f>
        <v>DGSW099</v>
      </c>
      <c r="D100" s="11">
        <v>0</v>
      </c>
      <c r="E100" s="11">
        <v>1</v>
      </c>
      <c r="F100" s="11">
        <v>2</v>
      </c>
      <c r="G100" s="45" t="str">
        <f>"*" &amp; Catalogo[[#This Row],[Clave ]] &amp; "-" &amp; Catalogo[[#This Row],[Estado NUEVO]] &amp; "*"</f>
        <v>*DGSW099-0*</v>
      </c>
      <c r="H100" s="47" t="str">
        <f>"*" &amp; Catalogo[[#This Row],[Clave ]] &amp; "-" &amp; Catalogo[[#This Row],[Estado REPARADO]] &amp; "*"</f>
        <v>*DGSW099-1*</v>
      </c>
      <c r="I100" s="50" t="str">
        <f>"*" &amp; Catalogo[[#This Row],[Clave ]] &amp; "-" &amp; Catalogo[[#This Row],[Estado REFACCION]] &amp; "*"</f>
        <v>*DGSW099-2*</v>
      </c>
    </row>
    <row r="101" spans="1:9" x14ac:dyDescent="0.25">
      <c r="A101" s="6">
        <f t="shared" si="4"/>
        <v>100</v>
      </c>
      <c r="B101" s="24" t="str">
        <f>PRODUCTOS!A101</f>
        <v>INTERMEDIO PERSIANAS CLUTCH     (EXTENCIONES)</v>
      </c>
      <c r="C101" s="7" t="str">
        <f>PRODUCTOS!C101</f>
        <v>DGSW100</v>
      </c>
      <c r="D101" s="11">
        <v>0</v>
      </c>
      <c r="E101" s="11">
        <v>1</v>
      </c>
      <c r="F101" s="11">
        <v>2</v>
      </c>
      <c r="G101" s="45" t="str">
        <f>"*" &amp; Catalogo[[#This Row],[Clave ]] &amp; "-" &amp; Catalogo[[#This Row],[Estado NUEVO]] &amp; "*"</f>
        <v>*DGSW100-0*</v>
      </c>
      <c r="H101" s="47" t="str">
        <f>"*" &amp; Catalogo[[#This Row],[Clave ]] &amp; "-" &amp; Catalogo[[#This Row],[Estado REPARADO]] &amp; "*"</f>
        <v>*DGSW100-1*</v>
      </c>
      <c r="I101" s="50" t="str">
        <f>"*" &amp; Catalogo[[#This Row],[Clave ]] &amp; "-" &amp; Catalogo[[#This Row],[Estado REFACCION]] &amp; "*"</f>
        <v>*DGSW100-2*</v>
      </c>
    </row>
    <row r="102" spans="1:9" x14ac:dyDescent="0.25">
      <c r="A102" s="6">
        <f t="shared" si="4"/>
        <v>101</v>
      </c>
      <c r="B102" s="24" t="str">
        <f>PRODUCTOS!A102</f>
        <v xml:space="preserve">IR BULLET NETWORK CAMARA </v>
      </c>
      <c r="C102" s="7" t="str">
        <f>PRODUCTOS!C102</f>
        <v>DGSW101</v>
      </c>
      <c r="D102" s="11">
        <v>0</v>
      </c>
      <c r="E102" s="11">
        <v>1</v>
      </c>
      <c r="F102" s="11">
        <v>2</v>
      </c>
      <c r="G102" s="45" t="str">
        <f>"*" &amp; Catalogo[[#This Row],[Clave ]] &amp; "-" &amp; Catalogo[[#This Row],[Estado NUEVO]] &amp; "*"</f>
        <v>*DGSW101-0*</v>
      </c>
      <c r="H102" s="47" t="str">
        <f>"*" &amp; Catalogo[[#This Row],[Clave ]] &amp; "-" &amp; Catalogo[[#This Row],[Estado REPARADO]] &amp; "*"</f>
        <v>*DGSW101-1*</v>
      </c>
      <c r="I102" s="50" t="str">
        <f>"*" &amp; Catalogo[[#This Row],[Clave ]] &amp; "-" &amp; Catalogo[[#This Row],[Estado REFACCION]] &amp; "*"</f>
        <v>*DGSW101-2*</v>
      </c>
    </row>
    <row r="103" spans="1:9" x14ac:dyDescent="0.25">
      <c r="A103" s="6">
        <f t="shared" si="4"/>
        <v>102</v>
      </c>
      <c r="B103" s="24" t="str">
        <f>PRODUCTOS!A103</f>
        <v xml:space="preserve">JUEGO DE POLEAS RIEL DEL CABEZAL P/PUERTAS COMERCIALES </v>
      </c>
      <c r="C103" s="7" t="str">
        <f>PRODUCTOS!C103</f>
        <v>DGSW102</v>
      </c>
      <c r="D103" s="11">
        <v>0</v>
      </c>
      <c r="E103" s="11">
        <v>1</v>
      </c>
      <c r="F103" s="11">
        <v>2</v>
      </c>
      <c r="G103" s="45" t="str">
        <f>"*" &amp; Catalogo[[#This Row],[Clave ]] &amp; "-" &amp; Catalogo[[#This Row],[Estado NUEVO]] &amp; "*"</f>
        <v>*DGSW102-0*</v>
      </c>
      <c r="H103" s="47" t="str">
        <f>"*" &amp; Catalogo[[#This Row],[Clave ]] &amp; "-" &amp; Catalogo[[#This Row],[Estado REPARADO]] &amp; "*"</f>
        <v>*DGSW102-1*</v>
      </c>
      <c r="I103" s="50" t="str">
        <f>"*" &amp; Catalogo[[#This Row],[Clave ]] &amp; "-" &amp; Catalogo[[#This Row],[Estado REFACCION]] &amp; "*"</f>
        <v>*DGSW102-2*</v>
      </c>
    </row>
    <row r="104" spans="1:9" x14ac:dyDescent="0.25">
      <c r="A104" s="6">
        <f t="shared" si="4"/>
        <v>103</v>
      </c>
      <c r="B104" s="24" t="str">
        <f>PRODUCTOS!A104</f>
        <v>KIT CONTROL DE ACCESO WIRELES</v>
      </c>
      <c r="C104" s="7" t="str">
        <f>PRODUCTOS!C104</f>
        <v>DGSW103</v>
      </c>
      <c r="D104" s="11">
        <v>0</v>
      </c>
      <c r="E104" s="11">
        <v>1</v>
      </c>
      <c r="F104" s="11">
        <v>2</v>
      </c>
      <c r="G104" s="45" t="str">
        <f>"*" &amp; Catalogo[[#This Row],[Clave ]] &amp; "-" &amp; Catalogo[[#This Row],[Estado NUEVO]] &amp; "*"</f>
        <v>*DGSW103-0*</v>
      </c>
      <c r="H104" s="47" t="str">
        <f>"*" &amp; Catalogo[[#This Row],[Clave ]] &amp; "-" &amp; Catalogo[[#This Row],[Estado REPARADO]] &amp; "*"</f>
        <v>*DGSW103-1*</v>
      </c>
      <c r="I104" s="50" t="str">
        <f>"*" &amp; Catalogo[[#This Row],[Clave ]] &amp; "-" &amp; Catalogo[[#This Row],[Estado REFACCION]] &amp; "*"</f>
        <v>*DGSW103-2*</v>
      </c>
    </row>
    <row r="105" spans="1:9" x14ac:dyDescent="0.25">
      <c r="A105" s="6">
        <f t="shared" si="4"/>
        <v>104</v>
      </c>
      <c r="B105" s="24" t="str">
        <f>PRODUCTOS!A105</f>
        <v>KIT/DG SW A/3 DOBLE + SENSOR DE MOVIMIENTO</v>
      </c>
      <c r="C105" s="7" t="str">
        <f>PRODUCTOS!C105</f>
        <v>DGSW104</v>
      </c>
      <c r="D105" s="11">
        <v>0</v>
      </c>
      <c r="E105" s="11">
        <v>1</v>
      </c>
      <c r="F105" s="11">
        <v>2</v>
      </c>
      <c r="G105" s="45" t="str">
        <f>"*" &amp; Catalogo[[#This Row],[Clave ]] &amp; "-" &amp; Catalogo[[#This Row],[Estado NUEVO]] &amp; "*"</f>
        <v>*DGSW104-0*</v>
      </c>
      <c r="H105" s="47" t="str">
        <f>"*" &amp; Catalogo[[#This Row],[Clave ]] &amp; "-" &amp; Catalogo[[#This Row],[Estado REPARADO]] &amp; "*"</f>
        <v>*DGSW104-1*</v>
      </c>
      <c r="I105" s="50" t="str">
        <f>"*" &amp; Catalogo[[#This Row],[Clave ]] &amp; "-" &amp; Catalogo[[#This Row],[Estado REFACCION]] &amp; "*"</f>
        <v>*DGSW104-2*</v>
      </c>
    </row>
    <row r="106" spans="1:9" x14ac:dyDescent="0.25">
      <c r="A106" s="6">
        <f t="shared" si="4"/>
        <v>105</v>
      </c>
      <c r="B106" s="24" t="str">
        <f>PRODUCTOS!A106</f>
        <v>KIT/DG SW 100s/CONTROL DE ACCESO WIFI</v>
      </c>
      <c r="C106" s="7" t="str">
        <f>PRODUCTOS!C106</f>
        <v>DGSW105</v>
      </c>
      <c r="D106" s="11">
        <v>0</v>
      </c>
      <c r="E106" s="11">
        <v>1</v>
      </c>
      <c r="F106" s="11">
        <v>2</v>
      </c>
      <c r="G106" s="45" t="str">
        <f>"*" &amp; Catalogo[[#This Row],[Clave ]] &amp; "-" &amp; Catalogo[[#This Row],[Estado NUEVO]] &amp; "*"</f>
        <v>*DGSW105-0*</v>
      </c>
      <c r="H106" s="47" t="str">
        <f>"*" &amp; Catalogo[[#This Row],[Clave ]] &amp; "-" &amp; Catalogo[[#This Row],[Estado REPARADO]] &amp; "*"</f>
        <v>*DGSW105-1*</v>
      </c>
      <c r="I106" s="50" t="str">
        <f>"*" &amp; Catalogo[[#This Row],[Clave ]] &amp; "-" &amp; Catalogo[[#This Row],[Estado REFACCION]] &amp; "*"</f>
        <v>*DGSW105-2*</v>
      </c>
    </row>
    <row r="107" spans="1:9" x14ac:dyDescent="0.25">
      <c r="A107" s="6">
        <f t="shared" si="4"/>
        <v>106</v>
      </c>
      <c r="B107" s="24" t="str">
        <f>PRODUCTOS!A107</f>
        <v>LUCES DE COLORES CINTA LED</v>
      </c>
      <c r="C107" s="7" t="str">
        <f>PRODUCTOS!C107</f>
        <v>DGSW106</v>
      </c>
      <c r="D107" s="11">
        <v>0</v>
      </c>
      <c r="E107" s="11">
        <v>1</v>
      </c>
      <c r="F107" s="11">
        <v>2</v>
      </c>
      <c r="G107" s="45" t="str">
        <f>"*" &amp; Catalogo[[#This Row],[Clave ]] &amp; "-" &amp; Catalogo[[#This Row],[Estado NUEVO]] &amp; "*"</f>
        <v>*DGSW106-0*</v>
      </c>
      <c r="H107" s="47" t="str">
        <f>"*" &amp; Catalogo[[#This Row],[Clave ]] &amp; "-" &amp; Catalogo[[#This Row],[Estado REPARADO]] &amp; "*"</f>
        <v>*DGSW106-1*</v>
      </c>
      <c r="I107" s="50" t="str">
        <f>"*" &amp; Catalogo[[#This Row],[Clave ]] &amp; "-" &amp; Catalogo[[#This Row],[Estado REFACCION]] &amp; "*"</f>
        <v>*DGSW106-2*</v>
      </c>
    </row>
    <row r="108" spans="1:9" x14ac:dyDescent="0.25">
      <c r="A108" s="6">
        <f t="shared" si="4"/>
        <v>107</v>
      </c>
      <c r="B108" s="24" t="str">
        <f>PRODUCTOS!A108</f>
        <v xml:space="preserve">MODULO GENERADOR DE PULSO </v>
      </c>
      <c r="C108" s="7" t="str">
        <f>PRODUCTOS!C108</f>
        <v>DGSW107</v>
      </c>
      <c r="D108" s="11">
        <v>0</v>
      </c>
      <c r="E108" s="11">
        <v>1</v>
      </c>
      <c r="F108" s="11">
        <v>2</v>
      </c>
      <c r="G108" s="45" t="str">
        <f>"*" &amp; Catalogo[[#This Row],[Clave ]] &amp; "-" &amp; Catalogo[[#This Row],[Estado NUEVO]] &amp; "*"</f>
        <v>*DGSW107-0*</v>
      </c>
      <c r="H108" s="47" t="str">
        <f>"*" &amp; Catalogo[[#This Row],[Clave ]] &amp; "-" &amp; Catalogo[[#This Row],[Estado REPARADO]] &amp; "*"</f>
        <v>*DGSW107-1*</v>
      </c>
      <c r="I108" s="50" t="str">
        <f>"*" &amp; Catalogo[[#This Row],[Clave ]] &amp; "-" &amp; Catalogo[[#This Row],[Estado REFACCION]] &amp; "*"</f>
        <v>*DGSW107-2*</v>
      </c>
    </row>
    <row r="109" spans="1:9" x14ac:dyDescent="0.25">
      <c r="A109" s="6">
        <f t="shared" ref="A109:A140" si="5">ROW(A108)</f>
        <v>108</v>
      </c>
      <c r="B109" s="24" t="str">
        <f>PRODUCTOS!A109</f>
        <v>MODULO ZIGBEE SWITCH</v>
      </c>
      <c r="C109" s="7" t="str">
        <f>PRODUCTOS!C109</f>
        <v>DGSW108</v>
      </c>
      <c r="D109" s="11">
        <v>0</v>
      </c>
      <c r="E109" s="11">
        <v>1</v>
      </c>
      <c r="F109" s="11">
        <v>2</v>
      </c>
      <c r="G109" s="45" t="str">
        <f>"*" &amp; Catalogo[[#This Row],[Clave ]] &amp; "-" &amp; Catalogo[[#This Row],[Estado NUEVO]] &amp; "*"</f>
        <v>*DGSW108-0*</v>
      </c>
      <c r="H109" s="47" t="str">
        <f>"*" &amp; Catalogo[[#This Row],[Clave ]] &amp; "-" &amp; Catalogo[[#This Row],[Estado REPARADO]] &amp; "*"</f>
        <v>*DGSW108-1*</v>
      </c>
      <c r="I109" s="50" t="str">
        <f>"*" &amp; Catalogo[[#This Row],[Clave ]] &amp; "-" &amp; Catalogo[[#This Row],[Estado REFACCION]] &amp; "*"</f>
        <v>*DGSW108-2*</v>
      </c>
    </row>
    <row r="110" spans="1:9" x14ac:dyDescent="0.25">
      <c r="A110" s="6">
        <f t="shared" si="5"/>
        <v>109</v>
      </c>
      <c r="B110" s="24" t="str">
        <f>PRODUCTOS!A110</f>
        <v>MODULO WIFI SWITCH 1 APAGADOR</v>
      </c>
      <c r="C110" s="7" t="str">
        <f>PRODUCTOS!C110</f>
        <v>DGSW109</v>
      </c>
      <c r="D110" s="11">
        <v>0</v>
      </c>
      <c r="E110" s="11">
        <v>1</v>
      </c>
      <c r="F110" s="11">
        <v>2</v>
      </c>
      <c r="G110" s="45" t="str">
        <f>"*" &amp; Catalogo[[#This Row],[Clave ]] &amp; "-" &amp; Catalogo[[#This Row],[Estado NUEVO]] &amp; "*"</f>
        <v>*DGSW109-0*</v>
      </c>
      <c r="H110" s="47" t="str">
        <f>"*" &amp; Catalogo[[#This Row],[Clave ]] &amp; "-" &amp; Catalogo[[#This Row],[Estado REPARADO]] &amp; "*"</f>
        <v>*DGSW109-1*</v>
      </c>
      <c r="I110" s="50" t="str">
        <f>"*" &amp; Catalogo[[#This Row],[Clave ]] &amp; "-" &amp; Catalogo[[#This Row],[Estado REFACCION]] &amp; "*"</f>
        <v>*DGSW109-2*</v>
      </c>
    </row>
    <row r="111" spans="1:9" x14ac:dyDescent="0.25">
      <c r="A111" s="6">
        <f t="shared" si="5"/>
        <v>110</v>
      </c>
      <c r="B111" s="24" t="str">
        <f>PRODUCTOS!A111</f>
        <v>MODULO WIFI SWITCH 2 APAGADOR</v>
      </c>
      <c r="C111" s="7" t="str">
        <f>PRODUCTOS!C111</f>
        <v>DGSW110</v>
      </c>
      <c r="D111" s="11">
        <v>0</v>
      </c>
      <c r="E111" s="11">
        <v>1</v>
      </c>
      <c r="F111" s="11">
        <v>2</v>
      </c>
      <c r="G111" s="45" t="str">
        <f>"*" &amp; Catalogo[[#This Row],[Clave ]] &amp; "-" &amp; Catalogo[[#This Row],[Estado NUEVO]] &amp; "*"</f>
        <v>*DGSW110-0*</v>
      </c>
      <c r="H111" s="47" t="str">
        <f>"*" &amp; Catalogo[[#This Row],[Clave ]] &amp; "-" &amp; Catalogo[[#This Row],[Estado REPARADO]] &amp; "*"</f>
        <v>*DGSW110-1*</v>
      </c>
      <c r="I111" s="50" t="str">
        <f>"*" &amp; Catalogo[[#This Row],[Clave ]] &amp; "-" &amp; Catalogo[[#This Row],[Estado REFACCION]] &amp; "*"</f>
        <v>*DGSW110-2*</v>
      </c>
    </row>
    <row r="112" spans="1:9" x14ac:dyDescent="0.25">
      <c r="A112" s="6">
        <f t="shared" si="5"/>
        <v>111</v>
      </c>
      <c r="B112" s="24" t="str">
        <f>PRODUCTOS!A112</f>
        <v>MODULO ZIGBEE SWICH 2 CANAL</v>
      </c>
      <c r="C112" s="7" t="str">
        <f>PRODUCTOS!C112</f>
        <v>DGSW111</v>
      </c>
      <c r="D112" s="11">
        <v>0</v>
      </c>
      <c r="E112" s="11">
        <v>1</v>
      </c>
      <c r="F112" s="11">
        <v>2</v>
      </c>
      <c r="G112" s="45" t="str">
        <f>"*" &amp; Catalogo[[#This Row],[Clave ]] &amp; "-" &amp; Catalogo[[#This Row],[Estado NUEVO]] &amp; "*"</f>
        <v>*DGSW111-0*</v>
      </c>
      <c r="H112" s="47" t="str">
        <f>"*" &amp; Catalogo[[#This Row],[Clave ]] &amp; "-" &amp; Catalogo[[#This Row],[Estado REPARADO]] &amp; "*"</f>
        <v>*DGSW111-1*</v>
      </c>
      <c r="I112" s="50" t="str">
        <f>"*" &amp; Catalogo[[#This Row],[Clave ]] &amp; "-" &amp; Catalogo[[#This Row],[Estado REFACCION]] &amp; "*"</f>
        <v>*DGSW111-2*</v>
      </c>
    </row>
    <row r="113" spans="1:9" x14ac:dyDescent="0.25">
      <c r="A113" s="6">
        <f t="shared" si="5"/>
        <v>112</v>
      </c>
      <c r="B113" s="24" t="str">
        <f>PRODUCTOS!A113</f>
        <v>MODULO WIFI 1 CANAL</v>
      </c>
      <c r="C113" s="7" t="str">
        <f>PRODUCTOS!C113</f>
        <v>DGSW112</v>
      </c>
      <c r="D113" s="11">
        <v>0</v>
      </c>
      <c r="E113" s="11">
        <v>1</v>
      </c>
      <c r="F113" s="11">
        <v>2</v>
      </c>
      <c r="G113" s="45" t="str">
        <f>"*" &amp; Catalogo[[#This Row],[Clave ]] &amp; "-" &amp; Catalogo[[#This Row],[Estado NUEVO]] &amp; "*"</f>
        <v>*DGSW112-0*</v>
      </c>
      <c r="H113" s="47" t="str">
        <f>"*" &amp; Catalogo[[#This Row],[Clave ]] &amp; "-" &amp; Catalogo[[#This Row],[Estado REPARADO]] &amp; "*"</f>
        <v>*DGSW112-1*</v>
      </c>
      <c r="I113" s="50" t="str">
        <f>"*" &amp; Catalogo[[#This Row],[Clave ]] &amp; "-" &amp; Catalogo[[#This Row],[Estado REFACCION]] &amp; "*"</f>
        <v>*DGSW112-2*</v>
      </c>
    </row>
    <row r="114" spans="1:9" x14ac:dyDescent="0.25">
      <c r="A114" s="6">
        <f t="shared" si="5"/>
        <v>113</v>
      </c>
      <c r="B114" s="24" t="str">
        <f>PRODUCTOS!A114</f>
        <v>MODULO ZIGBEE 1 CANAL</v>
      </c>
      <c r="C114" s="7" t="str">
        <f>PRODUCTOS!C114</f>
        <v>DGSW113</v>
      </c>
      <c r="D114" s="11">
        <v>0</v>
      </c>
      <c r="E114" s="11">
        <v>1</v>
      </c>
      <c r="F114" s="11">
        <v>2</v>
      </c>
      <c r="G114" s="45" t="str">
        <f>"*" &amp; Catalogo[[#This Row],[Clave ]] &amp; "-" &amp; Catalogo[[#This Row],[Estado NUEVO]] &amp; "*"</f>
        <v>*DGSW113-0*</v>
      </c>
      <c r="H114" s="47" t="str">
        <f>"*" &amp; Catalogo[[#This Row],[Clave ]] &amp; "-" &amp; Catalogo[[#This Row],[Estado REPARADO]] &amp; "*"</f>
        <v>*DGSW113-1*</v>
      </c>
      <c r="I114" s="50" t="str">
        <f>"*" &amp; Catalogo[[#This Row],[Clave ]] &amp; "-" &amp; Catalogo[[#This Row],[Estado REFACCION]] &amp; "*"</f>
        <v>*DGSW113-2*</v>
      </c>
    </row>
    <row r="115" spans="1:9" x14ac:dyDescent="0.25">
      <c r="A115" s="6">
        <f t="shared" si="5"/>
        <v>114</v>
      </c>
      <c r="B115" s="24" t="str">
        <f>PRODUCTOS!A115</f>
        <v xml:space="preserve">MOTOR PARA CORTINA </v>
      </c>
      <c r="C115" s="7" t="str">
        <f>PRODUCTOS!C115</f>
        <v>DGSW114</v>
      </c>
      <c r="D115" s="11">
        <v>0</v>
      </c>
      <c r="E115" s="11">
        <v>1</v>
      </c>
      <c r="F115" s="11">
        <v>2</v>
      </c>
      <c r="G115" s="45" t="str">
        <f>"*" &amp; Catalogo[[#This Row],[Clave ]] &amp; "-" &amp; Catalogo[[#This Row],[Estado NUEVO]] &amp; "*"</f>
        <v>*DGSW114-0*</v>
      </c>
      <c r="H115" s="47" t="str">
        <f>"*" &amp; Catalogo[[#This Row],[Clave ]] &amp; "-" &amp; Catalogo[[#This Row],[Estado REPARADO]] &amp; "*"</f>
        <v>*DGSW114-1*</v>
      </c>
      <c r="I115" s="50" t="str">
        <f>"*" &amp; Catalogo[[#This Row],[Clave ]] &amp; "-" &amp; Catalogo[[#This Row],[Estado REFACCION]] &amp; "*"</f>
        <v>*DGSW114-2*</v>
      </c>
    </row>
    <row r="116" spans="1:9" x14ac:dyDescent="0.25">
      <c r="A116" s="6">
        <f t="shared" si="5"/>
        <v>115</v>
      </c>
      <c r="B116" s="24" t="str">
        <f>PRODUCTOS!A116</f>
        <v>MOTOR  TUBULAR ZIGBEE CHICO</v>
      </c>
      <c r="C116" s="7" t="str">
        <f>PRODUCTOS!C116</f>
        <v>DGSW115</v>
      </c>
      <c r="D116" s="11">
        <v>0</v>
      </c>
      <c r="E116" s="11">
        <v>1</v>
      </c>
      <c r="F116" s="11">
        <v>2</v>
      </c>
      <c r="G116" s="45" t="str">
        <f>"*" &amp; Catalogo[[#This Row],[Clave ]] &amp; "-" &amp; Catalogo[[#This Row],[Estado NUEVO]] &amp; "*"</f>
        <v>*DGSW115-0*</v>
      </c>
      <c r="H116" s="47" t="str">
        <f>"*" &amp; Catalogo[[#This Row],[Clave ]] &amp; "-" &amp; Catalogo[[#This Row],[Estado REPARADO]] &amp; "*"</f>
        <v>*DGSW115-1*</v>
      </c>
      <c r="I116" s="50" t="str">
        <f>"*" &amp; Catalogo[[#This Row],[Clave ]] &amp; "-" &amp; Catalogo[[#This Row],[Estado REFACCION]] &amp; "*"</f>
        <v>*DGSW115-2*</v>
      </c>
    </row>
    <row r="117" spans="1:9" x14ac:dyDescent="0.25">
      <c r="A117" s="6">
        <f t="shared" si="5"/>
        <v>116</v>
      </c>
      <c r="B117" s="24" t="str">
        <f>PRODUCTOS!A117</f>
        <v>MOTOR TUBULAR WIFI CHICO</v>
      </c>
      <c r="C117" s="7" t="str">
        <f>PRODUCTOS!C117</f>
        <v>DGSW116</v>
      </c>
      <c r="D117" s="11">
        <v>0</v>
      </c>
      <c r="E117" s="11">
        <v>1</v>
      </c>
      <c r="F117" s="11">
        <v>2</v>
      </c>
      <c r="G117" s="45" t="str">
        <f>"*" &amp; Catalogo[[#This Row],[Clave ]] &amp; "-" &amp; Catalogo[[#This Row],[Estado NUEVO]] &amp; "*"</f>
        <v>*DGSW116-0*</v>
      </c>
      <c r="H117" s="47" t="str">
        <f>"*" &amp; Catalogo[[#This Row],[Clave ]] &amp; "-" &amp; Catalogo[[#This Row],[Estado REPARADO]] &amp; "*"</f>
        <v>*DGSW116-1*</v>
      </c>
      <c r="I117" s="50" t="str">
        <f>"*" &amp; Catalogo[[#This Row],[Clave ]] &amp; "-" &amp; Catalogo[[#This Row],[Estado REFACCION]] &amp; "*"</f>
        <v>*DGSW116-2*</v>
      </c>
    </row>
    <row r="118" spans="1:9" x14ac:dyDescent="0.25">
      <c r="A118" s="6">
        <f t="shared" si="5"/>
        <v>117</v>
      </c>
      <c r="B118" s="24" t="str">
        <f>PRODUCTOS!A118</f>
        <v>MOTOR  TUBULAR ZIGBEE GRNADE</v>
      </c>
      <c r="C118" s="7" t="str">
        <f>PRODUCTOS!C118</f>
        <v>DGSW117</v>
      </c>
      <c r="D118" s="11">
        <v>0</v>
      </c>
      <c r="E118" s="11">
        <v>1</v>
      </c>
      <c r="F118" s="11">
        <v>2</v>
      </c>
      <c r="G118" s="45" t="str">
        <f>"*" &amp; Catalogo[[#This Row],[Clave ]] &amp; "-" &amp; Catalogo[[#This Row],[Estado NUEVO]] &amp; "*"</f>
        <v>*DGSW117-0*</v>
      </c>
      <c r="H118" s="47" t="str">
        <f>"*" &amp; Catalogo[[#This Row],[Clave ]] &amp; "-" &amp; Catalogo[[#This Row],[Estado REPARADO]] &amp; "*"</f>
        <v>*DGSW117-1*</v>
      </c>
      <c r="I118" s="50" t="str">
        <f>"*" &amp; Catalogo[[#This Row],[Clave ]] &amp; "-" &amp; Catalogo[[#This Row],[Estado REFACCION]] &amp; "*"</f>
        <v>*DGSW117-2*</v>
      </c>
    </row>
    <row r="119" spans="1:9" x14ac:dyDescent="0.25">
      <c r="A119" s="6">
        <f t="shared" si="5"/>
        <v>118</v>
      </c>
      <c r="B119" s="24" t="str">
        <f>PRODUCTOS!A119</f>
        <v>OPERADOR AUTOMATICO PARA PUERTA ABATIBLE S-100</v>
      </c>
      <c r="C119" s="7" t="str">
        <f>PRODUCTOS!C119</f>
        <v>DGSW118</v>
      </c>
      <c r="D119" s="11">
        <v>0</v>
      </c>
      <c r="E119" s="11">
        <v>1</v>
      </c>
      <c r="F119" s="11">
        <v>2</v>
      </c>
      <c r="G119" s="45" t="str">
        <f>"*" &amp; Catalogo[[#This Row],[Clave ]] &amp; "-" &amp; Catalogo[[#This Row],[Estado NUEVO]] &amp; "*"</f>
        <v>*DGSW118-0*</v>
      </c>
      <c r="H119" s="47" t="str">
        <f>"*" &amp; Catalogo[[#This Row],[Clave ]] &amp; "-" &amp; Catalogo[[#This Row],[Estado REPARADO]] &amp; "*"</f>
        <v>*DGSW118-1*</v>
      </c>
      <c r="I119" s="50" t="str">
        <f>"*" &amp; Catalogo[[#This Row],[Clave ]] &amp; "-" &amp; Catalogo[[#This Row],[Estado REFACCION]] &amp; "*"</f>
        <v>*DGSW118-2*</v>
      </c>
    </row>
    <row r="120" spans="1:9" x14ac:dyDescent="0.25">
      <c r="A120" s="6">
        <f t="shared" si="5"/>
        <v>119</v>
      </c>
      <c r="B120" s="24" t="str">
        <f>PRODUCTOS!A120</f>
        <v>OPERADOR PARA VENTANAS ABATABLE S-50</v>
      </c>
      <c r="C120" s="7" t="str">
        <f>PRODUCTOS!C120</f>
        <v>DGSW119</v>
      </c>
      <c r="D120" s="11">
        <v>0</v>
      </c>
      <c r="E120" s="11">
        <v>1</v>
      </c>
      <c r="F120" s="11">
        <v>2</v>
      </c>
      <c r="G120" s="45" t="str">
        <f>"*" &amp; Catalogo[[#This Row],[Clave ]] &amp; "-" &amp; Catalogo[[#This Row],[Estado NUEVO]] &amp; "*"</f>
        <v>*DGSW119-0*</v>
      </c>
      <c r="H120" s="47" t="str">
        <f>"*" &amp; Catalogo[[#This Row],[Clave ]] &amp; "-" &amp; Catalogo[[#This Row],[Estado REPARADO]] &amp; "*"</f>
        <v>*DGSW119-1*</v>
      </c>
      <c r="I120" s="50" t="str">
        <f>"*" &amp; Catalogo[[#This Row],[Clave ]] &amp; "-" &amp; Catalogo[[#This Row],[Estado REFACCION]] &amp; "*"</f>
        <v>*DGSW119-2*</v>
      </c>
    </row>
    <row r="121" spans="1:9" x14ac:dyDescent="0.25">
      <c r="A121" s="6">
        <f t="shared" si="5"/>
        <v>120</v>
      </c>
      <c r="B121" s="24" t="str">
        <f>PRODUCTOS!A121</f>
        <v>RELEVADOR 1 CANAL RADIO FRECUENCIA</v>
      </c>
      <c r="C121" s="7" t="str">
        <f>PRODUCTOS!C121</f>
        <v>DGSW120</v>
      </c>
      <c r="D121" s="11">
        <v>0</v>
      </c>
      <c r="E121" s="11">
        <v>1</v>
      </c>
      <c r="F121" s="11">
        <v>2</v>
      </c>
      <c r="G121" s="45" t="str">
        <f>"*" &amp; Catalogo[[#This Row],[Clave ]] &amp; "-" &amp; Catalogo[[#This Row],[Estado NUEVO]] &amp; "*"</f>
        <v>*DGSW120-0*</v>
      </c>
      <c r="H121" s="47" t="str">
        <f>"*" &amp; Catalogo[[#This Row],[Clave ]] &amp; "-" &amp; Catalogo[[#This Row],[Estado REPARADO]] &amp; "*"</f>
        <v>*DGSW120-1*</v>
      </c>
      <c r="I121" s="50" t="str">
        <f>"*" &amp; Catalogo[[#This Row],[Clave ]] &amp; "-" &amp; Catalogo[[#This Row],[Estado REFACCION]] &amp; "*"</f>
        <v>*DGSW120-2*</v>
      </c>
    </row>
    <row r="122" spans="1:9" x14ac:dyDescent="0.25">
      <c r="A122" s="6">
        <f t="shared" si="5"/>
        <v>121</v>
      </c>
      <c r="B122" s="24" t="str">
        <f>PRODUCTOS!A122</f>
        <v>RELEVADOR WIFI 2 CANALES</v>
      </c>
      <c r="C122" s="7" t="str">
        <f>PRODUCTOS!C122</f>
        <v>DGSW121</v>
      </c>
      <c r="D122" s="11">
        <v>0</v>
      </c>
      <c r="E122" s="11">
        <v>1</v>
      </c>
      <c r="F122" s="11">
        <v>2</v>
      </c>
      <c r="G122" s="45" t="str">
        <f>"*" &amp; Catalogo[[#This Row],[Clave ]] &amp; "-" &amp; Catalogo[[#This Row],[Estado NUEVO]] &amp; "*"</f>
        <v>*DGSW121-0*</v>
      </c>
      <c r="H122" s="47" t="str">
        <f>"*" &amp; Catalogo[[#This Row],[Clave ]] &amp; "-" &amp; Catalogo[[#This Row],[Estado REPARADO]] &amp; "*"</f>
        <v>*DGSW121-1*</v>
      </c>
      <c r="I122" s="50" t="str">
        <f>"*" &amp; Catalogo[[#This Row],[Clave ]] &amp; "-" &amp; Catalogo[[#This Row],[Estado REFACCION]] &amp; "*"</f>
        <v>*DGSW121-2*</v>
      </c>
    </row>
    <row r="123" spans="1:9" x14ac:dyDescent="0.25">
      <c r="A123" s="6">
        <f t="shared" si="5"/>
        <v>122</v>
      </c>
      <c r="B123" s="24" t="str">
        <f>PRODUCTOS!A123</f>
        <v>RELEVADOR 4 CANALES</v>
      </c>
      <c r="C123" s="7" t="str">
        <f>PRODUCTOS!C123</f>
        <v>DGSW122</v>
      </c>
      <c r="D123" s="11">
        <v>0</v>
      </c>
      <c r="E123" s="11">
        <v>1</v>
      </c>
      <c r="F123" s="11">
        <v>2</v>
      </c>
      <c r="G123" s="45" t="str">
        <f>"*" &amp; Catalogo[[#This Row],[Clave ]] &amp; "-" &amp; Catalogo[[#This Row],[Estado NUEVO]] &amp; "*"</f>
        <v>*DGSW122-0*</v>
      </c>
      <c r="H123" s="47" t="str">
        <f>"*" &amp; Catalogo[[#This Row],[Clave ]] &amp; "-" &amp; Catalogo[[#This Row],[Estado REPARADO]] &amp; "*"</f>
        <v>*DGSW122-1*</v>
      </c>
      <c r="I123" s="50" t="str">
        <f>"*" &amp; Catalogo[[#This Row],[Clave ]] &amp; "-" &amp; Catalogo[[#This Row],[Estado REFACCION]] &amp; "*"</f>
        <v>*DGSW122-2*</v>
      </c>
    </row>
    <row r="124" spans="1:9" x14ac:dyDescent="0.25">
      <c r="A124" s="6">
        <f t="shared" si="5"/>
        <v>123</v>
      </c>
      <c r="B124" s="24" t="str">
        <f>PRODUCTOS!A124</f>
        <v>RELEVADOR  ENCLAVAMIENTO WIFI 1 CANAL (Etiqueta Amarilla)</v>
      </c>
      <c r="C124" s="7" t="str">
        <f>PRODUCTOS!C124</f>
        <v>DGSW123</v>
      </c>
      <c r="D124" s="11">
        <v>0</v>
      </c>
      <c r="E124" s="11">
        <v>1</v>
      </c>
      <c r="F124" s="11">
        <v>2</v>
      </c>
      <c r="G124" s="45" t="str">
        <f>"*" &amp; Catalogo[[#This Row],[Clave ]] &amp; "-" &amp; Catalogo[[#This Row],[Estado NUEVO]] &amp; "*"</f>
        <v>*DGSW123-0*</v>
      </c>
      <c r="H124" s="47" t="str">
        <f>"*" &amp; Catalogo[[#This Row],[Clave ]] &amp; "-" &amp; Catalogo[[#This Row],[Estado REPARADO]] &amp; "*"</f>
        <v>*DGSW123-1*</v>
      </c>
      <c r="I124" s="50" t="str">
        <f>"*" &amp; Catalogo[[#This Row],[Clave ]] &amp; "-" &amp; Catalogo[[#This Row],[Estado REFACCION]] &amp; "*"</f>
        <v>*DGSW123-2*</v>
      </c>
    </row>
    <row r="125" spans="1:9" x14ac:dyDescent="0.25">
      <c r="A125" s="6">
        <f t="shared" si="5"/>
        <v>124</v>
      </c>
      <c r="B125" s="24" t="str">
        <f>PRODUCTOS!A125</f>
        <v>RELEVADOR DE CANALES RW-02</v>
      </c>
      <c r="C125" s="7" t="str">
        <f>PRODUCTOS!C125</f>
        <v>DGSW124</v>
      </c>
      <c r="D125" s="11">
        <v>0</v>
      </c>
      <c r="E125" s="11">
        <v>1</v>
      </c>
      <c r="F125" s="11">
        <v>2</v>
      </c>
      <c r="G125" s="45" t="str">
        <f>"*" &amp; Catalogo[[#This Row],[Clave ]] &amp; "-" &amp; Catalogo[[#This Row],[Estado NUEVO]] &amp; "*"</f>
        <v>*DGSW124-0*</v>
      </c>
      <c r="H125" s="47" t="str">
        <f>"*" &amp; Catalogo[[#This Row],[Clave ]] &amp; "-" &amp; Catalogo[[#This Row],[Estado REPARADO]] &amp; "*"</f>
        <v>*DGSW124-1*</v>
      </c>
      <c r="I125" s="50" t="str">
        <f>"*" &amp; Catalogo[[#This Row],[Clave ]] &amp; "-" &amp; Catalogo[[#This Row],[Estado REFACCION]] &amp; "*"</f>
        <v>*DGSW124-2*</v>
      </c>
    </row>
    <row r="126" spans="1:9" x14ac:dyDescent="0.25">
      <c r="A126" s="6">
        <f t="shared" si="5"/>
        <v>125</v>
      </c>
      <c r="B126" s="24" t="str">
        <f>PRODUCTOS!A126</f>
        <v>RELEVADOR 4 CANALES S-04</v>
      </c>
      <c r="C126" s="7" t="str">
        <f>PRODUCTOS!C126</f>
        <v>DGSW125</v>
      </c>
      <c r="D126" s="11">
        <v>0</v>
      </c>
      <c r="E126" s="11">
        <v>1</v>
      </c>
      <c r="F126" s="11">
        <v>2</v>
      </c>
      <c r="G126" s="45" t="str">
        <f>"*" &amp; Catalogo[[#This Row],[Clave ]] &amp; "-" &amp; Catalogo[[#This Row],[Estado NUEVO]] &amp; "*"</f>
        <v>*DGSW125-0*</v>
      </c>
      <c r="H126" s="47" t="str">
        <f>"*" &amp; Catalogo[[#This Row],[Clave ]] &amp; "-" &amp; Catalogo[[#This Row],[Estado REPARADO]] &amp; "*"</f>
        <v>*DGSW125-1*</v>
      </c>
      <c r="I126" s="50" t="str">
        <f>"*" &amp; Catalogo[[#This Row],[Clave ]] &amp; "-" &amp; Catalogo[[#This Row],[Estado REFACCION]] &amp; "*"</f>
        <v>*DGSW125-2*</v>
      </c>
    </row>
    <row r="127" spans="1:9" x14ac:dyDescent="0.25">
      <c r="A127" s="6">
        <f t="shared" si="5"/>
        <v>126</v>
      </c>
      <c r="B127" s="24" t="str">
        <f>PRODUCTOS!A127</f>
        <v>RELEVADOR WIFI 1 CANAL</v>
      </c>
      <c r="C127" s="7" t="str">
        <f>PRODUCTOS!C127</f>
        <v>DGSW126</v>
      </c>
      <c r="D127" s="11">
        <v>0</v>
      </c>
      <c r="E127" s="11">
        <v>1</v>
      </c>
      <c r="F127" s="11">
        <v>2</v>
      </c>
      <c r="G127" s="45" t="str">
        <f>"*" &amp; Catalogo[[#This Row],[Clave ]] &amp; "-" &amp; Catalogo[[#This Row],[Estado NUEVO]] &amp; "*"</f>
        <v>*DGSW126-0*</v>
      </c>
      <c r="H127" s="47" t="str">
        <f>"*" &amp; Catalogo[[#This Row],[Clave ]] &amp; "-" &amp; Catalogo[[#This Row],[Estado REPARADO]] &amp; "*"</f>
        <v>*DGSW126-1*</v>
      </c>
      <c r="I127" s="50" t="str">
        <f>"*" &amp; Catalogo[[#This Row],[Clave ]] &amp; "-" &amp; Catalogo[[#This Row],[Estado REFACCION]] &amp; "*"</f>
        <v>*DGSW126-2*</v>
      </c>
    </row>
    <row r="128" spans="1:9" x14ac:dyDescent="0.25">
      <c r="A128" s="6">
        <f t="shared" si="5"/>
        <v>127</v>
      </c>
      <c r="B128" s="24" t="str">
        <f>PRODUCTOS!A128</f>
        <v>REPETIDOR ZIGBEE  USB</v>
      </c>
      <c r="C128" s="7" t="str">
        <f>PRODUCTOS!C128</f>
        <v>DGSW127</v>
      </c>
      <c r="D128" s="11">
        <v>0</v>
      </c>
      <c r="E128" s="11">
        <v>1</v>
      </c>
      <c r="F128" s="11">
        <v>2</v>
      </c>
      <c r="G128" s="45" t="str">
        <f>"*" &amp; Catalogo[[#This Row],[Clave ]] &amp; "-" &amp; Catalogo[[#This Row],[Estado NUEVO]] &amp; "*"</f>
        <v>*DGSW127-0*</v>
      </c>
      <c r="H128" s="47" t="str">
        <f>"*" &amp; Catalogo[[#This Row],[Clave ]] &amp; "-" &amp; Catalogo[[#This Row],[Estado REPARADO]] &amp; "*"</f>
        <v>*DGSW127-1*</v>
      </c>
      <c r="I128" s="50" t="str">
        <f>"*" &amp; Catalogo[[#This Row],[Clave ]] &amp; "-" &amp; Catalogo[[#This Row],[Estado REFACCION]] &amp; "*"</f>
        <v>*DGSW127-2*</v>
      </c>
    </row>
    <row r="129" spans="1:9" x14ac:dyDescent="0.25">
      <c r="A129" s="6">
        <f t="shared" si="5"/>
        <v>128</v>
      </c>
      <c r="B129" s="24" t="str">
        <f>PRODUCTOS!A129</f>
        <v>REVESTIMIENTO ANTICORROCION EN AEROSOL</v>
      </c>
      <c r="C129" s="7" t="str">
        <f>PRODUCTOS!C129</f>
        <v>DGSW128</v>
      </c>
      <c r="D129" s="11">
        <v>0</v>
      </c>
      <c r="E129" s="11">
        <v>1</v>
      </c>
      <c r="F129" s="11">
        <v>2</v>
      </c>
      <c r="G129" s="45" t="str">
        <f>"*" &amp; Catalogo[[#This Row],[Clave ]] &amp; "-" &amp; Catalogo[[#This Row],[Estado NUEVO]] &amp; "*"</f>
        <v>*DGSW128-0*</v>
      </c>
      <c r="H129" s="47" t="str">
        <f>"*" &amp; Catalogo[[#This Row],[Clave ]] &amp; "-" &amp; Catalogo[[#This Row],[Estado REPARADO]] &amp; "*"</f>
        <v>*DGSW128-1*</v>
      </c>
      <c r="I129" s="50" t="str">
        <f>"*" &amp; Catalogo[[#This Row],[Clave ]] &amp; "-" &amp; Catalogo[[#This Row],[Estado REFACCION]] &amp; "*"</f>
        <v>*DGSW128-2*</v>
      </c>
    </row>
    <row r="130" spans="1:9" x14ac:dyDescent="0.25">
      <c r="A130" s="6">
        <f t="shared" si="5"/>
        <v>129</v>
      </c>
      <c r="B130" s="24" t="str">
        <f>PRODUCTOS!A130</f>
        <v>SENSOR DE GAS WIFI</v>
      </c>
      <c r="C130" s="7" t="str">
        <f>PRODUCTOS!C130</f>
        <v>DGSW129</v>
      </c>
      <c r="D130" s="11">
        <v>0</v>
      </c>
      <c r="E130" s="11">
        <v>1</v>
      </c>
      <c r="F130" s="11">
        <v>2</v>
      </c>
      <c r="G130" s="45" t="str">
        <f>"*" &amp; Catalogo[[#This Row],[Clave ]] &amp; "-" &amp; Catalogo[[#This Row],[Estado NUEVO]] &amp; "*"</f>
        <v>*DGSW129-0*</v>
      </c>
      <c r="H130" s="47" t="str">
        <f>"*" &amp; Catalogo[[#This Row],[Clave ]] &amp; "-" &amp; Catalogo[[#This Row],[Estado REPARADO]] &amp; "*"</f>
        <v>*DGSW129-1*</v>
      </c>
      <c r="I130" s="50" t="str">
        <f>"*" &amp; Catalogo[[#This Row],[Clave ]] &amp; "-" &amp; Catalogo[[#This Row],[Estado REFACCION]] &amp; "*"</f>
        <v>*DGSW129-2*</v>
      </c>
    </row>
    <row r="131" spans="1:9" x14ac:dyDescent="0.25">
      <c r="A131" s="6">
        <f t="shared" si="5"/>
        <v>130</v>
      </c>
      <c r="B131" s="24" t="str">
        <f>PRODUCTOS!A131</f>
        <v>SENSOR DE HUMO</v>
      </c>
      <c r="C131" s="7" t="str">
        <f>PRODUCTOS!C131</f>
        <v>DGSW130</v>
      </c>
      <c r="D131" s="11">
        <v>0</v>
      </c>
      <c r="E131" s="11">
        <v>1</v>
      </c>
      <c r="F131" s="11">
        <v>2</v>
      </c>
      <c r="G131" s="45" t="str">
        <f>"*" &amp; Catalogo[[#This Row],[Clave ]] &amp; "-" &amp; Catalogo[[#This Row],[Estado NUEVO]] &amp; "*"</f>
        <v>*DGSW130-0*</v>
      </c>
      <c r="H131" s="47" t="str">
        <f>"*" &amp; Catalogo[[#This Row],[Clave ]] &amp; "-" &amp; Catalogo[[#This Row],[Estado REPARADO]] &amp; "*"</f>
        <v>*DGSW130-1*</v>
      </c>
      <c r="I131" s="50" t="str">
        <f>"*" &amp; Catalogo[[#This Row],[Clave ]] &amp; "-" &amp; Catalogo[[#This Row],[Estado REFACCION]] &amp; "*"</f>
        <v>*DGSW130-2*</v>
      </c>
    </row>
    <row r="132" spans="1:9" x14ac:dyDescent="0.25">
      <c r="A132" s="6">
        <f t="shared" si="5"/>
        <v>131</v>
      </c>
      <c r="B132" s="24" t="str">
        <f>PRODUCTOS!A132</f>
        <v>SENSOR DE HUMO GENERAL (CAJA NARANJA)</v>
      </c>
      <c r="C132" s="7" t="str">
        <f>PRODUCTOS!C132</f>
        <v>DGSW131</v>
      </c>
      <c r="D132" s="11">
        <v>0</v>
      </c>
      <c r="E132" s="11">
        <v>1</v>
      </c>
      <c r="F132" s="11">
        <v>2</v>
      </c>
      <c r="G132" s="45" t="str">
        <f>"*" &amp; Catalogo[[#This Row],[Clave ]] &amp; "-" &amp; Catalogo[[#This Row],[Estado NUEVO]] &amp; "*"</f>
        <v>*DGSW131-0*</v>
      </c>
      <c r="H132" s="47" t="str">
        <f>"*" &amp; Catalogo[[#This Row],[Clave ]] &amp; "-" &amp; Catalogo[[#This Row],[Estado REPARADO]] &amp; "*"</f>
        <v>*DGSW131-1*</v>
      </c>
      <c r="I132" s="50" t="str">
        <f>"*" &amp; Catalogo[[#This Row],[Clave ]] &amp; "-" &amp; Catalogo[[#This Row],[Estado REFACCION]] &amp; "*"</f>
        <v>*DGSW131-2*</v>
      </c>
    </row>
    <row r="133" spans="1:9" x14ac:dyDescent="0.25">
      <c r="A133" s="6">
        <f t="shared" si="5"/>
        <v>132</v>
      </c>
      <c r="B133" s="24" t="str">
        <f>PRODUCTOS!A133</f>
        <v>SENSOR DE HUMO INDICADOR DE FLASH</v>
      </c>
      <c r="C133" s="7" t="str">
        <f>PRODUCTOS!C133</f>
        <v>DGSW132</v>
      </c>
      <c r="D133" s="11">
        <v>0</v>
      </c>
      <c r="E133" s="11">
        <v>1</v>
      </c>
      <c r="F133" s="11">
        <v>2</v>
      </c>
      <c r="G133" s="45" t="str">
        <f>"*" &amp; Catalogo[[#This Row],[Clave ]] &amp; "-" &amp; Catalogo[[#This Row],[Estado NUEVO]] &amp; "*"</f>
        <v>*DGSW132-0*</v>
      </c>
      <c r="H133" s="47" t="str">
        <f>"*" &amp; Catalogo[[#This Row],[Clave ]] &amp; "-" &amp; Catalogo[[#This Row],[Estado REPARADO]] &amp; "*"</f>
        <v>*DGSW132-1*</v>
      </c>
      <c r="I133" s="50" t="str">
        <f>"*" &amp; Catalogo[[#This Row],[Clave ]] &amp; "-" &amp; Catalogo[[#This Row],[Estado REFACCION]] &amp; "*"</f>
        <v>*DGSW132-2*</v>
      </c>
    </row>
    <row r="134" spans="1:9" x14ac:dyDescent="0.25">
      <c r="A134" s="6">
        <f t="shared" si="5"/>
        <v>133</v>
      </c>
      <c r="B134" s="24" t="str">
        <f>PRODUCTOS!A134</f>
        <v>SENSOR DE HUMO WIFI</v>
      </c>
      <c r="C134" s="7" t="str">
        <f>PRODUCTOS!C134</f>
        <v>DGSW133</v>
      </c>
      <c r="D134" s="11">
        <v>0</v>
      </c>
      <c r="E134" s="11">
        <v>1</v>
      </c>
      <c r="F134" s="11">
        <v>2</v>
      </c>
      <c r="G134" s="45" t="str">
        <f>"*" &amp; Catalogo[[#This Row],[Clave ]] &amp; "-" &amp; Catalogo[[#This Row],[Estado NUEVO]] &amp; "*"</f>
        <v>*DGSW133-0*</v>
      </c>
      <c r="H134" s="47" t="str">
        <f>"*" &amp; Catalogo[[#This Row],[Clave ]] &amp; "-" &amp; Catalogo[[#This Row],[Estado REPARADO]] &amp; "*"</f>
        <v>*DGSW133-1*</v>
      </c>
      <c r="I134" s="50" t="str">
        <f>"*" &amp; Catalogo[[#This Row],[Clave ]] &amp; "-" &amp; Catalogo[[#This Row],[Estado REFACCION]] &amp; "*"</f>
        <v>*DGSW133-2*</v>
      </c>
    </row>
    <row r="135" spans="1:9" x14ac:dyDescent="0.25">
      <c r="A135" s="6">
        <f t="shared" si="5"/>
        <v>134</v>
      </c>
      <c r="B135" s="24" t="str">
        <f>PRODUCTOS!A135</f>
        <v>SENSOR DE MOVIMIENTO</v>
      </c>
      <c r="C135" s="7" t="str">
        <f>PRODUCTOS!C135</f>
        <v>DGSW134</v>
      </c>
      <c r="D135" s="11">
        <v>0</v>
      </c>
      <c r="E135" s="11">
        <v>1</v>
      </c>
      <c r="F135" s="11">
        <v>2</v>
      </c>
      <c r="G135" s="45" t="str">
        <f>"*" &amp; Catalogo[[#This Row],[Clave ]] &amp; "-" &amp; Catalogo[[#This Row],[Estado NUEVO]] &amp; "*"</f>
        <v>*DGSW134-0*</v>
      </c>
      <c r="H135" s="47" t="str">
        <f>"*" &amp; Catalogo[[#This Row],[Clave ]] &amp; "-" &amp; Catalogo[[#This Row],[Estado REPARADO]] &amp; "*"</f>
        <v>*DGSW134-1*</v>
      </c>
      <c r="I135" s="50" t="str">
        <f>"*" &amp; Catalogo[[#This Row],[Clave ]] &amp; "-" &amp; Catalogo[[#This Row],[Estado REFACCION]] &amp; "*"</f>
        <v>*DGSW134-2*</v>
      </c>
    </row>
    <row r="136" spans="1:9" x14ac:dyDescent="0.25">
      <c r="A136" s="6">
        <f t="shared" si="5"/>
        <v>135</v>
      </c>
      <c r="B136" s="24" t="str">
        <f>PRODUCTOS!A136</f>
        <v>SENSOR DE MOVIMIENTO PIR ZIGBEE</v>
      </c>
      <c r="C136" s="7" t="str">
        <f>PRODUCTOS!C136</f>
        <v>DGSW135</v>
      </c>
      <c r="D136" s="11">
        <v>0</v>
      </c>
      <c r="E136" s="11">
        <v>1</v>
      </c>
      <c r="F136" s="11">
        <v>2</v>
      </c>
      <c r="G136" s="45" t="str">
        <f>"*" &amp; Catalogo[[#This Row],[Clave ]] &amp; "-" &amp; Catalogo[[#This Row],[Estado NUEVO]] &amp; "*"</f>
        <v>*DGSW135-0*</v>
      </c>
      <c r="H136" s="47" t="str">
        <f>"*" &amp; Catalogo[[#This Row],[Clave ]] &amp; "-" &amp; Catalogo[[#This Row],[Estado REPARADO]] &amp; "*"</f>
        <v>*DGSW135-1*</v>
      </c>
      <c r="I136" s="50" t="str">
        <f>"*" &amp; Catalogo[[#This Row],[Clave ]] &amp; "-" &amp; Catalogo[[#This Row],[Estado REFACCION]] &amp; "*"</f>
        <v>*DGSW135-2*</v>
      </c>
    </row>
    <row r="137" spans="1:9" x14ac:dyDescent="0.25">
      <c r="A137" s="6">
        <f t="shared" si="5"/>
        <v>136</v>
      </c>
      <c r="B137" s="24" t="str">
        <f>PRODUCTOS!A137</f>
        <v>SENSOR DE MOVIMIENTO AQARA</v>
      </c>
      <c r="C137" s="7" t="str">
        <f>PRODUCTOS!C137</f>
        <v>DGSW136</v>
      </c>
      <c r="D137" s="11">
        <v>0</v>
      </c>
      <c r="E137" s="11">
        <v>1</v>
      </c>
      <c r="F137" s="11">
        <v>2</v>
      </c>
      <c r="G137" s="45" t="str">
        <f>"*" &amp; Catalogo[[#This Row],[Clave ]] &amp; "-" &amp; Catalogo[[#This Row],[Estado NUEVO]] &amp; "*"</f>
        <v>*DGSW136-0*</v>
      </c>
      <c r="H137" s="47" t="str">
        <f>"*" &amp; Catalogo[[#This Row],[Clave ]] &amp; "-" &amp; Catalogo[[#This Row],[Estado REPARADO]] &amp; "*"</f>
        <v>*DGSW136-1*</v>
      </c>
      <c r="I137" s="50" t="str">
        <f>"*" &amp; Catalogo[[#This Row],[Clave ]] &amp; "-" &amp; Catalogo[[#This Row],[Estado REFACCION]] &amp; "*"</f>
        <v>*DGSW136-2*</v>
      </c>
    </row>
    <row r="138" spans="1:9" x14ac:dyDescent="0.25">
      <c r="A138" s="6">
        <f t="shared" si="5"/>
        <v>137</v>
      </c>
      <c r="B138" s="24" t="str">
        <f>PRODUCTOS!A138</f>
        <v>SENSOR DE MOVIMIENTO SONOFF</v>
      </c>
      <c r="C138" s="7" t="str">
        <f>PRODUCTOS!C138</f>
        <v>DGSW137</v>
      </c>
      <c r="D138" s="11">
        <v>0</v>
      </c>
      <c r="E138" s="11">
        <v>1</v>
      </c>
      <c r="F138" s="11">
        <v>2</v>
      </c>
      <c r="G138" s="45" t="str">
        <f>"*" &amp; Catalogo[[#This Row],[Clave ]] &amp; "-" &amp; Catalogo[[#This Row],[Estado NUEVO]] &amp; "*"</f>
        <v>*DGSW137-0*</v>
      </c>
      <c r="H138" s="47" t="str">
        <f>"*" &amp; Catalogo[[#This Row],[Clave ]] &amp; "-" &amp; Catalogo[[#This Row],[Estado REPARADO]] &amp; "*"</f>
        <v>*DGSW137-1*</v>
      </c>
      <c r="I138" s="50" t="str">
        <f>"*" &amp; Catalogo[[#This Row],[Clave ]] &amp; "-" &amp; Catalogo[[#This Row],[Estado REFACCION]] &amp; "*"</f>
        <v>*DGSW137-2*</v>
      </c>
    </row>
    <row r="139" spans="1:9" x14ac:dyDescent="0.25">
      <c r="A139" s="6">
        <f t="shared" si="5"/>
        <v>138</v>
      </c>
      <c r="B139" s="24" t="str">
        <f>PRODUCTOS!A139</f>
        <v>SENSOR DE PUERTA MINI</v>
      </c>
      <c r="C139" s="7" t="str">
        <f>PRODUCTOS!C139</f>
        <v>DGSW138</v>
      </c>
      <c r="D139" s="11">
        <v>0</v>
      </c>
      <c r="E139" s="11">
        <v>1</v>
      </c>
      <c r="F139" s="11">
        <v>2</v>
      </c>
      <c r="G139" s="45" t="str">
        <f>"*" &amp; Catalogo[[#This Row],[Clave ]] &amp; "-" &amp; Catalogo[[#This Row],[Estado NUEVO]] &amp; "*"</f>
        <v>*DGSW138-0*</v>
      </c>
      <c r="H139" s="47" t="str">
        <f>"*" &amp; Catalogo[[#This Row],[Clave ]] &amp; "-" &amp; Catalogo[[#This Row],[Estado REPARADO]] &amp; "*"</f>
        <v>*DGSW138-1*</v>
      </c>
      <c r="I139" s="50" t="str">
        <f>"*" &amp; Catalogo[[#This Row],[Clave ]] &amp; "-" &amp; Catalogo[[#This Row],[Estado REFACCION]] &amp; "*"</f>
        <v>*DGSW138-2*</v>
      </c>
    </row>
    <row r="140" spans="1:9" x14ac:dyDescent="0.25">
      <c r="A140" s="6">
        <f t="shared" si="5"/>
        <v>139</v>
      </c>
      <c r="B140" s="24" t="str">
        <f>PRODUCTOS!A140</f>
        <v>SENSOR D PUERTA / VENTANA BLANCO WI-FI</v>
      </c>
      <c r="C140" s="7" t="str">
        <f>PRODUCTOS!C140</f>
        <v>DGSW139</v>
      </c>
      <c r="D140" s="11">
        <v>0</v>
      </c>
      <c r="E140" s="11">
        <v>1</v>
      </c>
      <c r="F140" s="11">
        <v>2</v>
      </c>
      <c r="G140" s="45" t="str">
        <f>"*" &amp; Catalogo[[#This Row],[Clave ]] &amp; "-" &amp; Catalogo[[#This Row],[Estado NUEVO]] &amp; "*"</f>
        <v>*DGSW139-0*</v>
      </c>
      <c r="H140" s="47" t="str">
        <f>"*" &amp; Catalogo[[#This Row],[Clave ]] &amp; "-" &amp; Catalogo[[#This Row],[Estado REPARADO]] &amp; "*"</f>
        <v>*DGSW139-1*</v>
      </c>
      <c r="I140" s="50" t="str">
        <f>"*" &amp; Catalogo[[#This Row],[Clave ]] &amp; "-" &amp; Catalogo[[#This Row],[Estado REFACCION]] &amp; "*"</f>
        <v>*DGSW139-2*</v>
      </c>
    </row>
    <row r="141" spans="1:9" x14ac:dyDescent="0.25">
      <c r="A141" s="6">
        <f t="shared" ref="A141:A172" si="6">ROW(A140)</f>
        <v>140</v>
      </c>
      <c r="B141" s="24" t="str">
        <f>PRODUCTOS!A141</f>
        <v>SENSOR DE PUERTA /VENTANA MINI</v>
      </c>
      <c r="C141" s="7" t="str">
        <f>PRODUCTOS!C141</f>
        <v>DGSW140</v>
      </c>
      <c r="D141" s="11">
        <v>0</v>
      </c>
      <c r="E141" s="11">
        <v>1</v>
      </c>
      <c r="F141" s="11">
        <v>2</v>
      </c>
      <c r="G141" s="45" t="str">
        <f>"*" &amp; Catalogo[[#This Row],[Clave ]] &amp; "-" &amp; Catalogo[[#This Row],[Estado NUEVO]] &amp; "*"</f>
        <v>*DGSW140-0*</v>
      </c>
      <c r="H141" s="47" t="str">
        <f>"*" &amp; Catalogo[[#This Row],[Clave ]] &amp; "-" &amp; Catalogo[[#This Row],[Estado REPARADO]] &amp; "*"</f>
        <v>*DGSW140-1*</v>
      </c>
      <c r="I141" s="50" t="str">
        <f>"*" &amp; Catalogo[[#This Row],[Clave ]] &amp; "-" &amp; Catalogo[[#This Row],[Estado REFACCION]] &amp; "*"</f>
        <v>*DGSW140-2*</v>
      </c>
    </row>
    <row r="142" spans="1:9" x14ac:dyDescent="0.25">
      <c r="A142" s="6">
        <f t="shared" si="6"/>
        <v>141</v>
      </c>
      <c r="B142" s="24" t="str">
        <f>PRODUCTOS!A142</f>
        <v xml:space="preserve">SENSOR  DE PUERTA /VENTANA SONOFF DW2 - WIFI </v>
      </c>
      <c r="C142" s="7" t="str">
        <f>PRODUCTOS!C142</f>
        <v>DGSW141</v>
      </c>
      <c r="D142" s="11">
        <v>0</v>
      </c>
      <c r="E142" s="11">
        <v>1</v>
      </c>
      <c r="F142" s="11">
        <v>2</v>
      </c>
      <c r="G142" s="45" t="str">
        <f>"*" &amp; Catalogo[[#This Row],[Clave ]] &amp; "-" &amp; Catalogo[[#This Row],[Estado NUEVO]] &amp; "*"</f>
        <v>*DGSW141-0*</v>
      </c>
      <c r="H142" s="47" t="str">
        <f>"*" &amp; Catalogo[[#This Row],[Clave ]] &amp; "-" &amp; Catalogo[[#This Row],[Estado REPARADO]] &amp; "*"</f>
        <v>*DGSW141-1*</v>
      </c>
      <c r="I142" s="50" t="str">
        <f>"*" &amp; Catalogo[[#This Row],[Clave ]] &amp; "-" &amp; Catalogo[[#This Row],[Estado REFACCION]] &amp; "*"</f>
        <v>*DGSW141-2*</v>
      </c>
    </row>
    <row r="143" spans="1:9" x14ac:dyDescent="0.25">
      <c r="A143" s="6">
        <f t="shared" si="6"/>
        <v>142</v>
      </c>
      <c r="B143" s="24" t="str">
        <f>PRODUCTOS!A143</f>
        <v>SENSOR DE PUERTA/VENTANA ZIGBEE</v>
      </c>
      <c r="C143" s="7" t="str">
        <f>PRODUCTOS!C143</f>
        <v>DGSW142</v>
      </c>
      <c r="D143" s="11">
        <v>0</v>
      </c>
      <c r="E143" s="11">
        <v>1</v>
      </c>
      <c r="F143" s="11">
        <v>2</v>
      </c>
      <c r="G143" s="45" t="str">
        <f>"*" &amp; Catalogo[[#This Row],[Clave ]] &amp; "-" &amp; Catalogo[[#This Row],[Estado NUEVO]] &amp; "*"</f>
        <v>*DGSW142-0*</v>
      </c>
      <c r="H143" s="47" t="str">
        <f>"*" &amp; Catalogo[[#This Row],[Clave ]] &amp; "-" &amp; Catalogo[[#This Row],[Estado REPARADO]] &amp; "*"</f>
        <v>*DGSW142-1*</v>
      </c>
      <c r="I143" s="50" t="str">
        <f>"*" &amp; Catalogo[[#This Row],[Clave ]] &amp; "-" &amp; Catalogo[[#This Row],[Estado REFACCION]] &amp; "*"</f>
        <v>*DGSW142-2*</v>
      </c>
    </row>
    <row r="144" spans="1:9" x14ac:dyDescent="0.25">
      <c r="A144" s="6">
        <f t="shared" si="6"/>
        <v>143</v>
      </c>
      <c r="B144" s="24" t="str">
        <f>PRODUCTOS!A144</f>
        <v>SENSOR PARA CORTINAS AUTO</v>
      </c>
      <c r="C144" s="7" t="str">
        <f>PRODUCTOS!C144</f>
        <v>DGSW143</v>
      </c>
      <c r="D144" s="11">
        <v>0</v>
      </c>
      <c r="E144" s="11">
        <v>1</v>
      </c>
      <c r="F144" s="11">
        <v>2</v>
      </c>
      <c r="G144" s="45" t="str">
        <f>"*" &amp; Catalogo[[#This Row],[Clave ]] &amp; "-" &amp; Catalogo[[#This Row],[Estado NUEVO]] &amp; "*"</f>
        <v>*DGSW143-0*</v>
      </c>
      <c r="H144" s="47" t="str">
        <f>"*" &amp; Catalogo[[#This Row],[Clave ]] &amp; "-" &amp; Catalogo[[#This Row],[Estado REPARADO]] &amp; "*"</f>
        <v>*DGSW143-1*</v>
      </c>
      <c r="I144" s="50" t="str">
        <f>"*" &amp; Catalogo[[#This Row],[Clave ]] &amp; "-" &amp; Catalogo[[#This Row],[Estado REFACCION]] &amp; "*"</f>
        <v>*DGSW143-2*</v>
      </c>
    </row>
    <row r="145" spans="1:9" x14ac:dyDescent="0.25">
      <c r="A145" s="6">
        <f t="shared" si="6"/>
        <v>144</v>
      </c>
      <c r="B145" s="24" t="str">
        <f>PRODUCTOS!A145</f>
        <v xml:space="preserve">SENSOR SWITCH DE NIVEL DE AGUA </v>
      </c>
      <c r="C145" s="7" t="str">
        <f>PRODUCTOS!C145</f>
        <v>DGSW144</v>
      </c>
      <c r="D145" s="11">
        <v>0</v>
      </c>
      <c r="E145" s="11">
        <v>1</v>
      </c>
      <c r="F145" s="11">
        <v>2</v>
      </c>
      <c r="G145" s="45" t="str">
        <f>"*" &amp; Catalogo[[#This Row],[Clave ]] &amp; "-" &amp; Catalogo[[#This Row],[Estado NUEVO]] &amp; "*"</f>
        <v>*DGSW144-0*</v>
      </c>
      <c r="H145" s="47" t="str">
        <f>"*" &amp; Catalogo[[#This Row],[Clave ]] &amp; "-" &amp; Catalogo[[#This Row],[Estado REPARADO]] &amp; "*"</f>
        <v>*DGSW144-1*</v>
      </c>
      <c r="I145" s="50" t="str">
        <f>"*" &amp; Catalogo[[#This Row],[Clave ]] &amp; "-" &amp; Catalogo[[#This Row],[Estado REFACCION]] &amp; "*"</f>
        <v>*DGSW144-2*</v>
      </c>
    </row>
    <row r="146" spans="1:9" x14ac:dyDescent="0.25">
      <c r="A146" s="6">
        <f t="shared" si="6"/>
        <v>145</v>
      </c>
      <c r="B146" s="24" t="str">
        <f>PRODUCTOS!A146</f>
        <v>SENSOR DE VIENTO Y LLUVIA</v>
      </c>
      <c r="C146" s="7" t="str">
        <f>PRODUCTOS!C146</f>
        <v>DGSW145</v>
      </c>
      <c r="D146" s="11">
        <v>0</v>
      </c>
      <c r="E146" s="11">
        <v>1</v>
      </c>
      <c r="F146" s="11">
        <v>2</v>
      </c>
      <c r="G146" s="45" t="str">
        <f>"*" &amp; Catalogo[[#This Row],[Clave ]] &amp; "-" &amp; Catalogo[[#This Row],[Estado NUEVO]] &amp; "*"</f>
        <v>*DGSW145-0*</v>
      </c>
      <c r="H146" s="47" t="str">
        <f>"*" &amp; Catalogo[[#This Row],[Clave ]] &amp; "-" &amp; Catalogo[[#This Row],[Estado REPARADO]] &amp; "*"</f>
        <v>*DGSW145-1*</v>
      </c>
      <c r="I146" s="50" t="str">
        <f>"*" &amp; Catalogo[[#This Row],[Clave ]] &amp; "-" &amp; Catalogo[[#This Row],[Estado REFACCION]] &amp; "*"</f>
        <v>*DGSW145-2*</v>
      </c>
    </row>
    <row r="147" spans="1:9" x14ac:dyDescent="0.25">
      <c r="A147" s="6">
        <f t="shared" si="6"/>
        <v>146</v>
      </c>
      <c r="B147" s="24" t="str">
        <f>PRODUCTOS!A147</f>
        <v>SENSOR SONOFF DW1</v>
      </c>
      <c r="C147" s="7" t="str">
        <f>PRODUCTOS!C147</f>
        <v>DGSW146</v>
      </c>
      <c r="D147" s="11">
        <v>0</v>
      </c>
      <c r="E147" s="11">
        <v>1</v>
      </c>
      <c r="F147" s="11">
        <v>2</v>
      </c>
      <c r="G147" s="45" t="str">
        <f>"*" &amp; Catalogo[[#This Row],[Clave ]] &amp; "-" &amp; Catalogo[[#This Row],[Estado NUEVO]] &amp; "*"</f>
        <v>*DGSW146-0*</v>
      </c>
      <c r="H147" s="47" t="str">
        <f>"*" &amp; Catalogo[[#This Row],[Clave ]] &amp; "-" &amp; Catalogo[[#This Row],[Estado REPARADO]] &amp; "*"</f>
        <v>*DGSW146-1*</v>
      </c>
      <c r="I147" s="50" t="str">
        <f>"*" &amp; Catalogo[[#This Row],[Clave ]] &amp; "-" &amp; Catalogo[[#This Row],[Estado REFACCION]] &amp; "*"</f>
        <v>*DGSW146-2*</v>
      </c>
    </row>
    <row r="148" spans="1:9" x14ac:dyDescent="0.25">
      <c r="A148" s="6">
        <f t="shared" si="6"/>
        <v>147</v>
      </c>
      <c r="B148" s="24" t="str">
        <f>PRODUCTOS!A148</f>
        <v>SENSOR WIFI PUERTA/VENTANA</v>
      </c>
      <c r="C148" s="7" t="str">
        <f>PRODUCTOS!C148</f>
        <v>DGSW147</v>
      </c>
      <c r="D148" s="11">
        <v>0</v>
      </c>
      <c r="E148" s="11">
        <v>1</v>
      </c>
      <c r="F148" s="11">
        <v>2</v>
      </c>
      <c r="G148" s="45" t="str">
        <f>"*" &amp; Catalogo[[#This Row],[Clave ]] &amp; "-" &amp; Catalogo[[#This Row],[Estado NUEVO]] &amp; "*"</f>
        <v>*DGSW147-0*</v>
      </c>
      <c r="H148" s="47" t="str">
        <f>"*" &amp; Catalogo[[#This Row],[Clave ]] &amp; "-" &amp; Catalogo[[#This Row],[Estado REPARADO]] &amp; "*"</f>
        <v>*DGSW147-1*</v>
      </c>
      <c r="I148" s="50" t="str">
        <f>"*" &amp; Catalogo[[#This Row],[Clave ]] &amp; "-" &amp; Catalogo[[#This Row],[Estado REFACCION]] &amp; "*"</f>
        <v>*DGSW147-2*</v>
      </c>
    </row>
    <row r="149" spans="1:9" x14ac:dyDescent="0.25">
      <c r="A149" s="6">
        <f t="shared" si="6"/>
        <v>148</v>
      </c>
      <c r="B149" s="24" t="str">
        <f>PRODUCTOS!A149</f>
        <v xml:space="preserve">SISTEMA A/2 </v>
      </c>
      <c r="C149" s="7" t="str">
        <f>PRODUCTOS!C149</f>
        <v>DGSW148</v>
      </c>
      <c r="D149" s="11">
        <v>0</v>
      </c>
      <c r="E149" s="11">
        <v>1</v>
      </c>
      <c r="F149" s="11">
        <v>2</v>
      </c>
      <c r="G149" s="45" t="str">
        <f>"*" &amp; Catalogo[[#This Row],[Clave ]] &amp; "-" &amp; Catalogo[[#This Row],[Estado NUEVO]] &amp; "*"</f>
        <v>*DGSW148-0*</v>
      </c>
      <c r="H149" s="47" t="str">
        <f>"*" &amp; Catalogo[[#This Row],[Clave ]] &amp; "-" &amp; Catalogo[[#This Row],[Estado REPARADO]] &amp; "*"</f>
        <v>*DGSW148-1*</v>
      </c>
      <c r="I149" s="50" t="str">
        <f>"*" &amp; Catalogo[[#This Row],[Clave ]] &amp; "-" &amp; Catalogo[[#This Row],[Estado REFACCION]] &amp; "*"</f>
        <v>*DGSW148-2*</v>
      </c>
    </row>
    <row r="150" spans="1:9" x14ac:dyDescent="0.25">
      <c r="A150" s="6">
        <f t="shared" si="6"/>
        <v>149</v>
      </c>
      <c r="B150" s="24" t="str">
        <f>PRODUCTOS!A150</f>
        <v>SISTEMA A/3</v>
      </c>
      <c r="C150" s="7" t="str">
        <f>PRODUCTOS!C150</f>
        <v>DGSW149</v>
      </c>
      <c r="D150" s="11">
        <v>0</v>
      </c>
      <c r="E150" s="11">
        <v>1</v>
      </c>
      <c r="F150" s="11">
        <v>2</v>
      </c>
      <c r="G150" s="45" t="str">
        <f>"*" &amp; Catalogo[[#This Row],[Clave ]] &amp; "-" &amp; Catalogo[[#This Row],[Estado NUEVO]] &amp; "*"</f>
        <v>*DGSW149-0*</v>
      </c>
      <c r="H150" s="47" t="str">
        <f>"*" &amp; Catalogo[[#This Row],[Clave ]] &amp; "-" &amp; Catalogo[[#This Row],[Estado REPARADO]] &amp; "*"</f>
        <v>*DGSW149-1*</v>
      </c>
      <c r="I150" s="50" t="str">
        <f>"*" &amp; Catalogo[[#This Row],[Clave ]] &amp; "-" &amp; Catalogo[[#This Row],[Estado REFACCION]] &amp; "*"</f>
        <v>*DGSW149-2*</v>
      </c>
    </row>
    <row r="151" spans="1:9" x14ac:dyDescent="0.25">
      <c r="A151" s="6">
        <f t="shared" si="6"/>
        <v>150</v>
      </c>
      <c r="B151" s="24" t="str">
        <f>PRODUCTOS!A151</f>
        <v>SISTEMA CORREDIZO 3 HOJAS</v>
      </c>
      <c r="C151" s="7" t="str">
        <f>PRODUCTOS!C151</f>
        <v>DGSW150</v>
      </c>
      <c r="D151" s="11">
        <v>0</v>
      </c>
      <c r="E151" s="11">
        <v>1</v>
      </c>
      <c r="F151" s="11">
        <v>2</v>
      </c>
      <c r="G151" s="45" t="str">
        <f>"*" &amp; Catalogo[[#This Row],[Clave ]] &amp; "-" &amp; Catalogo[[#This Row],[Estado NUEVO]] &amp; "*"</f>
        <v>*DGSW150-0*</v>
      </c>
      <c r="H151" s="47" t="str">
        <f>"*" &amp; Catalogo[[#This Row],[Clave ]] &amp; "-" &amp; Catalogo[[#This Row],[Estado REPARADO]] &amp; "*"</f>
        <v>*DGSW150-1*</v>
      </c>
      <c r="I151" s="50" t="str">
        <f>"*" &amp; Catalogo[[#This Row],[Clave ]] &amp; "-" &amp; Catalogo[[#This Row],[Estado REFACCION]] &amp; "*"</f>
        <v>*DGSW150-2*</v>
      </c>
    </row>
    <row r="152" spans="1:9" x14ac:dyDescent="0.25">
      <c r="A152" s="6">
        <f t="shared" si="6"/>
        <v>151</v>
      </c>
      <c r="B152" s="24" t="str">
        <f>PRODUCTOS!A152</f>
        <v>SISTEMA CORREDIZO "S"</v>
      </c>
      <c r="C152" s="7" t="str">
        <f>PRODUCTOS!C152</f>
        <v>DGSW151</v>
      </c>
      <c r="D152" s="11">
        <v>0</v>
      </c>
      <c r="E152" s="11">
        <v>1</v>
      </c>
      <c r="F152" s="11">
        <v>2</v>
      </c>
      <c r="G152" s="45" t="str">
        <f>"*" &amp; Catalogo[[#This Row],[Clave ]] &amp; "-" &amp; Catalogo[[#This Row],[Estado NUEVO]] &amp; "*"</f>
        <v>*DGSW151-0*</v>
      </c>
      <c r="H152" s="47" t="str">
        <f>"*" &amp; Catalogo[[#This Row],[Clave ]] &amp; "-" &amp; Catalogo[[#This Row],[Estado REPARADO]] &amp; "*"</f>
        <v>*DGSW151-1*</v>
      </c>
      <c r="I152" s="50" t="str">
        <f>"*" &amp; Catalogo[[#This Row],[Clave ]] &amp; "-" &amp; Catalogo[[#This Row],[Estado REFACCION]] &amp; "*"</f>
        <v>*DGSW151-2*</v>
      </c>
    </row>
    <row r="153" spans="1:9" x14ac:dyDescent="0.25">
      <c r="A153" s="6">
        <f t="shared" si="6"/>
        <v>152</v>
      </c>
      <c r="B153" s="24" t="str">
        <f>PRODUCTOS!A153</f>
        <v xml:space="preserve"> SISTEMA DGSW APP VENTANA SMART</v>
      </c>
      <c r="C153" s="7" t="str">
        <f>PRODUCTOS!C153</f>
        <v>DGSW152</v>
      </c>
      <c r="D153" s="11">
        <v>0</v>
      </c>
      <c r="E153" s="11">
        <v>1</v>
      </c>
      <c r="F153" s="11">
        <v>2</v>
      </c>
      <c r="G153" s="45" t="str">
        <f>"*" &amp; Catalogo[[#This Row],[Clave ]] &amp; "-" &amp; Catalogo[[#This Row],[Estado NUEVO]] &amp; "*"</f>
        <v>*DGSW152-0*</v>
      </c>
      <c r="H153" s="47" t="str">
        <f>"*" &amp; Catalogo[[#This Row],[Clave ]] &amp; "-" &amp; Catalogo[[#This Row],[Estado REPARADO]] &amp; "*"</f>
        <v>*DGSW152-1*</v>
      </c>
      <c r="I153" s="50" t="str">
        <f>"*" &amp; Catalogo[[#This Row],[Clave ]] &amp; "-" &amp; Catalogo[[#This Row],[Estado REFACCION]] &amp; "*"</f>
        <v>*DGSW152-2*</v>
      </c>
    </row>
    <row r="154" spans="1:9" x14ac:dyDescent="0.25">
      <c r="A154" s="6">
        <f t="shared" si="6"/>
        <v>153</v>
      </c>
      <c r="B154" s="24" t="str">
        <f>PRODUCTOS!A154</f>
        <v xml:space="preserve">SISTEMA DGSW A/1  BLANCO </v>
      </c>
      <c r="C154" s="7" t="str">
        <f>PRODUCTOS!C154</f>
        <v>DGSW153</v>
      </c>
      <c r="D154" s="11">
        <v>0</v>
      </c>
      <c r="E154" s="11">
        <v>1</v>
      </c>
      <c r="F154" s="11">
        <v>2</v>
      </c>
      <c r="G154" s="45" t="str">
        <f>"*" &amp; Catalogo[[#This Row],[Clave ]] &amp; "-" &amp; Catalogo[[#This Row],[Estado NUEVO]] &amp; "*"</f>
        <v>*DGSW153-0*</v>
      </c>
      <c r="H154" s="47" t="str">
        <f>"*" &amp; Catalogo[[#This Row],[Clave ]] &amp; "-" &amp; Catalogo[[#This Row],[Estado REPARADO]] &amp; "*"</f>
        <v>*DGSW153-1*</v>
      </c>
      <c r="I154" s="50" t="str">
        <f>"*" &amp; Catalogo[[#This Row],[Clave ]] &amp; "-" &amp; Catalogo[[#This Row],[Estado REFACCION]] &amp; "*"</f>
        <v>*DGSW153-2*</v>
      </c>
    </row>
    <row r="155" spans="1:9" x14ac:dyDescent="0.25">
      <c r="A155" s="6">
        <f t="shared" si="6"/>
        <v>154</v>
      </c>
      <c r="B155" s="24" t="str">
        <f>PRODUCTOS!A155</f>
        <v>SISTEMA DGSW A/1 NEGRO</v>
      </c>
      <c r="C155" s="7" t="str">
        <f>PRODUCTOS!C155</f>
        <v>DGSW154</v>
      </c>
      <c r="D155" s="11">
        <v>0</v>
      </c>
      <c r="E155" s="11">
        <v>1</v>
      </c>
      <c r="F155" s="11">
        <v>2</v>
      </c>
      <c r="G155" s="45" t="str">
        <f>"*" &amp; Catalogo[[#This Row],[Clave ]] &amp; "-" &amp; Catalogo[[#This Row],[Estado NUEVO]] &amp; "*"</f>
        <v>*DGSW154-0*</v>
      </c>
      <c r="H155" s="47" t="str">
        <f>"*" &amp; Catalogo[[#This Row],[Clave ]] &amp; "-" &amp; Catalogo[[#This Row],[Estado REPARADO]] &amp; "*"</f>
        <v>*DGSW154-1*</v>
      </c>
      <c r="I155" s="50" t="str">
        <f>"*" &amp; Catalogo[[#This Row],[Clave ]] &amp; "-" &amp; Catalogo[[#This Row],[Estado REFACCION]] &amp; "*"</f>
        <v>*DGSW154-2*</v>
      </c>
    </row>
    <row r="156" spans="1:9" x14ac:dyDescent="0.25">
      <c r="A156" s="6">
        <f t="shared" si="6"/>
        <v>155</v>
      </c>
      <c r="B156" s="24" t="str">
        <f>PRODUCTOS!A156</f>
        <v>SISTEMA DE PROYECCION</v>
      </c>
      <c r="C156" s="7" t="str">
        <f>PRODUCTOS!C156</f>
        <v>DGSW155</v>
      </c>
      <c r="D156" s="11">
        <v>0</v>
      </c>
      <c r="E156" s="11">
        <v>1</v>
      </c>
      <c r="F156" s="11">
        <v>2</v>
      </c>
      <c r="G156" s="45" t="str">
        <f>"*" &amp; Catalogo[[#This Row],[Clave ]] &amp; "-" &amp; Catalogo[[#This Row],[Estado NUEVO]] &amp; "*"</f>
        <v>*DGSW155-0*</v>
      </c>
      <c r="H156" s="47" t="str">
        <f>"*" &amp; Catalogo[[#This Row],[Clave ]] &amp; "-" &amp; Catalogo[[#This Row],[Estado REPARADO]] &amp; "*"</f>
        <v>*DGSW155-1*</v>
      </c>
      <c r="I156" s="50" t="str">
        <f>"*" &amp; Catalogo[[#This Row],[Clave ]] &amp; "-" &amp; Catalogo[[#This Row],[Estado REFACCION]] &amp; "*"</f>
        <v>*DGSW155-2*</v>
      </c>
    </row>
    <row r="157" spans="1:9" x14ac:dyDescent="0.25">
      <c r="A157" s="6">
        <f t="shared" si="6"/>
        <v>156</v>
      </c>
      <c r="B157" s="24" t="str">
        <f>PRODUCTOS!A157</f>
        <v>CHAPA DE SEGURIDAD</v>
      </c>
      <c r="C157" s="7" t="str">
        <f>PRODUCTOS!C157</f>
        <v>DGSW156</v>
      </c>
      <c r="D157" s="11">
        <v>0</v>
      </c>
      <c r="E157" s="11">
        <v>1</v>
      </c>
      <c r="F157" s="11">
        <v>2</v>
      </c>
      <c r="G157" s="45" t="str">
        <f>"*" &amp; Catalogo[[#This Row],[Clave ]] &amp; "-" &amp; Catalogo[[#This Row],[Estado NUEVO]] &amp; "*"</f>
        <v>*DGSW156-0*</v>
      </c>
      <c r="H157" s="47" t="str">
        <f>"*" &amp; Catalogo[[#This Row],[Clave ]] &amp; "-" &amp; Catalogo[[#This Row],[Estado REPARADO]] &amp; "*"</f>
        <v>*DGSW156-1*</v>
      </c>
      <c r="I157" s="50" t="str">
        <f>"*" &amp; Catalogo[[#This Row],[Clave ]] &amp; "-" &amp; Catalogo[[#This Row],[Estado REFACCION]] &amp; "*"</f>
        <v>*DGSW156-2*</v>
      </c>
    </row>
    <row r="158" spans="1:9" x14ac:dyDescent="0.25">
      <c r="A158" s="6">
        <f t="shared" si="6"/>
        <v>157</v>
      </c>
      <c r="B158" s="24" t="str">
        <f>PRODUCTOS!A158</f>
        <v>SISTEMA DE PROYECCION DOBLE CADENA</v>
      </c>
      <c r="C158" s="7" t="str">
        <f>PRODUCTOS!C158</f>
        <v>DGSW157</v>
      </c>
      <c r="D158" s="11">
        <v>0</v>
      </c>
      <c r="E158" s="11">
        <v>1</v>
      </c>
      <c r="F158" s="11">
        <v>2</v>
      </c>
      <c r="G158" s="45" t="str">
        <f>"*" &amp; Catalogo[[#This Row],[Clave ]] &amp; "-" &amp; Catalogo[[#This Row],[Estado NUEVO]] &amp; "*"</f>
        <v>*DGSW157-0*</v>
      </c>
      <c r="H158" s="47" t="str">
        <f>"*" &amp; Catalogo[[#This Row],[Clave ]] &amp; "-" &amp; Catalogo[[#This Row],[Estado REPARADO]] &amp; "*"</f>
        <v>*DGSW157-1*</v>
      </c>
      <c r="I158" s="50" t="str">
        <f>"*" &amp; Catalogo[[#This Row],[Clave ]] &amp; "-" &amp; Catalogo[[#This Row],[Estado REFACCION]] &amp; "*"</f>
        <v>*DGSW157-2*</v>
      </c>
    </row>
    <row r="159" spans="1:9" x14ac:dyDescent="0.25">
      <c r="A159" s="6">
        <f t="shared" si="6"/>
        <v>158</v>
      </c>
      <c r="B159" s="24" t="str">
        <f>PRODUCTOS!A159</f>
        <v>SISTEMA S1</v>
      </c>
      <c r="C159" s="7" t="str">
        <f>PRODUCTOS!C159</f>
        <v>DGSW158</v>
      </c>
      <c r="D159" s="11">
        <v>0</v>
      </c>
      <c r="E159" s="11">
        <v>1</v>
      </c>
      <c r="F159" s="11">
        <v>2</v>
      </c>
      <c r="G159" s="45" t="str">
        <f>"*" &amp; Catalogo[[#This Row],[Clave ]] &amp; "-" &amp; Catalogo[[#This Row],[Estado NUEVO]] &amp; "*"</f>
        <v>*DGSW158-0*</v>
      </c>
      <c r="H159" s="47" t="str">
        <f>"*" &amp; Catalogo[[#This Row],[Clave ]] &amp; "-" &amp; Catalogo[[#This Row],[Estado REPARADO]] &amp; "*"</f>
        <v>*DGSW158-1*</v>
      </c>
      <c r="I159" s="50" t="str">
        <f>"*" &amp; Catalogo[[#This Row],[Clave ]] &amp; "-" &amp; Catalogo[[#This Row],[Estado REFACCION]] &amp; "*"</f>
        <v>*DGSW158-2*</v>
      </c>
    </row>
    <row r="160" spans="1:9" x14ac:dyDescent="0.25">
      <c r="A160" s="6">
        <f t="shared" si="6"/>
        <v>159</v>
      </c>
      <c r="B160" s="24" t="str">
        <f>PRODUCTOS!A160</f>
        <v>SISTEMA S2</v>
      </c>
      <c r="C160" s="7" t="str">
        <f>PRODUCTOS!C160</f>
        <v>DGSW159</v>
      </c>
      <c r="D160" s="11">
        <v>0</v>
      </c>
      <c r="E160" s="11">
        <v>1</v>
      </c>
      <c r="F160" s="11">
        <v>2</v>
      </c>
      <c r="G160" s="45" t="str">
        <f>"*" &amp; Catalogo[[#This Row],[Clave ]] &amp; "-" &amp; Catalogo[[#This Row],[Estado NUEVO]] &amp; "*"</f>
        <v>*DGSW159-0*</v>
      </c>
      <c r="H160" s="47" t="str">
        <f>"*" &amp; Catalogo[[#This Row],[Clave ]] &amp; "-" &amp; Catalogo[[#This Row],[Estado REPARADO]] &amp; "*"</f>
        <v>*DGSW159-1*</v>
      </c>
      <c r="I160" s="50" t="str">
        <f>"*" &amp; Catalogo[[#This Row],[Clave ]] &amp; "-" &amp; Catalogo[[#This Row],[Estado REFACCION]] &amp; "*"</f>
        <v>*DGSW159-2*</v>
      </c>
    </row>
    <row r="161" spans="1:9" x14ac:dyDescent="0.25">
      <c r="A161" s="6">
        <f t="shared" si="6"/>
        <v>160</v>
      </c>
      <c r="B161" s="24" t="str">
        <f>PRODUCTOS!A161</f>
        <v>SMART GARAGE (Caja Azul)</v>
      </c>
      <c r="C161" s="7" t="str">
        <f>PRODUCTOS!C161</f>
        <v>DGSW160</v>
      </c>
      <c r="D161" s="11">
        <v>0</v>
      </c>
      <c r="E161" s="11">
        <v>1</v>
      </c>
      <c r="F161" s="11">
        <v>2</v>
      </c>
      <c r="G161" s="45" t="str">
        <f>"*" &amp; Catalogo[[#This Row],[Clave ]] &amp; "-" &amp; Catalogo[[#This Row],[Estado NUEVO]] &amp; "*"</f>
        <v>*DGSW160-0*</v>
      </c>
      <c r="H161" s="47" t="str">
        <f>"*" &amp; Catalogo[[#This Row],[Clave ]] &amp; "-" &amp; Catalogo[[#This Row],[Estado REPARADO]] &amp; "*"</f>
        <v>*DGSW160-1*</v>
      </c>
      <c r="I161" s="50" t="str">
        <f>"*" &amp; Catalogo[[#This Row],[Clave ]] &amp; "-" &amp; Catalogo[[#This Row],[Estado REFACCION]] &amp; "*"</f>
        <v>*DGSW160-2*</v>
      </c>
    </row>
    <row r="162" spans="1:9" x14ac:dyDescent="0.25">
      <c r="A162" s="6">
        <f t="shared" si="6"/>
        <v>161</v>
      </c>
      <c r="B162" s="24" t="str">
        <f>PRODUCTOS!A162</f>
        <v>SMART  IR  GRANDE CONTOL REMOTO</v>
      </c>
      <c r="C162" s="7" t="str">
        <f>PRODUCTOS!C162</f>
        <v>DGSW161</v>
      </c>
      <c r="D162" s="11">
        <v>0</v>
      </c>
      <c r="E162" s="11">
        <v>1</v>
      </c>
      <c r="F162" s="11">
        <v>2</v>
      </c>
      <c r="G162" s="45" t="str">
        <f>"*" &amp; Catalogo[[#This Row],[Clave ]] &amp; "-" &amp; Catalogo[[#This Row],[Estado NUEVO]] &amp; "*"</f>
        <v>*DGSW161-0*</v>
      </c>
      <c r="H162" s="47" t="str">
        <f>"*" &amp; Catalogo[[#This Row],[Clave ]] &amp; "-" &amp; Catalogo[[#This Row],[Estado REPARADO]] &amp; "*"</f>
        <v>*DGSW161-1*</v>
      </c>
      <c r="I162" s="50" t="str">
        <f>"*" &amp; Catalogo[[#This Row],[Clave ]] &amp; "-" &amp; Catalogo[[#This Row],[Estado REFACCION]] &amp; "*"</f>
        <v>*DGSW161-2*</v>
      </c>
    </row>
    <row r="163" spans="1:9" x14ac:dyDescent="0.25">
      <c r="A163" s="6">
        <f t="shared" si="6"/>
        <v>162</v>
      </c>
      <c r="B163" s="24" t="str">
        <f>PRODUCTOS!A163</f>
        <v>SMART  IR  MINI CONTROL REMOTO</v>
      </c>
      <c r="C163" s="7" t="str">
        <f>PRODUCTOS!C163</f>
        <v>DGSW162</v>
      </c>
      <c r="D163" s="11">
        <v>0</v>
      </c>
      <c r="E163" s="11">
        <v>1</v>
      </c>
      <c r="F163" s="11">
        <v>2</v>
      </c>
      <c r="G163" s="45" t="str">
        <f>"*" &amp; Catalogo[[#This Row],[Clave ]] &amp; "-" &amp; Catalogo[[#This Row],[Estado NUEVO]] &amp; "*"</f>
        <v>*DGSW162-0*</v>
      </c>
      <c r="H163" s="47" t="str">
        <f>"*" &amp; Catalogo[[#This Row],[Clave ]] &amp; "-" &amp; Catalogo[[#This Row],[Estado REPARADO]] &amp; "*"</f>
        <v>*DGSW162-1*</v>
      </c>
      <c r="I163" s="50" t="str">
        <f>"*" &amp; Catalogo[[#This Row],[Clave ]] &amp; "-" &amp; Catalogo[[#This Row],[Estado REFACCION]] &amp; "*"</f>
        <v>*DGSW162-2*</v>
      </c>
    </row>
    <row r="164" spans="1:9" x14ac:dyDescent="0.25">
      <c r="A164" s="6">
        <f t="shared" si="6"/>
        <v>163</v>
      </c>
      <c r="B164" s="24" t="str">
        <f>PRODUCTOS!A164</f>
        <v xml:space="preserve">SMART LOCK </v>
      </c>
      <c r="C164" s="7" t="str">
        <f>PRODUCTOS!C164</f>
        <v>DGSW163</v>
      </c>
      <c r="D164" s="11">
        <v>0</v>
      </c>
      <c r="E164" s="11">
        <v>1</v>
      </c>
      <c r="F164" s="11">
        <v>2</v>
      </c>
      <c r="G164" s="45" t="str">
        <f>"*" &amp; Catalogo[[#This Row],[Clave ]] &amp; "-" &amp; Catalogo[[#This Row],[Estado NUEVO]] &amp; "*"</f>
        <v>*DGSW163-0*</v>
      </c>
      <c r="H164" s="47" t="str">
        <f>"*" &amp; Catalogo[[#This Row],[Clave ]] &amp; "-" &amp; Catalogo[[#This Row],[Estado REPARADO]] &amp; "*"</f>
        <v>*DGSW163-1*</v>
      </c>
      <c r="I164" s="50" t="str">
        <f>"*" &amp; Catalogo[[#This Row],[Clave ]] &amp; "-" &amp; Catalogo[[#This Row],[Estado REFACCION]] &amp; "*"</f>
        <v>*DGSW163-2*</v>
      </c>
    </row>
    <row r="165" spans="1:9" x14ac:dyDescent="0.25">
      <c r="A165" s="6">
        <f t="shared" si="6"/>
        <v>164</v>
      </c>
      <c r="B165" s="24" t="str">
        <f>PRODUCTOS!A165</f>
        <v xml:space="preserve">SMART LOCK RECTANGULAR </v>
      </c>
      <c r="C165" s="7" t="str">
        <f>PRODUCTOS!C165</f>
        <v>DGSW164</v>
      </c>
      <c r="D165" s="11">
        <v>0</v>
      </c>
      <c r="E165" s="11">
        <v>1</v>
      </c>
      <c r="F165" s="11">
        <v>2</v>
      </c>
      <c r="G165" s="45" t="str">
        <f>"*" &amp; Catalogo[[#This Row],[Clave ]] &amp; "-" &amp; Catalogo[[#This Row],[Estado NUEVO]] &amp; "*"</f>
        <v>*DGSW164-0*</v>
      </c>
      <c r="H165" s="47" t="str">
        <f>"*" &amp; Catalogo[[#This Row],[Clave ]] &amp; "-" &amp; Catalogo[[#This Row],[Estado REPARADO]] &amp; "*"</f>
        <v>*DGSW164-1*</v>
      </c>
      <c r="I165" s="50" t="str">
        <f>"*" &amp; Catalogo[[#This Row],[Clave ]] &amp; "-" &amp; Catalogo[[#This Row],[Estado REFACCION]] &amp; "*"</f>
        <v>*DGSW164-2*</v>
      </c>
    </row>
    <row r="166" spans="1:9" x14ac:dyDescent="0.25">
      <c r="A166" s="6">
        <f t="shared" si="6"/>
        <v>165</v>
      </c>
      <c r="B166" s="24" t="str">
        <f>PRODUCTOS!A166</f>
        <v>SMART SWICH MINI WIFI</v>
      </c>
      <c r="C166" s="7" t="str">
        <f>PRODUCTOS!C166</f>
        <v>DGSW165</v>
      </c>
      <c r="D166" s="11">
        <v>0</v>
      </c>
      <c r="E166" s="11">
        <v>1</v>
      </c>
      <c r="F166" s="11">
        <v>2</v>
      </c>
      <c r="G166" s="45" t="str">
        <f>"*" &amp; Catalogo[[#This Row],[Clave ]] &amp; "-" &amp; Catalogo[[#This Row],[Estado NUEVO]] &amp; "*"</f>
        <v>*DGSW165-0*</v>
      </c>
      <c r="H166" s="47" t="str">
        <f>"*" &amp; Catalogo[[#This Row],[Clave ]] &amp; "-" &amp; Catalogo[[#This Row],[Estado REPARADO]] &amp; "*"</f>
        <v>*DGSW165-1*</v>
      </c>
      <c r="I166" s="50" t="str">
        <f>"*" &amp; Catalogo[[#This Row],[Clave ]] &amp; "-" &amp; Catalogo[[#This Row],[Estado REFACCION]] &amp; "*"</f>
        <v>*DGSW165-2*</v>
      </c>
    </row>
    <row r="167" spans="1:9" x14ac:dyDescent="0.25">
      <c r="A167" s="6">
        <f t="shared" si="6"/>
        <v>166</v>
      </c>
      <c r="B167" s="24" t="str">
        <f>PRODUCTOS!A167</f>
        <v>SOPORTE EN U</v>
      </c>
      <c r="C167" s="7" t="str">
        <f>PRODUCTOS!C167</f>
        <v>DGSW166</v>
      </c>
      <c r="D167" s="11">
        <v>0</v>
      </c>
      <c r="E167" s="11">
        <v>1</v>
      </c>
      <c r="F167" s="11">
        <v>2</v>
      </c>
      <c r="G167" s="45" t="str">
        <f>"*" &amp; Catalogo[[#This Row],[Clave ]] &amp; "-" &amp; Catalogo[[#This Row],[Estado NUEVO]] &amp; "*"</f>
        <v>*DGSW166-0*</v>
      </c>
      <c r="H167" s="47" t="str">
        <f>"*" &amp; Catalogo[[#This Row],[Clave ]] &amp; "-" &amp; Catalogo[[#This Row],[Estado REPARADO]] &amp; "*"</f>
        <v>*DGSW166-1*</v>
      </c>
      <c r="I167" s="50" t="str">
        <f>"*" &amp; Catalogo[[#This Row],[Clave ]] &amp; "-" &amp; Catalogo[[#This Row],[Estado REFACCION]] &amp; "*"</f>
        <v>*DGSW166-2*</v>
      </c>
    </row>
    <row r="168" spans="1:9" x14ac:dyDescent="0.25">
      <c r="A168" s="6">
        <f t="shared" si="6"/>
        <v>167</v>
      </c>
      <c r="B168" s="24" t="str">
        <f>PRODUCTOS!A168</f>
        <v>TARJETAS DE ACCESO</v>
      </c>
      <c r="C168" s="7" t="str">
        <f>PRODUCTOS!C168</f>
        <v>DGSW167</v>
      </c>
      <c r="D168" s="11">
        <v>0</v>
      </c>
      <c r="E168" s="11">
        <v>1</v>
      </c>
      <c r="F168" s="11">
        <v>2</v>
      </c>
      <c r="G168" s="45" t="str">
        <f>"*" &amp; Catalogo[[#This Row],[Clave ]] &amp; "-" &amp; Catalogo[[#This Row],[Estado NUEVO]] &amp; "*"</f>
        <v>*DGSW167-0*</v>
      </c>
      <c r="H168" s="47" t="str">
        <f>"*" &amp; Catalogo[[#This Row],[Clave ]] &amp; "-" &amp; Catalogo[[#This Row],[Estado REPARADO]] &amp; "*"</f>
        <v>*DGSW167-1*</v>
      </c>
      <c r="I168" s="50" t="str">
        <f>"*" &amp; Catalogo[[#This Row],[Clave ]] &amp; "-" &amp; Catalogo[[#This Row],[Estado REFACCION]] &amp; "*"</f>
        <v>*DGSW167-2*</v>
      </c>
    </row>
    <row r="169" spans="1:9" x14ac:dyDescent="0.25">
      <c r="A169" s="6">
        <f t="shared" si="6"/>
        <v>168</v>
      </c>
      <c r="B169" s="24" t="str">
        <f>PRODUCTOS!A169</f>
        <v xml:space="preserve">TARJETA DE MEMORIA ADATA </v>
      </c>
      <c r="C169" s="7" t="str">
        <f>PRODUCTOS!C169</f>
        <v>DGSW168</v>
      </c>
      <c r="D169" s="11">
        <v>0</v>
      </c>
      <c r="E169" s="11">
        <v>1</v>
      </c>
      <c r="F169" s="11">
        <v>2</v>
      </c>
      <c r="G169" s="45" t="str">
        <f>"*" &amp; Catalogo[[#This Row],[Clave ]] &amp; "-" &amp; Catalogo[[#This Row],[Estado NUEVO]] &amp; "*"</f>
        <v>*DGSW168-0*</v>
      </c>
      <c r="H169" s="47" t="str">
        <f>"*" &amp; Catalogo[[#This Row],[Clave ]] &amp; "-" &amp; Catalogo[[#This Row],[Estado REPARADO]] &amp; "*"</f>
        <v>*DGSW168-1*</v>
      </c>
      <c r="I169" s="50" t="str">
        <f>"*" &amp; Catalogo[[#This Row],[Clave ]] &amp; "-" &amp; Catalogo[[#This Row],[Estado REFACCION]] &amp; "*"</f>
        <v>*DGSW168-2*</v>
      </c>
    </row>
    <row r="170" spans="1:9" x14ac:dyDescent="0.25">
      <c r="A170" s="6">
        <f t="shared" si="6"/>
        <v>169</v>
      </c>
      <c r="B170" s="24" t="str">
        <f>PRODUCTOS!A170</f>
        <v>TARJETA RFID (Venta/Paquete 50Pz.)</v>
      </c>
      <c r="C170" s="7" t="str">
        <f>PRODUCTOS!C170</f>
        <v>DGSW169</v>
      </c>
      <c r="D170" s="11">
        <v>0</v>
      </c>
      <c r="E170" s="11">
        <v>1</v>
      </c>
      <c r="F170" s="11">
        <v>2</v>
      </c>
      <c r="G170" s="45" t="str">
        <f>"*" &amp; Catalogo[[#This Row],[Clave ]] &amp; "-" &amp; Catalogo[[#This Row],[Estado NUEVO]] &amp; "*"</f>
        <v>*DGSW169-0*</v>
      </c>
      <c r="H170" s="47" t="str">
        <f>"*" &amp; Catalogo[[#This Row],[Clave ]] &amp; "-" &amp; Catalogo[[#This Row],[Estado REPARADO]] &amp; "*"</f>
        <v>*DGSW169-1*</v>
      </c>
      <c r="I170" s="50" t="str">
        <f>"*" &amp; Catalogo[[#This Row],[Clave ]] &amp; "-" &amp; Catalogo[[#This Row],[Estado REFACCION]] &amp; "*"</f>
        <v>*DGSW169-2*</v>
      </c>
    </row>
    <row r="171" spans="1:9" x14ac:dyDescent="0.25">
      <c r="A171" s="6">
        <f t="shared" si="6"/>
        <v>170</v>
      </c>
      <c r="B171" s="24" t="str">
        <f>PRODUCTOS!A171</f>
        <v>TRASMISOR de HD VIDEO</v>
      </c>
      <c r="C171" s="7" t="str">
        <f>PRODUCTOS!C171</f>
        <v>DGSW170</v>
      </c>
      <c r="D171" s="11">
        <v>0</v>
      </c>
      <c r="E171" s="11">
        <v>1</v>
      </c>
      <c r="F171" s="11">
        <v>2</v>
      </c>
      <c r="G171" s="45" t="str">
        <f>"*" &amp; Catalogo[[#This Row],[Clave ]] &amp; "-" &amp; Catalogo[[#This Row],[Estado NUEVO]] &amp; "*"</f>
        <v>*DGSW170-0*</v>
      </c>
      <c r="H171" s="47" t="str">
        <f>"*" &amp; Catalogo[[#This Row],[Clave ]] &amp; "-" &amp; Catalogo[[#This Row],[Estado REPARADO]] &amp; "*"</f>
        <v>*DGSW170-1*</v>
      </c>
      <c r="I171" s="50" t="str">
        <f>"*" &amp; Catalogo[[#This Row],[Clave ]] &amp; "-" &amp; Catalogo[[#This Row],[Estado REFACCION]] &amp; "*"</f>
        <v>*DGSW170-2*</v>
      </c>
    </row>
    <row r="172" spans="1:9" x14ac:dyDescent="0.25">
      <c r="A172" s="6">
        <f t="shared" si="6"/>
        <v>171</v>
      </c>
      <c r="B172" s="24" t="str">
        <f>PRODUCTOS!A172</f>
        <v xml:space="preserve"> TIMBRE CON VIDEO WIFI</v>
      </c>
      <c r="C172" s="7" t="str">
        <f>PRODUCTOS!C172</f>
        <v>DGSW171</v>
      </c>
      <c r="D172" s="11">
        <v>0</v>
      </c>
      <c r="E172" s="11">
        <v>1</v>
      </c>
      <c r="F172" s="11">
        <v>2</v>
      </c>
      <c r="G172" s="45" t="str">
        <f>"*" &amp; Catalogo[[#This Row],[Clave ]] &amp; "-" &amp; Catalogo[[#This Row],[Estado NUEVO]] &amp; "*"</f>
        <v>*DGSW171-0*</v>
      </c>
      <c r="H172" s="47" t="str">
        <f>"*" &amp; Catalogo[[#This Row],[Clave ]] &amp; "-" &amp; Catalogo[[#This Row],[Estado REPARADO]] &amp; "*"</f>
        <v>*DGSW171-1*</v>
      </c>
      <c r="I172" s="50" t="str">
        <f>"*" &amp; Catalogo[[#This Row],[Clave ]] &amp; "-" &amp; Catalogo[[#This Row],[Estado REFACCION]] &amp; "*"</f>
        <v>*DGSW171-2*</v>
      </c>
    </row>
    <row r="173" spans="1:9" x14ac:dyDescent="0.25">
      <c r="A173" s="6">
        <f t="shared" ref="A173:A201" si="7">ROW(A172)</f>
        <v>172</v>
      </c>
      <c r="B173" s="24" t="str">
        <f>PRODUCTOS!A173</f>
        <v xml:space="preserve">WIRELESS SWITCH </v>
      </c>
      <c r="C173" s="7" t="str">
        <f>PRODUCTOS!C173</f>
        <v>DGSW172</v>
      </c>
      <c r="D173" s="11">
        <v>0</v>
      </c>
      <c r="E173" s="11">
        <v>1</v>
      </c>
      <c r="F173" s="11">
        <v>2</v>
      </c>
      <c r="G173" s="45" t="str">
        <f>"*" &amp; Catalogo[[#This Row],[Clave ]] &amp; "-" &amp; Catalogo[[#This Row],[Estado NUEVO]] &amp; "*"</f>
        <v>*DGSW172-0*</v>
      </c>
      <c r="H173" s="47" t="str">
        <f>"*" &amp; Catalogo[[#This Row],[Clave ]] &amp; "-" &amp; Catalogo[[#This Row],[Estado REPARADO]] &amp; "*"</f>
        <v>*DGSW172-1*</v>
      </c>
      <c r="I173" s="50" t="str">
        <f>"*" &amp; Catalogo[[#This Row],[Clave ]] &amp; "-" &amp; Catalogo[[#This Row],[Estado REFACCION]] &amp; "*"</f>
        <v>*DGSW172-2*</v>
      </c>
    </row>
    <row r="174" spans="1:9" x14ac:dyDescent="0.25">
      <c r="A174" s="6">
        <f t="shared" si="7"/>
        <v>173</v>
      </c>
      <c r="B174" s="24" t="str">
        <f>PRODUCTOS!A174</f>
        <v>WIFI CONTROL VALVE</v>
      </c>
      <c r="C174" s="7" t="str">
        <f>PRODUCTOS!C174</f>
        <v>DGSW173</v>
      </c>
      <c r="D174" s="11">
        <v>0</v>
      </c>
      <c r="E174" s="11">
        <v>1</v>
      </c>
      <c r="F174" s="11">
        <v>2</v>
      </c>
      <c r="G174" s="45" t="str">
        <f>"*" &amp; Catalogo[[#This Row],[Clave ]] &amp; "-" &amp; Catalogo[[#This Row],[Estado NUEVO]] &amp; "*"</f>
        <v>*DGSW173-0*</v>
      </c>
      <c r="H174" s="47" t="str">
        <f>"*" &amp; Catalogo[[#This Row],[Clave ]] &amp; "-" &amp; Catalogo[[#This Row],[Estado REPARADO]] &amp; "*"</f>
        <v>*DGSW173-1*</v>
      </c>
      <c r="I174" s="50" t="str">
        <f>"*" &amp; Catalogo[[#This Row],[Clave ]] &amp; "-" &amp; Catalogo[[#This Row],[Estado REFACCION]] &amp; "*"</f>
        <v>*DGSW173-2*</v>
      </c>
    </row>
    <row r="175" spans="1:9" x14ac:dyDescent="0.25">
      <c r="A175" s="6">
        <f t="shared" si="7"/>
        <v>174</v>
      </c>
      <c r="B175" s="24" t="str">
        <f>PRODUCTOS!A175</f>
        <v>SISTEMA S2-A</v>
      </c>
      <c r="C175" s="7" t="str">
        <f>PRODUCTOS!C175</f>
        <v>DGSW174</v>
      </c>
      <c r="D175" s="11">
        <v>0</v>
      </c>
      <c r="E175" s="11">
        <v>1</v>
      </c>
      <c r="F175" s="11">
        <v>2</v>
      </c>
      <c r="G175" s="45" t="str">
        <f>"*" &amp; Catalogo[[#This Row],[Clave ]] &amp; "-" &amp; Catalogo[[#This Row],[Estado NUEVO]] &amp; "*"</f>
        <v>*DGSW174-0*</v>
      </c>
      <c r="H175" s="47" t="str">
        <f>"*" &amp; Catalogo[[#This Row],[Clave ]] &amp; "-" &amp; Catalogo[[#This Row],[Estado REPARADO]] &amp; "*"</f>
        <v>*DGSW174-1*</v>
      </c>
      <c r="I175" s="50" t="str">
        <f>"*" &amp; Catalogo[[#This Row],[Clave ]] &amp; "-" &amp; Catalogo[[#This Row],[Estado REFACCION]] &amp; "*"</f>
        <v>*DGSW174-2*</v>
      </c>
    </row>
    <row r="176" spans="1:9" x14ac:dyDescent="0.25">
      <c r="A176" s="6">
        <f t="shared" si="7"/>
        <v>175</v>
      </c>
      <c r="B176" s="24" t="str">
        <f>PRODUCTOS!A176</f>
        <v>CERRADURA INTELIGENTE  SLIM</v>
      </c>
      <c r="C176" s="7" t="str">
        <f>PRODUCTOS!C176</f>
        <v>DGSW175</v>
      </c>
      <c r="D176" s="11">
        <v>0</v>
      </c>
      <c r="E176" s="11">
        <v>1</v>
      </c>
      <c r="F176" s="11">
        <v>2</v>
      </c>
      <c r="G176" s="45" t="str">
        <f>"*" &amp; Catalogo[[#This Row],[Clave ]] &amp; "-" &amp; Catalogo[[#This Row],[Estado NUEVO]] &amp; "*"</f>
        <v>*DGSW175-0*</v>
      </c>
      <c r="H176" s="47" t="str">
        <f>"*" &amp; Catalogo[[#This Row],[Clave ]] &amp; "-" &amp; Catalogo[[#This Row],[Estado REPARADO]] &amp; "*"</f>
        <v>*DGSW175-1*</v>
      </c>
      <c r="I176" s="50" t="str">
        <f>"*" &amp; Catalogo[[#This Row],[Clave ]] &amp; "-" &amp; Catalogo[[#This Row],[Estado REFACCION]] &amp; "*"</f>
        <v>*DGSW175-2*</v>
      </c>
    </row>
    <row r="177" spans="1:9" x14ac:dyDescent="0.25">
      <c r="A177" s="6">
        <f t="shared" si="7"/>
        <v>176</v>
      </c>
      <c r="B177" s="24" t="str">
        <f>PRODUCTOS!A177</f>
        <v>JUEGO DE CARRETILLAS GRANDES PARA PUERTAS DE CRISTAL</v>
      </c>
      <c r="C177" s="7" t="str">
        <f>PRODUCTOS!C177</f>
        <v>DGSW176</v>
      </c>
      <c r="D177" s="11">
        <v>0</v>
      </c>
      <c r="E177" s="11">
        <v>1</v>
      </c>
      <c r="F177" s="11">
        <v>2</v>
      </c>
      <c r="G177" s="45" t="str">
        <f>"*" &amp; Catalogo[[#This Row],[Clave ]] &amp; "-" &amp; Catalogo[[#This Row],[Estado NUEVO]] &amp; "*"</f>
        <v>*DGSW176-0*</v>
      </c>
      <c r="H177" s="47" t="str">
        <f>"*" &amp; Catalogo[[#This Row],[Clave ]] &amp; "-" &amp; Catalogo[[#This Row],[Estado REPARADO]] &amp; "*"</f>
        <v>*DGSW176-1*</v>
      </c>
      <c r="I177" s="50" t="str">
        <f>"*" &amp; Catalogo[[#This Row],[Clave ]] &amp; "-" &amp; Catalogo[[#This Row],[Estado REFACCION]] &amp; "*"</f>
        <v>*DGSW176-2*</v>
      </c>
    </row>
    <row r="178" spans="1:9" x14ac:dyDescent="0.25">
      <c r="A178" s="6">
        <f t="shared" si="7"/>
        <v>177</v>
      </c>
      <c r="B178" s="24" t="str">
        <f>PRODUCTOS!A178</f>
        <v>CERRADURA INTELIGENTE APARTAMENTO</v>
      </c>
      <c r="C178" s="7" t="str">
        <f>PRODUCTOS!C178</f>
        <v>DGSW177</v>
      </c>
      <c r="D178" s="11">
        <v>0</v>
      </c>
      <c r="E178" s="11">
        <v>1</v>
      </c>
      <c r="F178" s="11">
        <v>2</v>
      </c>
      <c r="G178" s="45" t="str">
        <f>"*" &amp; Catalogo[[#This Row],[Clave ]] &amp; "-" &amp; Catalogo[[#This Row],[Estado NUEVO]] &amp; "*"</f>
        <v>*DGSW177-0*</v>
      </c>
      <c r="H178" s="47" t="str">
        <f>"*" &amp; Catalogo[[#This Row],[Clave ]] &amp; "-" &amp; Catalogo[[#This Row],[Estado REPARADO]] &amp; "*"</f>
        <v>*DGSW177-1*</v>
      </c>
      <c r="I178" s="50" t="str">
        <f>"*" &amp; Catalogo[[#This Row],[Clave ]] &amp; "-" &amp; Catalogo[[#This Row],[Estado REFACCION]] &amp; "*"</f>
        <v>*DGSW177-2*</v>
      </c>
    </row>
    <row r="179" spans="1:9" x14ac:dyDescent="0.25">
      <c r="A179" s="6">
        <f t="shared" si="7"/>
        <v>178</v>
      </c>
      <c r="B179" s="24" t="str">
        <f>PRODUCTOS!A179</f>
        <v>COMPLEMENTO DE CHAPA (PIEZAS SUELTAS)</v>
      </c>
      <c r="C179" s="7" t="str">
        <f>PRODUCTOS!C179</f>
        <v>DGSW178</v>
      </c>
      <c r="D179" s="11">
        <v>0</v>
      </c>
      <c r="E179" s="11">
        <v>1</v>
      </c>
      <c r="F179" s="11">
        <v>2</v>
      </c>
      <c r="G179" s="45" t="str">
        <f>"*" &amp; Catalogo[[#This Row],[Clave ]] &amp; "-" &amp; Catalogo[[#This Row],[Estado NUEVO]] &amp; "*"</f>
        <v>*DGSW178-0*</v>
      </c>
      <c r="H179" s="47" t="str">
        <f>"*" &amp; Catalogo[[#This Row],[Clave ]] &amp; "-" &amp; Catalogo[[#This Row],[Estado REPARADO]] &amp; "*"</f>
        <v>*DGSW178-1*</v>
      </c>
      <c r="I179" s="50" t="str">
        <f>"*" &amp; Catalogo[[#This Row],[Clave ]] &amp; "-" &amp; Catalogo[[#This Row],[Estado REFACCION]] &amp; "*"</f>
        <v>*DGSW178-2*</v>
      </c>
    </row>
    <row r="180" spans="1:9" x14ac:dyDescent="0.25">
      <c r="A180" s="6">
        <f t="shared" si="7"/>
        <v>179</v>
      </c>
      <c r="B180" s="24" t="str">
        <f>PRODUCTOS!A180</f>
        <v>PERCIANAS BLACK OUT (METRO 2)</v>
      </c>
      <c r="C180" s="7" t="str">
        <f>PRODUCTOS!C180</f>
        <v>DGSW179</v>
      </c>
      <c r="D180" s="11">
        <v>0</v>
      </c>
      <c r="E180" s="11">
        <v>1</v>
      </c>
      <c r="F180" s="11">
        <v>2</v>
      </c>
      <c r="G180" s="45" t="str">
        <f>"*" &amp; Catalogo[[#This Row],[Clave ]] &amp; "-" &amp; Catalogo[[#This Row],[Estado NUEVO]] &amp; "*"</f>
        <v>*DGSW179-0*</v>
      </c>
      <c r="H180" s="47" t="str">
        <f>"*" &amp; Catalogo[[#This Row],[Clave ]] &amp; "-" &amp; Catalogo[[#This Row],[Estado REPARADO]] &amp; "*"</f>
        <v>*DGSW179-1*</v>
      </c>
      <c r="I180" s="50" t="str">
        <f>"*" &amp; Catalogo[[#This Row],[Clave ]] &amp; "-" &amp; Catalogo[[#This Row],[Estado REFACCION]] &amp; "*"</f>
        <v>*DGSW179-2*</v>
      </c>
    </row>
    <row r="181" spans="1:9" x14ac:dyDescent="0.25">
      <c r="A181" s="6">
        <f t="shared" si="7"/>
        <v>180</v>
      </c>
      <c r="B181" s="24" t="str">
        <f>PRODUCTOS!A181</f>
        <v>SENSOR DE PRESENCIA</v>
      </c>
      <c r="C181" s="7" t="str">
        <f>PRODUCTOS!C181</f>
        <v>DGSW180</v>
      </c>
      <c r="D181" s="11">
        <v>0</v>
      </c>
      <c r="E181" s="11">
        <v>1</v>
      </c>
      <c r="F181" s="11">
        <v>2</v>
      </c>
      <c r="G181" s="45" t="str">
        <f>"*" &amp; Catalogo[[#This Row],[Clave ]] &amp; "-" &amp; Catalogo[[#This Row],[Estado NUEVO]] &amp; "*"</f>
        <v>*DGSW180-0*</v>
      </c>
      <c r="H181" s="47" t="str">
        <f>"*" &amp; Catalogo[[#This Row],[Clave ]] &amp; "-" &amp; Catalogo[[#This Row],[Estado REPARADO]] &amp; "*"</f>
        <v>*DGSW180-1*</v>
      </c>
      <c r="I181" s="50" t="str">
        <f>"*" &amp; Catalogo[[#This Row],[Clave ]] &amp; "-" &amp; Catalogo[[#This Row],[Estado REFACCION]] &amp; "*"</f>
        <v>*DGSW180-2*</v>
      </c>
    </row>
    <row r="182" spans="1:9" x14ac:dyDescent="0.25">
      <c r="A182" s="6">
        <f t="shared" si="7"/>
        <v>181</v>
      </c>
      <c r="B182" s="24" t="str">
        <f>PRODUCTOS!A182</f>
        <v xml:space="preserve">SELECTOR DE LLAVES </v>
      </c>
      <c r="C182" s="7" t="str">
        <f>PRODUCTOS!C182</f>
        <v>DGSW181</v>
      </c>
      <c r="D182" s="11">
        <v>0</v>
      </c>
      <c r="E182" s="11">
        <v>1</v>
      </c>
      <c r="F182" s="11">
        <v>2</v>
      </c>
      <c r="G182" s="45" t="str">
        <f>"*" &amp; Catalogo[[#This Row],[Clave ]] &amp; "-" &amp; Catalogo[[#This Row],[Estado NUEVO]] &amp; "*"</f>
        <v>*DGSW181-0*</v>
      </c>
      <c r="H182" s="47" t="str">
        <f>"*" &amp; Catalogo[[#This Row],[Clave ]] &amp; "-" &amp; Catalogo[[#This Row],[Estado REPARADO]] &amp; "*"</f>
        <v>*DGSW181-1*</v>
      </c>
      <c r="I182" s="50" t="str">
        <f>"*" &amp; Catalogo[[#This Row],[Clave ]] &amp; "-" &amp; Catalogo[[#This Row],[Estado REFACCION]] &amp; "*"</f>
        <v>*DGSW181-2*</v>
      </c>
    </row>
    <row r="183" spans="1:9" x14ac:dyDescent="0.25">
      <c r="A183" s="6">
        <f t="shared" si="7"/>
        <v>182</v>
      </c>
      <c r="B183" s="24" t="str">
        <f>PRODUCTOS!A183</f>
        <v>SOPORTE PALETA PARA PUERTAS DE CRISTAL</v>
      </c>
      <c r="C183" s="7" t="str">
        <f>PRODUCTOS!C183</f>
        <v>DGSW182</v>
      </c>
      <c r="D183" s="11">
        <v>0</v>
      </c>
      <c r="E183" s="11">
        <v>1</v>
      </c>
      <c r="F183" s="11">
        <v>2</v>
      </c>
      <c r="G183" s="45" t="str">
        <f>"*" &amp; Catalogo[[#This Row],[Clave ]] &amp; "-" &amp; Catalogo[[#This Row],[Estado NUEVO]] &amp; "*"</f>
        <v>*DGSW182-0*</v>
      </c>
      <c r="H183" s="47" t="str">
        <f>"*" &amp; Catalogo[[#This Row],[Clave ]] &amp; "-" &amp; Catalogo[[#This Row],[Estado REPARADO]] &amp; "*"</f>
        <v>*DGSW182-1*</v>
      </c>
      <c r="I183" s="50" t="str">
        <f>"*" &amp; Catalogo[[#This Row],[Clave ]] &amp; "-" &amp; Catalogo[[#This Row],[Estado REFACCION]] &amp; "*"</f>
        <v>*DGSW182-2*</v>
      </c>
    </row>
    <row r="184" spans="1:9" x14ac:dyDescent="0.25">
      <c r="A184" s="6">
        <f t="shared" si="7"/>
        <v>183</v>
      </c>
      <c r="B184" s="24" t="str">
        <f>PRODUCTOS!A184</f>
        <v xml:space="preserve">SISTEMA TELESCOPICO MANUAL </v>
      </c>
      <c r="C184" s="7" t="str">
        <f>PRODUCTOS!C184</f>
        <v>DGSW183</v>
      </c>
      <c r="D184" s="11">
        <v>0</v>
      </c>
      <c r="E184" s="11">
        <v>1</v>
      </c>
      <c r="F184" s="11">
        <v>2</v>
      </c>
      <c r="G184" s="45" t="str">
        <f>"*" &amp; Catalogo[[#This Row],[Clave ]] &amp; "-" &amp; Catalogo[[#This Row],[Estado NUEVO]] &amp; "*"</f>
        <v>*DGSW183-0*</v>
      </c>
      <c r="H184" s="47" t="str">
        <f>"*" &amp; Catalogo[[#This Row],[Clave ]] &amp; "-" &amp; Catalogo[[#This Row],[Estado REPARADO]] &amp; "*"</f>
        <v>*DGSW183-1*</v>
      </c>
      <c r="I184" s="50" t="str">
        <f>"*" &amp; Catalogo[[#This Row],[Clave ]] &amp; "-" &amp; Catalogo[[#This Row],[Estado REFACCION]] &amp; "*"</f>
        <v>*DGSW183-2*</v>
      </c>
    </row>
    <row r="185" spans="1:9" x14ac:dyDescent="0.25">
      <c r="A185" s="6">
        <f t="shared" si="7"/>
        <v>184</v>
      </c>
      <c r="B185" s="24" t="str">
        <f>PRODUCTOS!A185</f>
        <v>CARRETILLA PARA CANCEL</v>
      </c>
      <c r="C185" s="7" t="str">
        <f>PRODUCTOS!C185</f>
        <v>DGSW184</v>
      </c>
      <c r="D185" s="11">
        <v>0</v>
      </c>
      <c r="E185" s="11">
        <v>1</v>
      </c>
      <c r="F185" s="11">
        <v>2</v>
      </c>
      <c r="G185" s="45" t="str">
        <f>"*" &amp; Catalogo[[#This Row],[Clave ]] &amp; "-" &amp; Catalogo[[#This Row],[Estado NUEVO]] &amp; "*"</f>
        <v>*DGSW184-0*</v>
      </c>
      <c r="H185" s="47" t="str">
        <f>"*" &amp; Catalogo[[#This Row],[Clave ]] &amp; "-" &amp; Catalogo[[#This Row],[Estado REPARADO]] &amp; "*"</f>
        <v>*DGSW184-1*</v>
      </c>
      <c r="I185" s="50" t="str">
        <f>"*" &amp; Catalogo[[#This Row],[Clave ]] &amp; "-" &amp; Catalogo[[#This Row],[Estado REFACCION]] &amp; "*"</f>
        <v>*DGSW184-2*</v>
      </c>
    </row>
    <row r="186" spans="1:9" x14ac:dyDescent="0.25">
      <c r="A186" s="6">
        <f t="shared" si="7"/>
        <v>185</v>
      </c>
      <c r="B186" s="24" t="str">
        <f>PRODUCTOS!A186</f>
        <v>SWITCH CON LLAVE  PLATEADO</v>
      </c>
      <c r="C186" s="7" t="str">
        <f>PRODUCTOS!C186</f>
        <v>DGSW185</v>
      </c>
      <c r="D186" s="11">
        <v>0</v>
      </c>
      <c r="E186" s="11">
        <v>1</v>
      </c>
      <c r="F186" s="11">
        <v>2</v>
      </c>
      <c r="G186" s="45" t="str">
        <f>"*" &amp; Catalogo[[#This Row],[Clave ]] &amp; "-" &amp; Catalogo[[#This Row],[Estado NUEVO]] &amp; "*"</f>
        <v>*DGSW185-0*</v>
      </c>
      <c r="H186" s="47" t="str">
        <f>"*" &amp; Catalogo[[#This Row],[Clave ]] &amp; "-" &amp; Catalogo[[#This Row],[Estado REPARADO]] &amp; "*"</f>
        <v>*DGSW185-1*</v>
      </c>
      <c r="I186" s="50" t="str">
        <f>"*" &amp; Catalogo[[#This Row],[Clave ]] &amp; "-" &amp; Catalogo[[#This Row],[Estado REFACCION]] &amp; "*"</f>
        <v>*DGSW185-2*</v>
      </c>
    </row>
    <row r="187" spans="1:9" x14ac:dyDescent="0.25">
      <c r="A187" s="6">
        <f t="shared" si="7"/>
        <v>186</v>
      </c>
      <c r="B187" s="24" t="str">
        <f>PRODUCTOS!A187</f>
        <v>SWITCH CON LLAVE DORADO</v>
      </c>
      <c r="C187" s="7" t="str">
        <f>PRODUCTOS!C187</f>
        <v>DGSW186</v>
      </c>
      <c r="D187" s="11">
        <v>0</v>
      </c>
      <c r="E187" s="11">
        <v>1</v>
      </c>
      <c r="F187" s="11">
        <v>2</v>
      </c>
      <c r="G187" s="45" t="str">
        <f>"*" &amp; Catalogo[[#This Row],[Clave ]] &amp; "-" &amp; Catalogo[[#This Row],[Estado NUEVO]] &amp; "*"</f>
        <v>*DGSW186-0*</v>
      </c>
      <c r="H187" s="47" t="str">
        <f>"*" &amp; Catalogo[[#This Row],[Clave ]] &amp; "-" &amp; Catalogo[[#This Row],[Estado REPARADO]] &amp; "*"</f>
        <v>*DGSW186-1*</v>
      </c>
      <c r="I187" s="50" t="str">
        <f>"*" &amp; Catalogo[[#This Row],[Clave ]] &amp; "-" &amp; Catalogo[[#This Row],[Estado REFACCION]] &amp; "*"</f>
        <v>*DGSW186-2*</v>
      </c>
    </row>
    <row r="188" spans="1:9" x14ac:dyDescent="0.25">
      <c r="A188" s="6">
        <f t="shared" si="7"/>
        <v>187</v>
      </c>
      <c r="B188" s="24" t="str">
        <f>PRODUCTOS!A188</f>
        <v>SISTEMA TELESCOPICO AUTOMATIZADO</v>
      </c>
      <c r="C188" s="7" t="str">
        <f>PRODUCTOS!C188</f>
        <v>DGSW187</v>
      </c>
      <c r="D188" s="11">
        <v>0</v>
      </c>
      <c r="E188" s="11">
        <v>1</v>
      </c>
      <c r="F188" s="11">
        <v>2</v>
      </c>
      <c r="G188" s="45" t="str">
        <f>"*" &amp; Catalogo[[#This Row],[Clave ]] &amp; "-" &amp; Catalogo[[#This Row],[Estado NUEVO]] &amp; "*"</f>
        <v>*DGSW187-0*</v>
      </c>
      <c r="H188" s="47" t="str">
        <f>"*" &amp; Catalogo[[#This Row],[Clave ]] &amp; "-" &amp; Catalogo[[#This Row],[Estado REPARADO]] &amp; "*"</f>
        <v>*DGSW187-1*</v>
      </c>
      <c r="I188" s="50" t="str">
        <f>"*" &amp; Catalogo[[#This Row],[Clave ]] &amp; "-" &amp; Catalogo[[#This Row],[Estado REFACCION]] &amp; "*"</f>
        <v>*DGSW187-2*</v>
      </c>
    </row>
    <row r="189" spans="1:9" x14ac:dyDescent="0.25">
      <c r="A189" s="6">
        <f t="shared" si="7"/>
        <v>188</v>
      </c>
      <c r="B189" s="24" t="str">
        <f>PRODUCTOS!A189</f>
        <v xml:space="preserve">SENSOR DE FUNCION DUAL </v>
      </c>
      <c r="C189" s="7" t="str">
        <f>PRODUCTOS!C189</f>
        <v>DGSW188</v>
      </c>
      <c r="D189" s="11">
        <v>0</v>
      </c>
      <c r="E189" s="11">
        <v>1</v>
      </c>
      <c r="F189" s="11">
        <v>2</v>
      </c>
      <c r="G189" s="45" t="str">
        <f>"*" &amp; Catalogo[[#This Row],[Clave ]] &amp; "-" &amp; Catalogo[[#This Row],[Estado NUEVO]] &amp; "*"</f>
        <v>*DGSW188-0*</v>
      </c>
      <c r="H189" s="47" t="str">
        <f>"*" &amp; Catalogo[[#This Row],[Clave ]] &amp; "-" &amp; Catalogo[[#This Row],[Estado REPARADO]] &amp; "*"</f>
        <v>*DGSW188-1*</v>
      </c>
      <c r="I189" s="50" t="str">
        <f>"*" &amp; Catalogo[[#This Row],[Clave ]] &amp; "-" &amp; Catalogo[[#This Row],[Estado REFACCION]] &amp; "*"</f>
        <v>*DGSW188-2*</v>
      </c>
    </row>
    <row r="190" spans="1:9" x14ac:dyDescent="0.25">
      <c r="A190" s="6">
        <f t="shared" si="7"/>
        <v>189</v>
      </c>
      <c r="B190" s="24" t="str">
        <f>PRODUCTOS!A190</f>
        <v xml:space="preserve">SOPORTE PARA ELECTROIMAN EM2805 </v>
      </c>
      <c r="C190" s="7" t="str">
        <f>PRODUCTOS!C190</f>
        <v>DGSW189</v>
      </c>
      <c r="D190" s="11">
        <v>0</v>
      </c>
      <c r="E190" s="11">
        <v>1</v>
      </c>
      <c r="F190" s="11">
        <v>2</v>
      </c>
      <c r="G190" s="45" t="str">
        <f>"*" &amp; Catalogo[[#This Row],[Clave ]] &amp; "-" &amp; Catalogo[[#This Row],[Estado NUEVO]] &amp; "*"</f>
        <v>*DGSW189-0*</v>
      </c>
      <c r="H190" s="47" t="str">
        <f>"*" &amp; Catalogo[[#This Row],[Clave ]] &amp; "-" &amp; Catalogo[[#This Row],[Estado REPARADO]] &amp; "*"</f>
        <v>*DGSW189-1*</v>
      </c>
      <c r="I190" s="50" t="str">
        <f>"*" &amp; Catalogo[[#This Row],[Clave ]] &amp; "-" &amp; Catalogo[[#This Row],[Estado REFACCION]] &amp; "*"</f>
        <v>*DGSW189-2*</v>
      </c>
    </row>
    <row r="191" spans="1:9" x14ac:dyDescent="0.25">
      <c r="A191" s="6">
        <f t="shared" si="7"/>
        <v>190</v>
      </c>
      <c r="B191" s="24" t="str">
        <f>PRODUCTOS!A191</f>
        <v xml:space="preserve">SISTEMA  AUTOMATIZADO (Piezas Sobrantes) </v>
      </c>
      <c r="C191" s="7" t="str">
        <f>PRODUCTOS!C191</f>
        <v>DGSW190</v>
      </c>
      <c r="D191" s="11">
        <v>0</v>
      </c>
      <c r="E191" s="11">
        <v>1</v>
      </c>
      <c r="F191" s="11">
        <v>2</v>
      </c>
      <c r="G191" s="45" t="str">
        <f>"*" &amp; Catalogo[[#This Row],[Clave ]] &amp; "-" &amp; Catalogo[[#This Row],[Estado NUEVO]] &amp; "*"</f>
        <v>*DGSW190-0*</v>
      </c>
      <c r="H191" s="47" t="str">
        <f>"*" &amp; Catalogo[[#This Row],[Clave ]] &amp; "-" &amp; Catalogo[[#This Row],[Estado REPARADO]] &amp; "*"</f>
        <v>*DGSW190-1*</v>
      </c>
      <c r="I191" s="50" t="str">
        <f>"*" &amp; Catalogo[[#This Row],[Clave ]] &amp; "-" &amp; Catalogo[[#This Row],[Estado REFACCION]] &amp; "*"</f>
        <v>*DGSW190-2*</v>
      </c>
    </row>
    <row r="192" spans="1:9" x14ac:dyDescent="0.25">
      <c r="A192" s="6">
        <f t="shared" si="7"/>
        <v>191</v>
      </c>
      <c r="B192" s="24" t="str">
        <f>PRODUCTOS!A192</f>
        <v>SENSOR DE PRESENCIA ULTRA</v>
      </c>
      <c r="C192" s="7" t="str">
        <f>PRODUCTOS!C192</f>
        <v>DGSW191</v>
      </c>
      <c r="D192" s="11">
        <v>0</v>
      </c>
      <c r="E192" s="11">
        <v>1</v>
      </c>
      <c r="F192" s="11">
        <v>2</v>
      </c>
      <c r="G192" s="45" t="str">
        <f>"*" &amp; Catalogo[[#This Row],[Clave ]] &amp; "-" &amp; Catalogo[[#This Row],[Estado NUEVO]] &amp; "*"</f>
        <v>*DGSW191-0*</v>
      </c>
      <c r="H192" s="47" t="str">
        <f>"*" &amp; Catalogo[[#This Row],[Clave ]] &amp; "-" &amp; Catalogo[[#This Row],[Estado REPARADO]] &amp; "*"</f>
        <v>*DGSW191-1*</v>
      </c>
      <c r="I192" s="50" t="str">
        <f>"*" &amp; Catalogo[[#This Row],[Clave ]] &amp; "-" &amp; Catalogo[[#This Row],[Estado REFACCION]] &amp; "*"</f>
        <v>*DGSW191-2*</v>
      </c>
    </row>
    <row r="193" spans="1:9" x14ac:dyDescent="0.25">
      <c r="A193" s="6">
        <f t="shared" si="7"/>
        <v>192</v>
      </c>
      <c r="B193" s="24" t="str">
        <f>PRODUCTOS!A193</f>
        <v>BOTON DE PANICO</v>
      </c>
      <c r="C193" s="7" t="str">
        <f>PRODUCTOS!C193</f>
        <v>DGSW192</v>
      </c>
      <c r="D193" s="11">
        <v>0</v>
      </c>
      <c r="E193" s="11">
        <v>1</v>
      </c>
      <c r="F193" s="11">
        <v>2</v>
      </c>
      <c r="G193" s="45" t="str">
        <f>"*" &amp; Catalogo[[#This Row],[Clave ]] &amp; "-" &amp; Catalogo[[#This Row],[Estado NUEVO]] &amp; "*"</f>
        <v>*DGSW192-0*</v>
      </c>
      <c r="H193" s="47" t="str">
        <f>"*" &amp; Catalogo[[#This Row],[Clave ]] &amp; "-" &amp; Catalogo[[#This Row],[Estado REPARADO]] &amp; "*"</f>
        <v>*DGSW192-1*</v>
      </c>
      <c r="I193" s="50" t="str">
        <f>"*" &amp; Catalogo[[#This Row],[Clave ]] &amp; "-" &amp; Catalogo[[#This Row],[Estado REFACCION]] &amp; "*"</f>
        <v>*DGSW192-2*</v>
      </c>
    </row>
    <row r="194" spans="1:9" x14ac:dyDescent="0.25">
      <c r="A194" s="6">
        <f t="shared" si="7"/>
        <v>193</v>
      </c>
      <c r="B194" s="24" t="str">
        <f>PRODUCTOS!A194</f>
        <v>APAGADOR WI-FI NEGRO PLACA DE CRISTAL 2 APAGADOR</v>
      </c>
      <c r="C194" s="7" t="str">
        <f>PRODUCTOS!C194</f>
        <v>DGSW193</v>
      </c>
      <c r="D194" s="11">
        <v>0</v>
      </c>
      <c r="E194" s="11">
        <v>1</v>
      </c>
      <c r="F194" s="11">
        <v>2</v>
      </c>
      <c r="G194" s="45" t="str">
        <f>"*" &amp; Catalogo[[#This Row],[Clave ]] &amp; "-" &amp; Catalogo[[#This Row],[Estado NUEVO]] &amp; "*"</f>
        <v>*DGSW193-0*</v>
      </c>
      <c r="H194" s="47" t="str">
        <f>"*" &amp; Catalogo[[#This Row],[Clave ]] &amp; "-" &amp; Catalogo[[#This Row],[Estado REPARADO]] &amp; "*"</f>
        <v>*DGSW193-1*</v>
      </c>
      <c r="I194" s="50" t="str">
        <f>"*" &amp; Catalogo[[#This Row],[Clave ]] &amp; "-" &amp; Catalogo[[#This Row],[Estado REFACCION]] &amp; "*"</f>
        <v>*DGSW193-2*</v>
      </c>
    </row>
    <row r="195" spans="1:9" x14ac:dyDescent="0.25">
      <c r="A195" s="6">
        <f t="shared" si="7"/>
        <v>194</v>
      </c>
      <c r="B195" s="24" t="str">
        <f>PRODUCTOS!A195</f>
        <v>APAGADOR 1 APAGADOR C/ENCHUFEWI-FI PLACA CRISTAL NEGRO</v>
      </c>
      <c r="C195" s="7" t="str">
        <f>PRODUCTOS!C195</f>
        <v>DWGS194</v>
      </c>
      <c r="D195" s="11">
        <v>0</v>
      </c>
      <c r="E195" s="11">
        <v>1</v>
      </c>
      <c r="F195" s="11">
        <v>2</v>
      </c>
      <c r="G195" s="45" t="str">
        <f>"*" &amp; Catalogo[[#This Row],[Clave ]] &amp; "-" &amp; Catalogo[[#This Row],[Estado NUEVO]] &amp; "*"</f>
        <v>*DWGS194-0*</v>
      </c>
      <c r="H195" s="47" t="str">
        <f>"*" &amp; Catalogo[[#This Row],[Clave ]] &amp; "-" &amp; Catalogo[[#This Row],[Estado REPARADO]] &amp; "*"</f>
        <v>*DWGS194-1*</v>
      </c>
      <c r="I195" s="50" t="str">
        <f>"*" &amp; Catalogo[[#This Row],[Clave ]] &amp; "-" &amp; Catalogo[[#This Row],[Estado REFACCION]] &amp; "*"</f>
        <v>*DWGS194-2*</v>
      </c>
    </row>
    <row r="196" spans="1:9" x14ac:dyDescent="0.25">
      <c r="A196" s="6">
        <f t="shared" si="7"/>
        <v>195</v>
      </c>
      <c r="B196" s="24" t="str">
        <f>PRODUCTOS!A196</f>
        <v xml:space="preserve">CERRADURA MECANICA DE 11 DIGITOS ABATIBLE </v>
      </c>
      <c r="C196" s="7" t="str">
        <f>PRODUCTOS!C196</f>
        <v>DWGS195</v>
      </c>
      <c r="D196" s="11">
        <v>0</v>
      </c>
      <c r="E196" s="11">
        <v>1</v>
      </c>
      <c r="F196" s="11">
        <v>2</v>
      </c>
      <c r="G196" s="45" t="str">
        <f>"*" &amp; Catalogo[[#This Row],[Clave ]] &amp; "-" &amp; Catalogo[[#This Row],[Estado NUEVO]] &amp; "*"</f>
        <v>*DWGS195-0*</v>
      </c>
      <c r="H196" s="47" t="str">
        <f>"*" &amp; Catalogo[[#This Row],[Clave ]] &amp; "-" &amp; Catalogo[[#This Row],[Estado REPARADO]] &amp; "*"</f>
        <v>*DWGS195-1*</v>
      </c>
      <c r="I196" s="50" t="str">
        <f>"*" &amp; Catalogo[[#This Row],[Clave ]] &amp; "-" &amp; Catalogo[[#This Row],[Estado REFACCION]] &amp; "*"</f>
        <v>*DWGS195-2*</v>
      </c>
    </row>
    <row r="197" spans="1:9" x14ac:dyDescent="0.25">
      <c r="A197" s="6">
        <f t="shared" si="7"/>
        <v>196</v>
      </c>
      <c r="B197" s="24" t="str">
        <f>PRODUCTOS!A197</f>
        <v xml:space="preserve">CERRADURA MECANICA DE 11 DIGITOS CORREDIZA </v>
      </c>
      <c r="C197" s="7" t="str">
        <f>PRODUCTOS!C197</f>
        <v>DGSW196</v>
      </c>
      <c r="D197" s="11">
        <v>0</v>
      </c>
      <c r="E197" s="11">
        <v>1</v>
      </c>
      <c r="F197" s="11">
        <v>2</v>
      </c>
      <c r="G197" s="45" t="str">
        <f>"*" &amp; Catalogo[[#This Row],[Clave ]] &amp; "-" &amp; Catalogo[[#This Row],[Estado NUEVO]] &amp; "*"</f>
        <v>*DGSW196-0*</v>
      </c>
      <c r="H197" s="47" t="str">
        <f>"*" &amp; Catalogo[[#This Row],[Clave ]] &amp; "-" &amp; Catalogo[[#This Row],[Estado REPARADO]] &amp; "*"</f>
        <v>*DGSW196-1*</v>
      </c>
      <c r="I197" s="50" t="str">
        <f>"*" &amp; Catalogo[[#This Row],[Clave ]] &amp; "-" &amp; Catalogo[[#This Row],[Estado REFACCION]] &amp; "*"</f>
        <v>*DGSW196-2*</v>
      </c>
    </row>
    <row r="198" spans="1:9" x14ac:dyDescent="0.25">
      <c r="A198" s="6">
        <f t="shared" si="7"/>
        <v>197</v>
      </c>
      <c r="B198" s="24" t="str">
        <f>PRODUCTOS!A198</f>
        <v>VISOR INTELIGENTE WI-FI ** (COMPRA MINIMA 2 PRODUCTOS) **</v>
      </c>
      <c r="C198" s="7" t="str">
        <f>PRODUCTOS!C198</f>
        <v>DGSW197</v>
      </c>
      <c r="D198" s="11">
        <v>0</v>
      </c>
      <c r="E198" s="11">
        <v>1</v>
      </c>
      <c r="F198" s="11">
        <v>2</v>
      </c>
      <c r="G198" s="45" t="str">
        <f>"*" &amp; Catalogo[[#This Row],[Clave ]] &amp; "-" &amp; Catalogo[[#This Row],[Estado NUEVO]] &amp; "*"</f>
        <v>*DGSW197-0*</v>
      </c>
      <c r="H198" s="47" t="str">
        <f>"*" &amp; Catalogo[[#This Row],[Clave ]] &amp; "-" &amp; Catalogo[[#This Row],[Estado REPARADO]] &amp; "*"</f>
        <v>*DGSW197-1*</v>
      </c>
      <c r="I198" s="50" t="str">
        <f>"*" &amp; Catalogo[[#This Row],[Clave ]] &amp; "-" &amp; Catalogo[[#This Row],[Estado REFACCION]] &amp; "*"</f>
        <v>*DGSW197-2*</v>
      </c>
    </row>
    <row r="199" spans="1:9" x14ac:dyDescent="0.25">
      <c r="A199" s="6">
        <f t="shared" si="7"/>
        <v>198</v>
      </c>
      <c r="B199" s="24">
        <f>PRODUCTOS!A199</f>
        <v>0</v>
      </c>
      <c r="C199" s="7">
        <f>PRODUCTOS!C199</f>
        <v>0</v>
      </c>
      <c r="D199" s="11"/>
      <c r="E199" s="11"/>
      <c r="F199" s="11"/>
      <c r="G199" s="45" t="str">
        <f>"*" &amp; Catalogo[[#This Row],[Clave ]] &amp; "-" &amp; Catalogo[[#This Row],[Estado NUEVO]] &amp; "*"</f>
        <v>*0-*</v>
      </c>
      <c r="H199" s="47" t="str">
        <f>"*" &amp; Catalogo[[#This Row],[Clave ]] &amp; "-" &amp; Catalogo[[#This Row],[Estado REPARADO]] &amp; "*"</f>
        <v>*0-*</v>
      </c>
      <c r="I199" s="50" t="str">
        <f>"*" &amp; Catalogo[[#This Row],[Clave ]] &amp; "-" &amp; Catalogo[[#This Row],[Estado REFACCION]] &amp; "*"</f>
        <v>*0-*</v>
      </c>
    </row>
    <row r="200" spans="1:9" x14ac:dyDescent="0.25">
      <c r="A200" s="6">
        <f t="shared" si="7"/>
        <v>199</v>
      </c>
      <c r="B200" s="24">
        <f>PRODUCTOS!A200</f>
        <v>0</v>
      </c>
      <c r="C200" s="7">
        <f>PRODUCTOS!C200</f>
        <v>0</v>
      </c>
      <c r="D200" s="11"/>
      <c r="E200" s="11"/>
      <c r="F200" s="11"/>
      <c r="G200" s="45" t="str">
        <f>"*" &amp; Catalogo[[#This Row],[Clave ]] &amp; "-" &amp; Catalogo[[#This Row],[Estado NUEVO]] &amp; "*"</f>
        <v>*0-*</v>
      </c>
      <c r="H200" s="47" t="str">
        <f>"*" &amp; Catalogo[[#This Row],[Clave ]] &amp; "-" &amp; Catalogo[[#This Row],[Estado REPARADO]] &amp; "*"</f>
        <v>*0-*</v>
      </c>
      <c r="I200" s="50" t="str">
        <f>"*" &amp; Catalogo[[#This Row],[Clave ]] &amp; "-" &amp; Catalogo[[#This Row],[Estado REFACCION]] &amp; "*"</f>
        <v>*0-*</v>
      </c>
    </row>
    <row r="201" spans="1:9" x14ac:dyDescent="0.25">
      <c r="A201" s="6">
        <f t="shared" si="7"/>
        <v>200</v>
      </c>
      <c r="B201" s="24">
        <f>PRODUCTOS!A201</f>
        <v>0</v>
      </c>
      <c r="C201" s="7">
        <f>PRODUCTOS!C201</f>
        <v>0</v>
      </c>
      <c r="D201" s="11"/>
      <c r="E201" s="11"/>
      <c r="F201" s="11"/>
      <c r="G201" s="45" t="str">
        <f>"*" &amp; Catalogo[[#This Row],[Clave ]] &amp; "-" &amp; Catalogo[[#This Row],[Estado NUEVO]] &amp; "*"</f>
        <v>*0-*</v>
      </c>
      <c r="H201" s="47" t="str">
        <f>"*" &amp; Catalogo[[#This Row],[Clave ]] &amp; "-" &amp; Catalogo[[#This Row],[Estado REPARADO]] &amp; "*"</f>
        <v>*0-*</v>
      </c>
      <c r="I201" s="50" t="str">
        <f>"*" &amp; Catalogo[[#This Row],[Clave ]] &amp; "-" &amp; Catalogo[[#This Row],[Estado REFACCION]] &amp; "*"</f>
        <v>*0-*</v>
      </c>
    </row>
    <row r="202" spans="1:9" x14ac:dyDescent="0.25">
      <c r="A202" s="6"/>
      <c r="B202" s="24"/>
      <c r="C202" s="7"/>
      <c r="D202" s="11"/>
      <c r="E202" s="11"/>
      <c r="F202" s="11"/>
      <c r="G202" s="45" t="str">
        <f>"*" &amp; Catalogo[[#This Row],[Clave ]] &amp; "-" &amp; Catalogo[[#This Row],[Estado NUEVO]] &amp; "*"</f>
        <v>*-*</v>
      </c>
      <c r="H202" s="47" t="str">
        <f>"*" &amp; Catalogo[[#This Row],[Clave ]] &amp; "-" &amp; Catalogo[[#This Row],[Estado REPARADO]] &amp; "*"</f>
        <v>*-*</v>
      </c>
      <c r="I202" s="50" t="str">
        <f>"*" &amp; Catalogo[[#This Row],[Clave ]] &amp; "-" &amp; Catalogo[[#This Row],[Estado REFACCION]] &amp; "*"</f>
        <v>*-*</v>
      </c>
    </row>
  </sheetData>
  <phoneticPr fontId="2" type="noConversion"/>
  <pageMargins left="0.7" right="0.7" top="0.75" bottom="0.75" header="0.3" footer="0.3"/>
  <pageSetup paperSize="9" scale="56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F1AE-A024-4EDD-828C-712BC81D3E4A}">
  <sheetPr codeName="Hoja3">
    <tabColor rgb="FF7030A0"/>
  </sheetPr>
  <dimension ref="A1:D12"/>
  <sheetViews>
    <sheetView view="pageLayout" zoomScaleNormal="100" workbookViewId="0">
      <selection activeCell="B9" sqref="B9"/>
    </sheetView>
  </sheetViews>
  <sheetFormatPr baseColWidth="10" defaultRowHeight="15" x14ac:dyDescent="0.25"/>
  <cols>
    <col min="1" max="5" width="22.7109375" customWidth="1"/>
  </cols>
  <sheetData>
    <row r="1" spans="1:4" x14ac:dyDescent="0.25">
      <c r="A1" s="1" t="s">
        <v>501</v>
      </c>
      <c r="B1" s="2" t="s">
        <v>498</v>
      </c>
      <c r="C1" s="3" t="s">
        <v>499</v>
      </c>
      <c r="D1" s="5" t="s">
        <v>500</v>
      </c>
    </row>
    <row r="2" spans="1:4" x14ac:dyDescent="0.25">
      <c r="A2" s="4">
        <v>1</v>
      </c>
      <c r="B2" s="5"/>
      <c r="C2" s="10">
        <v>0</v>
      </c>
      <c r="D2" s="5">
        <v>10</v>
      </c>
    </row>
    <row r="3" spans="1:4" x14ac:dyDescent="0.25">
      <c r="A3" s="6">
        <v>2</v>
      </c>
      <c r="B3" s="7"/>
      <c r="C3" s="11">
        <v>0</v>
      </c>
      <c r="D3" s="5">
        <v>10</v>
      </c>
    </row>
    <row r="4" spans="1:4" x14ac:dyDescent="0.25">
      <c r="A4" s="6">
        <v>3</v>
      </c>
      <c r="B4" s="7"/>
      <c r="C4" s="11">
        <v>0</v>
      </c>
      <c r="D4" s="5">
        <v>10</v>
      </c>
    </row>
    <row r="5" spans="1:4" x14ac:dyDescent="0.25">
      <c r="A5" s="6">
        <v>4</v>
      </c>
      <c r="B5" s="7"/>
      <c r="C5" s="11">
        <v>0</v>
      </c>
      <c r="D5" s="5">
        <v>10</v>
      </c>
    </row>
    <row r="6" spans="1:4" x14ac:dyDescent="0.25">
      <c r="A6" s="6">
        <v>5</v>
      </c>
      <c r="B6" s="7"/>
      <c r="C6" s="11">
        <v>0</v>
      </c>
      <c r="D6" s="5">
        <v>10</v>
      </c>
    </row>
    <row r="7" spans="1:4" x14ac:dyDescent="0.25">
      <c r="A7" s="6">
        <v>6</v>
      </c>
      <c r="B7" s="7"/>
      <c r="C7" s="11">
        <v>0</v>
      </c>
      <c r="D7" s="5">
        <v>10</v>
      </c>
    </row>
    <row r="11" spans="1:4" x14ac:dyDescent="0.25">
      <c r="A11" s="62" t="s">
        <v>504</v>
      </c>
      <c r="B11" s="62" t="s">
        <v>505</v>
      </c>
    </row>
    <row r="12" spans="1:4" x14ac:dyDescent="0.25">
      <c r="A12" s="5"/>
      <c r="B12" s="5" t="str">
        <f>IFERROR(IF(A12&lt;&gt;"",VLOOKUP(A12,'Catalogo de Codigos '!B2:I1048576,2,0),""),"Error")</f>
        <v/>
      </c>
    </row>
  </sheetData>
  <pageMargins left="1.1023622047244095" right="0.70866141732283461" top="0.74803149606299213" bottom="0.74803149606299213" header="0.31496062992125984" footer="0.31496062992125984"/>
  <pageSetup orientation="landscape" horizontalDpi="0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4DEC02-D163-4521-8B57-A613C8CF3673}">
          <x14:formula1>
            <xm:f>'Catalogo de Codigos '!$B:$B</xm:f>
          </x14:formula1>
          <xm:sqref>A12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13902-96B6-46F3-9A0A-23D7718C32E6}">
  <sheetPr codeName="Hoja4">
    <tabColor theme="7"/>
  </sheetPr>
  <dimension ref="A1:E704"/>
  <sheetViews>
    <sheetView view="pageLayout" zoomScaleNormal="100" workbookViewId="0">
      <selection activeCell="C3" sqref="C3"/>
    </sheetView>
  </sheetViews>
  <sheetFormatPr baseColWidth="10" defaultRowHeight="32.25" x14ac:dyDescent="0.25"/>
  <cols>
    <col min="1" max="3" width="22.7109375" style="52" customWidth="1"/>
    <col min="4" max="4" width="22.7109375" style="58" customWidth="1"/>
    <col min="5" max="5" width="22.7109375" style="61" customWidth="1"/>
  </cols>
  <sheetData>
    <row r="1" spans="1:5" ht="30" customHeight="1" x14ac:dyDescent="0.25">
      <c r="A1" s="55" t="str">
        <f>'Catalogo de Codigos '!G3</f>
        <v>*DGSW002-0*</v>
      </c>
      <c r="B1" s="55" t="str">
        <f>'Todos los Codigos'!A1</f>
        <v>*DGSW002-0*</v>
      </c>
      <c r="C1" s="55" t="str">
        <f>'Todos los Codigos'!A1</f>
        <v>*DGSW002-0*</v>
      </c>
      <c r="D1" s="57" t="str">
        <f>'Catalogo de Codigos '!H3</f>
        <v>*DGSW002-1*</v>
      </c>
      <c r="E1" s="60" t="str">
        <f>'Catalogo de Codigos '!I3</f>
        <v>*DGSW002-2*</v>
      </c>
    </row>
    <row r="2" spans="1:5" ht="30" customHeight="1" x14ac:dyDescent="0.25">
      <c r="A2" s="55" t="str">
        <f>'Todos los Codigos'!A1</f>
        <v>*DGSW002-0*</v>
      </c>
      <c r="B2" s="55" t="str">
        <f>'Todos los Codigos'!A1</f>
        <v>*DGSW002-0*</v>
      </c>
      <c r="C2" s="55" t="str">
        <f>'Todos los Codigos'!A1</f>
        <v>*DGSW002-0*</v>
      </c>
      <c r="D2" s="57" t="str">
        <f>'Todos los Codigos'!D1</f>
        <v>*DGSW002-1*</v>
      </c>
      <c r="E2" s="60" t="str">
        <f>'Todos los Codigos'!E1</f>
        <v>*DGSW002-2*</v>
      </c>
    </row>
    <row r="3" spans="1:5" ht="30" customHeight="1" x14ac:dyDescent="0.25">
      <c r="A3" s="52" t="s">
        <v>495</v>
      </c>
    </row>
    <row r="4" spans="1:5" ht="30" customHeight="1" x14ac:dyDescent="0.25">
      <c r="A4" s="55" t="str">
        <f>'Catalogo de Codigos '!G4</f>
        <v>*DGSW003-0*</v>
      </c>
      <c r="B4" s="55" t="str">
        <f>'Todos los Codigos'!A4</f>
        <v>*DGSW003-0*</v>
      </c>
      <c r="C4" s="55" t="str">
        <f>'Todos los Codigos'!A4</f>
        <v>*DGSW003-0*</v>
      </c>
      <c r="D4" s="57" t="str">
        <f>'Catalogo de Codigos '!H4</f>
        <v>*DGSW003-1*</v>
      </c>
      <c r="E4" s="60" t="str">
        <f>'Catalogo de Codigos '!I4</f>
        <v>*DGSW003-2*</v>
      </c>
    </row>
    <row r="5" spans="1:5" ht="30" customHeight="1" x14ac:dyDescent="0.25">
      <c r="A5" s="55" t="str">
        <f>'Todos los Codigos'!A4</f>
        <v>*DGSW003-0*</v>
      </c>
      <c r="B5" s="55" t="str">
        <f>'Todos los Codigos'!A4</f>
        <v>*DGSW003-0*</v>
      </c>
      <c r="C5" s="55" t="str">
        <f>'Todos los Codigos'!A4</f>
        <v>*DGSW003-0*</v>
      </c>
      <c r="D5" s="57" t="str">
        <f>'Todos los Codigos'!D4</f>
        <v>*DGSW003-1*</v>
      </c>
      <c r="E5" s="60" t="str">
        <f>'Todos los Codigos'!E4</f>
        <v>*DGSW003-2*</v>
      </c>
    </row>
    <row r="6" spans="1:5" ht="30" customHeight="1" x14ac:dyDescent="0.25">
      <c r="A6" s="52" t="s">
        <v>495</v>
      </c>
    </row>
    <row r="7" spans="1:5" ht="30" customHeight="1" x14ac:dyDescent="0.25">
      <c r="A7" s="55" t="str">
        <f>'Catalogo de Codigos '!G5</f>
        <v>*DGSW004-0*</v>
      </c>
      <c r="B7" s="55" t="str">
        <f>'Todos los Codigos'!A7</f>
        <v>*DGSW004-0*</v>
      </c>
      <c r="C7" s="55" t="str">
        <f>'Todos los Codigos'!A7</f>
        <v>*DGSW004-0*</v>
      </c>
      <c r="D7" s="57" t="str">
        <f>'Catalogo de Codigos '!H5</f>
        <v>*DGSW004-1*</v>
      </c>
      <c r="E7" s="60" t="str">
        <f>'Catalogo de Codigos '!I5</f>
        <v>*DGSW004-2*</v>
      </c>
    </row>
    <row r="8" spans="1:5" ht="30" customHeight="1" x14ac:dyDescent="0.25">
      <c r="A8" s="55" t="str">
        <f>'Todos los Codigos'!A7</f>
        <v>*DGSW004-0*</v>
      </c>
      <c r="B8" s="55" t="str">
        <f>'Todos los Codigos'!A7</f>
        <v>*DGSW004-0*</v>
      </c>
      <c r="C8" s="55" t="str">
        <f>'Todos los Codigos'!A7</f>
        <v>*DGSW004-0*</v>
      </c>
      <c r="D8" s="57" t="str">
        <f>'Todos los Codigos'!D7</f>
        <v>*DGSW004-1*</v>
      </c>
      <c r="E8" s="60" t="str">
        <f>'Todos los Codigos'!E7</f>
        <v>*DGSW004-2*</v>
      </c>
    </row>
    <row r="9" spans="1:5" ht="30" customHeight="1" x14ac:dyDescent="0.25">
      <c r="A9" s="52" t="s">
        <v>495</v>
      </c>
    </row>
    <row r="10" spans="1:5" ht="30" customHeight="1" x14ac:dyDescent="0.25">
      <c r="A10" s="55" t="str">
        <f>'Catalogo de Codigos '!G6</f>
        <v>*DGSW005-0*</v>
      </c>
      <c r="B10" s="55" t="str">
        <f>'Todos los Codigos'!A10</f>
        <v>*DGSW005-0*</v>
      </c>
      <c r="C10" s="55" t="str">
        <f>'Todos los Codigos'!A10</f>
        <v>*DGSW005-0*</v>
      </c>
      <c r="D10" s="57" t="str">
        <f>'Catalogo de Codigos '!H6</f>
        <v>*DGSW005-1*</v>
      </c>
      <c r="E10" s="60" t="str">
        <f>'Catalogo de Codigos '!I6</f>
        <v>*DGSW005-2*</v>
      </c>
    </row>
    <row r="11" spans="1:5" ht="30" customHeight="1" x14ac:dyDescent="0.25">
      <c r="A11" s="55" t="str">
        <f>'Todos los Codigos'!A10</f>
        <v>*DGSW005-0*</v>
      </c>
      <c r="B11" s="55" t="str">
        <f>'Todos los Codigos'!A10</f>
        <v>*DGSW005-0*</v>
      </c>
      <c r="C11" s="55" t="str">
        <f>'Todos los Codigos'!A10</f>
        <v>*DGSW005-0*</v>
      </c>
      <c r="D11" s="57" t="str">
        <f>'Todos los Codigos'!D10</f>
        <v>*DGSW005-1*</v>
      </c>
      <c r="E11" s="60" t="str">
        <f>'Todos los Codigos'!E10</f>
        <v>*DGSW005-2*</v>
      </c>
    </row>
    <row r="12" spans="1:5" ht="30" customHeight="1" x14ac:dyDescent="0.25">
      <c r="A12" s="52" t="s">
        <v>495</v>
      </c>
    </row>
    <row r="13" spans="1:5" ht="30" customHeight="1" x14ac:dyDescent="0.25">
      <c r="A13" s="55" t="str">
        <f>'Catalogo de Codigos '!G7</f>
        <v>*DGSW006-0*</v>
      </c>
      <c r="B13" s="55" t="str">
        <f>'Todos los Codigos'!A13</f>
        <v>*DGSW006-0*</v>
      </c>
      <c r="C13" s="55" t="str">
        <f>'Todos los Codigos'!A13</f>
        <v>*DGSW006-0*</v>
      </c>
      <c r="D13" s="57" t="str">
        <f>'Catalogo de Codigos '!H7</f>
        <v>*DGSW006-1*</v>
      </c>
      <c r="E13" s="60" t="str">
        <f>'Catalogo de Codigos '!I7</f>
        <v>*DGSW006-2*</v>
      </c>
    </row>
    <row r="14" spans="1:5" ht="30" customHeight="1" x14ac:dyDescent="0.25">
      <c r="A14" s="55" t="str">
        <f>'Todos los Codigos'!A13</f>
        <v>*DGSW006-0*</v>
      </c>
      <c r="B14" s="55" t="str">
        <f>'Todos los Codigos'!A13</f>
        <v>*DGSW006-0*</v>
      </c>
      <c r="C14" s="55" t="str">
        <f>'Todos los Codigos'!A13</f>
        <v>*DGSW006-0*</v>
      </c>
      <c r="D14" s="57" t="str">
        <f>'Todos los Codigos'!D13</f>
        <v>*DGSW006-1*</v>
      </c>
      <c r="E14" s="60" t="str">
        <f>'Todos los Codigos'!E13</f>
        <v>*DGSW006-2*</v>
      </c>
    </row>
    <row r="15" spans="1:5" ht="30" customHeight="1" x14ac:dyDescent="0.25">
      <c r="A15" s="52" t="s">
        <v>495</v>
      </c>
    </row>
    <row r="16" spans="1:5" ht="30" customHeight="1" x14ac:dyDescent="0.25">
      <c r="A16" s="55" t="str">
        <f>'Catalogo de Codigos '!G8</f>
        <v>*DGSW007-0*</v>
      </c>
      <c r="B16" s="55" t="str">
        <f>'Todos los Codigos'!A16</f>
        <v>*DGSW007-0*</v>
      </c>
      <c r="C16" s="55" t="str">
        <f>'Todos los Codigos'!A16</f>
        <v>*DGSW007-0*</v>
      </c>
      <c r="D16" s="57" t="str">
        <f>'Catalogo de Codigos '!H8</f>
        <v>*DGSW007-1*</v>
      </c>
      <c r="E16" s="60" t="str">
        <f>'Catalogo de Codigos '!I8</f>
        <v>*DGSW007-2*</v>
      </c>
    </row>
    <row r="17" spans="1:5" ht="30" customHeight="1" x14ac:dyDescent="0.25">
      <c r="A17" s="55" t="str">
        <f>'Todos los Codigos'!A16</f>
        <v>*DGSW007-0*</v>
      </c>
      <c r="B17" s="55" t="str">
        <f>'Todos los Codigos'!A16</f>
        <v>*DGSW007-0*</v>
      </c>
      <c r="C17" s="55" t="str">
        <f>'Todos los Codigos'!A16</f>
        <v>*DGSW007-0*</v>
      </c>
      <c r="D17" s="57" t="str">
        <f>'Todos los Codigos'!D16</f>
        <v>*DGSW007-1*</v>
      </c>
      <c r="E17" s="60" t="str">
        <f>'Todos los Codigos'!E16</f>
        <v>*DGSW007-2*</v>
      </c>
    </row>
    <row r="18" spans="1:5" ht="30" customHeight="1" x14ac:dyDescent="0.25">
      <c r="A18" s="55" t="str">
        <f>'Catalogo de Codigos '!G9</f>
        <v>*DGSW008-0*</v>
      </c>
      <c r="B18" s="55" t="str">
        <f>'Todos los Codigos'!A18</f>
        <v>*DGSW008-0*</v>
      </c>
      <c r="C18" s="55" t="str">
        <f>'Todos los Codigos'!A18</f>
        <v>*DGSW008-0*</v>
      </c>
      <c r="D18" s="57" t="str">
        <f>'Catalogo de Codigos '!H9</f>
        <v>*DGSW008-1*</v>
      </c>
      <c r="E18" s="60" t="str">
        <f>'Catalogo de Codigos '!I9</f>
        <v>*DGSW008-2*</v>
      </c>
    </row>
    <row r="19" spans="1:5" ht="30" customHeight="1" x14ac:dyDescent="0.25">
      <c r="A19" s="55" t="str">
        <f>'Todos los Codigos'!A18</f>
        <v>*DGSW008-0*</v>
      </c>
      <c r="B19" s="55" t="str">
        <f>'Todos los Codigos'!A18</f>
        <v>*DGSW008-0*</v>
      </c>
      <c r="C19" s="55" t="str">
        <f>'Todos los Codigos'!A18</f>
        <v>*DGSW008-0*</v>
      </c>
      <c r="D19" s="57" t="str">
        <f>'Todos los Codigos'!D18</f>
        <v>*DGSW008-1*</v>
      </c>
      <c r="E19" s="60" t="str">
        <f>'Todos los Codigos'!E18</f>
        <v>*DGSW008-2*</v>
      </c>
    </row>
    <row r="20" spans="1:5" ht="30" customHeight="1" x14ac:dyDescent="0.25">
      <c r="A20" s="52" t="s">
        <v>495</v>
      </c>
    </row>
    <row r="21" spans="1:5" ht="30" customHeight="1" x14ac:dyDescent="0.25">
      <c r="A21" s="55" t="str">
        <f>'Catalogo de Codigos '!G10</f>
        <v>*DGSW009-0*</v>
      </c>
      <c r="B21" s="55" t="str">
        <f>'Todos los Codigos'!A21</f>
        <v>*DGSW009-0*</v>
      </c>
      <c r="C21" s="55" t="str">
        <f>'Todos los Codigos'!A21</f>
        <v>*DGSW009-0*</v>
      </c>
      <c r="D21" s="57" t="str">
        <f>'Catalogo de Codigos '!H10</f>
        <v>*DGSW009-1*</v>
      </c>
      <c r="E21" s="60" t="str">
        <f>'Catalogo de Codigos '!I10</f>
        <v>*DGSW009-2*</v>
      </c>
    </row>
    <row r="22" spans="1:5" ht="30" customHeight="1" x14ac:dyDescent="0.25">
      <c r="A22" s="55" t="str">
        <f>'Todos los Codigos'!A21</f>
        <v>*DGSW009-0*</v>
      </c>
      <c r="B22" s="55" t="str">
        <f>'Todos los Codigos'!A21</f>
        <v>*DGSW009-0*</v>
      </c>
      <c r="C22" s="55" t="str">
        <f>'Todos los Codigos'!A21</f>
        <v>*DGSW009-0*</v>
      </c>
      <c r="D22" s="57" t="str">
        <f>'Todos los Codigos'!D21</f>
        <v>*DGSW009-1*</v>
      </c>
      <c r="E22" s="60" t="str">
        <f>'Todos los Codigos'!E21</f>
        <v>*DGSW009-2*</v>
      </c>
    </row>
    <row r="23" spans="1:5" ht="30" customHeight="1" x14ac:dyDescent="0.25">
      <c r="A23" s="52" t="s">
        <v>495</v>
      </c>
    </row>
    <row r="24" spans="1:5" ht="30" customHeight="1" x14ac:dyDescent="0.25">
      <c r="A24" s="55" t="str">
        <f>'Catalogo de Codigos '!G11</f>
        <v>*DGSW010-0*</v>
      </c>
      <c r="B24" s="55" t="str">
        <f>'Todos los Codigos'!A24</f>
        <v>*DGSW010-0*</v>
      </c>
      <c r="C24" s="55" t="str">
        <f>'Todos los Codigos'!A24</f>
        <v>*DGSW010-0*</v>
      </c>
      <c r="D24" s="57" t="str">
        <f>'Catalogo de Codigos '!H11</f>
        <v>*DGSW010-1*</v>
      </c>
      <c r="E24" s="60" t="str">
        <f>'Catalogo de Codigos '!I11</f>
        <v>*DGSW010-2*</v>
      </c>
    </row>
    <row r="25" spans="1:5" ht="30" customHeight="1" x14ac:dyDescent="0.25">
      <c r="A25" s="55" t="str">
        <f>'Todos los Codigos'!A24</f>
        <v>*DGSW010-0*</v>
      </c>
      <c r="B25" s="55" t="str">
        <f>'Todos los Codigos'!A24</f>
        <v>*DGSW010-0*</v>
      </c>
      <c r="C25" s="55" t="str">
        <f>'Todos los Codigos'!A24</f>
        <v>*DGSW010-0*</v>
      </c>
      <c r="D25" s="57" t="str">
        <f>'Todos los Codigos'!D24</f>
        <v>*DGSW010-1*</v>
      </c>
      <c r="E25" s="60" t="str">
        <f>'Todos los Codigos'!E24</f>
        <v>*DGSW010-2*</v>
      </c>
    </row>
    <row r="26" spans="1:5" ht="30" customHeight="1" x14ac:dyDescent="0.25">
      <c r="A26" s="52" t="s">
        <v>495</v>
      </c>
    </row>
    <row r="27" spans="1:5" ht="30" customHeight="1" x14ac:dyDescent="0.25">
      <c r="A27" s="55" t="str">
        <f>'Catalogo de Codigos '!G12</f>
        <v>*DGSW011-0*</v>
      </c>
      <c r="B27" s="55" t="str">
        <f>'Todos los Codigos'!A27</f>
        <v>*DGSW011-0*</v>
      </c>
      <c r="C27" s="55" t="str">
        <f>'Todos los Codigos'!A27</f>
        <v>*DGSW011-0*</v>
      </c>
      <c r="D27" s="57" t="str">
        <f>'Catalogo de Codigos '!H12</f>
        <v>*DGSW011-1*</v>
      </c>
      <c r="E27" s="60" t="str">
        <f>'Catalogo de Codigos '!I12</f>
        <v>*DGSW011-2*</v>
      </c>
    </row>
    <row r="28" spans="1:5" ht="30" customHeight="1" x14ac:dyDescent="0.25">
      <c r="A28" s="55" t="str">
        <f>'Todos los Codigos'!A27</f>
        <v>*DGSW011-0*</v>
      </c>
      <c r="B28" s="55" t="str">
        <f>'Todos los Codigos'!A27</f>
        <v>*DGSW011-0*</v>
      </c>
      <c r="C28" s="55" t="str">
        <f>'Todos los Codigos'!A27</f>
        <v>*DGSW011-0*</v>
      </c>
      <c r="D28" s="57" t="str">
        <f>'Todos los Codigos'!D27</f>
        <v>*DGSW011-1*</v>
      </c>
      <c r="E28" s="60" t="str">
        <f>'Todos los Codigos'!E27</f>
        <v>*DGSW011-2*</v>
      </c>
    </row>
    <row r="29" spans="1:5" ht="30" customHeight="1" x14ac:dyDescent="0.25">
      <c r="A29" s="52" t="s">
        <v>495</v>
      </c>
    </row>
    <row r="30" spans="1:5" ht="30" customHeight="1" x14ac:dyDescent="0.25">
      <c r="A30" s="55" t="str">
        <f>'Catalogo de Codigos '!G13</f>
        <v>*DGSW012-0*</v>
      </c>
      <c r="B30" s="55" t="str">
        <f>'Todos los Codigos'!A30</f>
        <v>*DGSW012-0*</v>
      </c>
      <c r="C30" s="55" t="str">
        <f>'Todos los Codigos'!A30</f>
        <v>*DGSW012-0*</v>
      </c>
      <c r="D30" s="57" t="str">
        <f>'Catalogo de Codigos '!H13</f>
        <v>*DGSW012-1*</v>
      </c>
      <c r="E30" s="60" t="str">
        <f>'Catalogo de Codigos '!I13</f>
        <v>*DGSW012-2*</v>
      </c>
    </row>
    <row r="31" spans="1:5" ht="30" customHeight="1" x14ac:dyDescent="0.25">
      <c r="A31" s="55" t="str">
        <f>'Todos los Codigos'!A30</f>
        <v>*DGSW012-0*</v>
      </c>
      <c r="B31" s="55" t="str">
        <f>'Todos los Codigos'!A30</f>
        <v>*DGSW012-0*</v>
      </c>
      <c r="C31" s="55" t="str">
        <f>'Todos los Codigos'!A30</f>
        <v>*DGSW012-0*</v>
      </c>
      <c r="D31" s="57" t="str">
        <f>'Todos los Codigos'!D30</f>
        <v>*DGSW012-1*</v>
      </c>
      <c r="E31" s="60" t="str">
        <f>'Todos los Codigos'!E30</f>
        <v>*DGSW012-2*</v>
      </c>
    </row>
    <row r="32" spans="1:5" ht="30" customHeight="1" x14ac:dyDescent="0.25">
      <c r="A32" s="52" t="s">
        <v>495</v>
      </c>
    </row>
    <row r="33" spans="1:5" ht="30" customHeight="1" x14ac:dyDescent="0.25">
      <c r="A33" s="55" t="str">
        <f>'Catalogo de Codigos '!G14</f>
        <v>*DGSW013-0*</v>
      </c>
      <c r="B33" s="55" t="str">
        <f>'Todos los Codigos'!A33</f>
        <v>*DGSW013-0*</v>
      </c>
      <c r="C33" s="55" t="str">
        <f>'Todos los Codigos'!A33</f>
        <v>*DGSW013-0*</v>
      </c>
      <c r="D33" s="57" t="str">
        <f>'Catalogo de Codigos '!H14</f>
        <v>*DGSW013-1*</v>
      </c>
      <c r="E33" s="60" t="str">
        <f>'Catalogo de Codigos '!I14</f>
        <v>*DGSW013-2*</v>
      </c>
    </row>
    <row r="34" spans="1:5" ht="30" customHeight="1" x14ac:dyDescent="0.25">
      <c r="A34" s="55" t="str">
        <f>'Todos los Codigos'!A33</f>
        <v>*DGSW013-0*</v>
      </c>
      <c r="B34" s="55" t="str">
        <f>'Todos los Codigos'!A33</f>
        <v>*DGSW013-0*</v>
      </c>
      <c r="C34" s="55" t="str">
        <f>'Todos los Codigos'!A33</f>
        <v>*DGSW013-0*</v>
      </c>
      <c r="D34" s="57" t="str">
        <f>'Todos los Codigos'!D33</f>
        <v>*DGSW013-1*</v>
      </c>
      <c r="E34" s="60" t="str">
        <f>'Todos los Codigos'!E33</f>
        <v>*DGSW013-2*</v>
      </c>
    </row>
    <row r="35" spans="1:5" ht="30" customHeight="1" x14ac:dyDescent="0.25">
      <c r="A35" s="55" t="str">
        <f>'Catalogo de Codigos '!G15</f>
        <v>*DGSW014-0*</v>
      </c>
      <c r="B35" s="55" t="str">
        <f>'Todos los Codigos'!A35</f>
        <v>*DGSW014-0*</v>
      </c>
      <c r="C35" s="55" t="str">
        <f>'Todos los Codigos'!A35</f>
        <v>*DGSW014-0*</v>
      </c>
      <c r="D35" s="57" t="str">
        <f>'Catalogo de Codigos '!H15</f>
        <v>*DGSW014-1*</v>
      </c>
      <c r="E35" s="60" t="str">
        <f>'Catalogo de Codigos '!I15</f>
        <v>*DGSW014-2*</v>
      </c>
    </row>
    <row r="36" spans="1:5" ht="30" customHeight="1" x14ac:dyDescent="0.25">
      <c r="A36" s="55" t="str">
        <f>'Todos los Codigos'!A35</f>
        <v>*DGSW014-0*</v>
      </c>
      <c r="B36" s="55" t="str">
        <f>'Todos los Codigos'!A35</f>
        <v>*DGSW014-0*</v>
      </c>
      <c r="C36" s="55" t="str">
        <f>'Todos los Codigos'!A35</f>
        <v>*DGSW014-0*</v>
      </c>
      <c r="D36" s="57" t="str">
        <f>'Todos los Codigos'!D35</f>
        <v>*DGSW014-1*</v>
      </c>
      <c r="E36" s="60" t="str">
        <f>'Todos los Codigos'!E35</f>
        <v>*DGSW014-2*</v>
      </c>
    </row>
    <row r="37" spans="1:5" ht="30" customHeight="1" x14ac:dyDescent="0.25"/>
    <row r="38" spans="1:5" ht="30" customHeight="1" x14ac:dyDescent="0.25">
      <c r="A38" s="55" t="str">
        <f>'Catalogo de Codigos '!G16</f>
        <v>*DGSW015-0*</v>
      </c>
      <c r="B38" s="55" t="str">
        <f>'Todos los Codigos'!A38</f>
        <v>*DGSW015-0*</v>
      </c>
      <c r="C38" s="55" t="str">
        <f>'Todos los Codigos'!A38</f>
        <v>*DGSW015-0*</v>
      </c>
      <c r="D38" s="57" t="str">
        <f>'Catalogo de Codigos '!H16</f>
        <v>*DGSW015-1*</v>
      </c>
      <c r="E38" s="60" t="str">
        <f>'Catalogo de Codigos '!I16</f>
        <v>*DGSW015-2*</v>
      </c>
    </row>
    <row r="39" spans="1:5" ht="30" customHeight="1" x14ac:dyDescent="0.25">
      <c r="A39" s="55" t="str">
        <f>'Todos los Codigos'!A38</f>
        <v>*DGSW015-0*</v>
      </c>
      <c r="B39" s="55" t="str">
        <f>'Todos los Codigos'!A38</f>
        <v>*DGSW015-0*</v>
      </c>
      <c r="C39" s="55" t="str">
        <f>'Todos los Codigos'!A38</f>
        <v>*DGSW015-0*</v>
      </c>
      <c r="D39" s="57" t="str">
        <f>'Todos los Codigos'!D38</f>
        <v>*DGSW015-1*</v>
      </c>
      <c r="E39" s="60" t="str">
        <f>'Todos los Codigos'!E38</f>
        <v>*DGSW015-2*</v>
      </c>
    </row>
    <row r="40" spans="1:5" ht="30" customHeight="1" x14ac:dyDescent="0.25"/>
    <row r="41" spans="1:5" ht="30" customHeight="1" x14ac:dyDescent="0.25">
      <c r="A41" s="55" t="str">
        <f>'Catalogo de Codigos '!G17</f>
        <v>*DGSW016-0*</v>
      </c>
      <c r="B41" s="55" t="str">
        <f>'Todos los Codigos'!A41</f>
        <v>*DGSW016-0*</v>
      </c>
      <c r="C41" s="55" t="str">
        <f>'Todos los Codigos'!A41</f>
        <v>*DGSW016-0*</v>
      </c>
      <c r="D41" s="57" t="str">
        <f>'Catalogo de Codigos '!H17</f>
        <v>*DGSW016-1*</v>
      </c>
      <c r="E41" s="60" t="str">
        <f>'Catalogo de Codigos '!I17</f>
        <v>*DGSW016-2*</v>
      </c>
    </row>
    <row r="42" spans="1:5" ht="30" customHeight="1" x14ac:dyDescent="0.25">
      <c r="A42" s="55" t="str">
        <f>'Todos los Codigos'!A41</f>
        <v>*DGSW016-0*</v>
      </c>
      <c r="B42" s="55" t="str">
        <f>'Todos los Codigos'!A41</f>
        <v>*DGSW016-0*</v>
      </c>
      <c r="C42" s="55" t="str">
        <f>'Todos los Codigos'!A41</f>
        <v>*DGSW016-0*</v>
      </c>
      <c r="D42" s="57" t="str">
        <f>'Todos los Codigos'!D41</f>
        <v>*DGSW016-1*</v>
      </c>
      <c r="E42" s="60" t="str">
        <f>'Todos los Codigos'!E41</f>
        <v>*DGSW016-2*</v>
      </c>
    </row>
    <row r="43" spans="1:5" ht="30" customHeight="1" x14ac:dyDescent="0.25"/>
    <row r="44" spans="1:5" ht="30" customHeight="1" x14ac:dyDescent="0.25">
      <c r="A44" s="55" t="str">
        <f>'Catalogo de Codigos '!G18</f>
        <v>*DGSW017-0*</v>
      </c>
      <c r="B44" s="55" t="str">
        <f>'Todos los Codigos'!A44</f>
        <v>*DGSW017-0*</v>
      </c>
      <c r="C44" s="55" t="str">
        <f>'Todos los Codigos'!A44</f>
        <v>*DGSW017-0*</v>
      </c>
      <c r="D44" s="57" t="str">
        <f>'Catalogo de Codigos '!H18</f>
        <v>*DGSW017-1*</v>
      </c>
      <c r="E44" s="60" t="str">
        <f>'Catalogo de Codigos '!I18</f>
        <v>*DGSW017-2*</v>
      </c>
    </row>
    <row r="45" spans="1:5" ht="30" customHeight="1" x14ac:dyDescent="0.25">
      <c r="A45" s="55" t="str">
        <f>'Todos los Codigos'!A44</f>
        <v>*DGSW017-0*</v>
      </c>
      <c r="B45" s="55" t="str">
        <f>'Todos los Codigos'!A44</f>
        <v>*DGSW017-0*</v>
      </c>
      <c r="C45" s="55" t="str">
        <f>'Todos los Codigos'!A44</f>
        <v>*DGSW017-0*</v>
      </c>
      <c r="D45" s="57" t="str">
        <f>'Todos los Codigos'!D44</f>
        <v>*DGSW017-1*</v>
      </c>
      <c r="E45" s="60" t="str">
        <f>'Todos los Codigos'!E44</f>
        <v>*DGSW017-2*</v>
      </c>
    </row>
    <row r="46" spans="1:5" ht="30" customHeight="1" x14ac:dyDescent="0.25"/>
    <row r="47" spans="1:5" ht="30" customHeight="1" x14ac:dyDescent="0.25">
      <c r="A47" s="55" t="str">
        <f>'Catalogo de Codigos '!G19</f>
        <v>*DGSW018-0*</v>
      </c>
      <c r="B47" s="55" t="str">
        <f>'Todos los Codigos'!A47</f>
        <v>*DGSW018-0*</v>
      </c>
      <c r="C47" s="55" t="str">
        <f>'Todos los Codigos'!A47</f>
        <v>*DGSW018-0*</v>
      </c>
      <c r="D47" s="57" t="str">
        <f>'Catalogo de Codigos '!H19</f>
        <v>*DGSW018-1*</v>
      </c>
      <c r="E47" s="60" t="str">
        <f>'Catalogo de Codigos '!I19</f>
        <v>*DGSW018-2*</v>
      </c>
    </row>
    <row r="48" spans="1:5" ht="30" customHeight="1" x14ac:dyDescent="0.25">
      <c r="A48" s="55" t="str">
        <f>'Todos los Codigos'!A47</f>
        <v>*DGSW018-0*</v>
      </c>
      <c r="B48" s="55" t="str">
        <f>'Todos los Codigos'!A47</f>
        <v>*DGSW018-0*</v>
      </c>
      <c r="C48" s="55" t="str">
        <f>'Todos los Codigos'!A47</f>
        <v>*DGSW018-0*</v>
      </c>
      <c r="D48" s="57" t="str">
        <f>'Todos los Codigos'!D47</f>
        <v>*DGSW018-1*</v>
      </c>
      <c r="E48" s="60" t="str">
        <f>'Todos los Codigos'!E47</f>
        <v>*DGSW018-2*</v>
      </c>
    </row>
    <row r="49" spans="1:5" ht="30" customHeight="1" x14ac:dyDescent="0.25"/>
    <row r="50" spans="1:5" ht="30" customHeight="1" x14ac:dyDescent="0.25">
      <c r="A50" s="55" t="str">
        <f>'Catalogo de Codigos '!G20</f>
        <v>*DGSW019-0*</v>
      </c>
      <c r="B50" s="55" t="str">
        <f>'Todos los Codigos'!A50</f>
        <v>*DGSW019-0*</v>
      </c>
      <c r="C50" s="55" t="str">
        <f>'Todos los Codigos'!A50</f>
        <v>*DGSW019-0*</v>
      </c>
      <c r="D50" s="57" t="str">
        <f>'Catalogo de Codigos '!H20</f>
        <v>*DGSW019-1*</v>
      </c>
      <c r="E50" s="60" t="str">
        <f>'Catalogo de Codigos '!I20</f>
        <v>*DGSW019-2*</v>
      </c>
    </row>
    <row r="51" spans="1:5" ht="30" customHeight="1" x14ac:dyDescent="0.25">
      <c r="A51" s="55" t="str">
        <f>'Todos los Codigos'!A50</f>
        <v>*DGSW019-0*</v>
      </c>
      <c r="B51" s="55" t="str">
        <f>'Todos los Codigos'!A50</f>
        <v>*DGSW019-0*</v>
      </c>
      <c r="C51" s="55" t="str">
        <f>'Todos los Codigos'!A50</f>
        <v>*DGSW019-0*</v>
      </c>
      <c r="D51" s="57" t="str">
        <f>'Todos los Codigos'!D50</f>
        <v>*DGSW019-1*</v>
      </c>
      <c r="E51" s="60" t="str">
        <f>'Todos los Codigos'!E50</f>
        <v>*DGSW019-2*</v>
      </c>
    </row>
    <row r="52" spans="1:5" ht="30" customHeight="1" x14ac:dyDescent="0.25">
      <c r="A52" s="55" t="str">
        <f>'Catalogo de Codigos '!G21</f>
        <v>*DGSW020-0*</v>
      </c>
      <c r="B52" s="55" t="str">
        <f>'Todos los Codigos'!A52</f>
        <v>*DGSW020-0*</v>
      </c>
      <c r="C52" s="55" t="str">
        <f>'Todos los Codigos'!A52</f>
        <v>*DGSW020-0*</v>
      </c>
      <c r="D52" s="57" t="str">
        <f>'Catalogo de Codigos '!H21</f>
        <v>*DGSW020-1*</v>
      </c>
      <c r="E52" s="60" t="str">
        <f>'Catalogo de Codigos '!I21</f>
        <v>*DGSW020-2*</v>
      </c>
    </row>
    <row r="53" spans="1:5" ht="30" customHeight="1" x14ac:dyDescent="0.25">
      <c r="A53" s="55" t="str">
        <f>'Todos los Codigos'!A52</f>
        <v>*DGSW020-0*</v>
      </c>
      <c r="B53" s="55" t="str">
        <f>'Todos los Codigos'!A52</f>
        <v>*DGSW020-0*</v>
      </c>
      <c r="C53" s="55" t="str">
        <f>'Todos los Codigos'!A52</f>
        <v>*DGSW020-0*</v>
      </c>
      <c r="D53" s="57" t="str">
        <f>'Todos los Codigos'!D52</f>
        <v>*DGSW020-1*</v>
      </c>
      <c r="E53" s="60" t="str">
        <f>'Todos los Codigos'!E52</f>
        <v>*DGSW020-2*</v>
      </c>
    </row>
    <row r="54" spans="1:5" ht="30" customHeight="1" x14ac:dyDescent="0.25"/>
    <row r="55" spans="1:5" ht="30" customHeight="1" x14ac:dyDescent="0.25">
      <c r="A55" s="55" t="str">
        <f>'Catalogo de Codigos '!G22</f>
        <v>*DGSW021-0*</v>
      </c>
      <c r="B55" s="55" t="str">
        <f>'Todos los Codigos'!A55</f>
        <v>*DGSW021-0*</v>
      </c>
      <c r="C55" s="55" t="str">
        <f>'Todos los Codigos'!A55</f>
        <v>*DGSW021-0*</v>
      </c>
      <c r="D55" s="57" t="str">
        <f>'Catalogo de Codigos '!H22</f>
        <v>*DGSW021-1*</v>
      </c>
      <c r="E55" s="60" t="str">
        <f>'Catalogo de Codigos '!I22</f>
        <v>*DGSW021-2*</v>
      </c>
    </row>
    <row r="56" spans="1:5" ht="30" customHeight="1" x14ac:dyDescent="0.25">
      <c r="A56" s="55" t="str">
        <f>'Todos los Codigos'!A55</f>
        <v>*DGSW021-0*</v>
      </c>
      <c r="B56" s="55" t="str">
        <f>'Todos los Codigos'!A55</f>
        <v>*DGSW021-0*</v>
      </c>
      <c r="C56" s="55" t="str">
        <f>'Todos los Codigos'!A55</f>
        <v>*DGSW021-0*</v>
      </c>
      <c r="D56" s="57" t="str">
        <f>'Todos los Codigos'!D55</f>
        <v>*DGSW021-1*</v>
      </c>
      <c r="E56" s="60" t="str">
        <f>'Todos los Codigos'!E55</f>
        <v>*DGSW021-2*</v>
      </c>
    </row>
    <row r="57" spans="1:5" ht="30" customHeight="1" x14ac:dyDescent="0.25"/>
    <row r="58" spans="1:5" ht="30" customHeight="1" x14ac:dyDescent="0.25">
      <c r="A58" s="55" t="str">
        <f>'Catalogo de Codigos '!G23</f>
        <v>*DGSW022-0*</v>
      </c>
      <c r="B58" s="55" t="str">
        <f>'Todos los Codigos'!A58</f>
        <v>*DGSW022-0*</v>
      </c>
      <c r="C58" s="55" t="str">
        <f>'Todos los Codigos'!A58</f>
        <v>*DGSW022-0*</v>
      </c>
      <c r="D58" s="57" t="str">
        <f>'Catalogo de Codigos '!H23</f>
        <v>*DGSW022-1*</v>
      </c>
      <c r="E58" s="60" t="str">
        <f>'Catalogo de Codigos '!I23</f>
        <v>*DGSW022-2*</v>
      </c>
    </row>
    <row r="59" spans="1:5" ht="30" customHeight="1" x14ac:dyDescent="0.25">
      <c r="A59" s="55" t="str">
        <f>'Todos los Codigos'!A58</f>
        <v>*DGSW022-0*</v>
      </c>
      <c r="B59" s="55" t="str">
        <f>'Todos los Codigos'!A58</f>
        <v>*DGSW022-0*</v>
      </c>
      <c r="C59" s="55" t="str">
        <f>'Todos los Codigos'!A58</f>
        <v>*DGSW022-0*</v>
      </c>
      <c r="D59" s="57" t="str">
        <f>'Todos los Codigos'!D58</f>
        <v>*DGSW022-1*</v>
      </c>
      <c r="E59" s="60" t="str">
        <f>'Todos los Codigos'!E58</f>
        <v>*DGSW022-2*</v>
      </c>
    </row>
    <row r="60" spans="1:5" ht="30" customHeight="1" x14ac:dyDescent="0.25"/>
    <row r="61" spans="1:5" ht="30" customHeight="1" x14ac:dyDescent="0.25">
      <c r="A61" s="55" t="str">
        <f>'Catalogo de Codigos '!G24</f>
        <v>*DGSW023-0*</v>
      </c>
      <c r="B61" s="55" t="str">
        <f>'Todos los Codigos'!A61</f>
        <v>*DGSW023-0*</v>
      </c>
      <c r="C61" s="55" t="str">
        <f>'Todos los Codigos'!A61</f>
        <v>*DGSW023-0*</v>
      </c>
      <c r="D61" s="57" t="str">
        <f>'Catalogo de Codigos '!H24</f>
        <v>*DGSW023-1*</v>
      </c>
      <c r="E61" s="60" t="str">
        <f>'Catalogo de Codigos '!I24</f>
        <v>*DGSW023-2*</v>
      </c>
    </row>
    <row r="62" spans="1:5" ht="30" customHeight="1" x14ac:dyDescent="0.25">
      <c r="A62" s="55" t="str">
        <f>'Todos los Codigos'!A61</f>
        <v>*DGSW023-0*</v>
      </c>
      <c r="B62" s="55" t="str">
        <f>'Todos los Codigos'!A61</f>
        <v>*DGSW023-0*</v>
      </c>
      <c r="C62" s="55" t="str">
        <f>'Todos los Codigos'!A61</f>
        <v>*DGSW023-0*</v>
      </c>
      <c r="D62" s="57" t="str">
        <f>'Todos los Codigos'!D61</f>
        <v>*DGSW023-1*</v>
      </c>
      <c r="E62" s="60" t="str">
        <f>'Todos los Codigos'!E61</f>
        <v>*DGSW023-2*</v>
      </c>
    </row>
    <row r="63" spans="1:5" ht="30" customHeight="1" x14ac:dyDescent="0.25"/>
    <row r="64" spans="1:5" ht="30" customHeight="1" x14ac:dyDescent="0.25">
      <c r="A64" s="55" t="str">
        <f>'Catalogo de Codigos '!G25</f>
        <v>*DGSW024-0*</v>
      </c>
      <c r="B64" s="55" t="str">
        <f>'Todos los Codigos'!A64</f>
        <v>*DGSW024-0*</v>
      </c>
      <c r="C64" s="55" t="str">
        <f>'Todos los Codigos'!A64</f>
        <v>*DGSW024-0*</v>
      </c>
      <c r="D64" s="57" t="str">
        <f>'Catalogo de Codigos '!H25</f>
        <v>*DGSW024-1*</v>
      </c>
      <c r="E64" s="60" t="str">
        <f>'Catalogo de Codigos '!I25</f>
        <v>*DGSW024-2*</v>
      </c>
    </row>
    <row r="65" spans="1:5" ht="30" customHeight="1" x14ac:dyDescent="0.25">
      <c r="A65" s="55" t="str">
        <f>'Todos los Codigos'!A64</f>
        <v>*DGSW024-0*</v>
      </c>
      <c r="B65" s="55" t="str">
        <f>'Todos los Codigos'!A64</f>
        <v>*DGSW024-0*</v>
      </c>
      <c r="C65" s="55" t="str">
        <f>'Todos los Codigos'!A64</f>
        <v>*DGSW024-0*</v>
      </c>
      <c r="D65" s="57" t="str">
        <f>'Todos los Codigos'!D64</f>
        <v>*DGSW024-1*</v>
      </c>
      <c r="E65" s="60" t="str">
        <f>'Todos los Codigos'!E64</f>
        <v>*DGSW024-2*</v>
      </c>
    </row>
    <row r="66" spans="1:5" ht="30" customHeight="1" x14ac:dyDescent="0.25"/>
    <row r="67" spans="1:5" ht="30" customHeight="1" x14ac:dyDescent="0.25">
      <c r="A67" s="55" t="str">
        <f>'Catalogo de Codigos '!G26</f>
        <v>*DGSW025-0*</v>
      </c>
      <c r="B67" s="55" t="str">
        <f>'Todos los Codigos'!A67</f>
        <v>*DGSW025-0*</v>
      </c>
      <c r="C67" s="55" t="str">
        <f>'Todos los Codigos'!A67</f>
        <v>*DGSW025-0*</v>
      </c>
      <c r="D67" s="57" t="str">
        <f>'Catalogo de Codigos '!H26</f>
        <v>*DGSW025-1*</v>
      </c>
      <c r="E67" s="60" t="str">
        <f>'Catalogo de Codigos '!I26</f>
        <v>*DGSW025-2*</v>
      </c>
    </row>
    <row r="68" spans="1:5" ht="30" customHeight="1" x14ac:dyDescent="0.25">
      <c r="A68" s="55" t="str">
        <f>'Todos los Codigos'!A67</f>
        <v>*DGSW025-0*</v>
      </c>
      <c r="B68" s="55" t="str">
        <f>'Todos los Codigos'!A67</f>
        <v>*DGSW025-0*</v>
      </c>
      <c r="C68" s="55" t="str">
        <f>'Todos los Codigos'!A67</f>
        <v>*DGSW025-0*</v>
      </c>
      <c r="D68" s="57" t="str">
        <f>'Todos los Codigos'!D67</f>
        <v>*DGSW025-1*</v>
      </c>
      <c r="E68" s="60" t="str">
        <f>'Todos los Codigos'!E67</f>
        <v>*DGSW025-2*</v>
      </c>
    </row>
    <row r="69" spans="1:5" ht="30" customHeight="1" x14ac:dyDescent="0.25">
      <c r="A69" s="55" t="str">
        <f>'Catalogo de Codigos '!G27</f>
        <v>*DGSW026-0*</v>
      </c>
      <c r="B69" s="55" t="str">
        <f>'Todos los Codigos'!A69</f>
        <v>*DGSW026-0*</v>
      </c>
      <c r="C69" s="55" t="str">
        <f>'Todos los Codigos'!A69</f>
        <v>*DGSW026-0*</v>
      </c>
      <c r="D69" s="57" t="str">
        <f>'Catalogo de Codigos '!H27</f>
        <v>*DGSW026-1*</v>
      </c>
      <c r="E69" s="60" t="str">
        <f>'Catalogo de Codigos '!I27</f>
        <v>*DGSW026-2*</v>
      </c>
    </row>
    <row r="70" spans="1:5" ht="30" customHeight="1" x14ac:dyDescent="0.25">
      <c r="A70" s="55" t="str">
        <f>'Todos los Codigos'!A69</f>
        <v>*DGSW026-0*</v>
      </c>
      <c r="B70" s="55" t="str">
        <f>'Todos los Codigos'!A69</f>
        <v>*DGSW026-0*</v>
      </c>
      <c r="C70" s="55" t="str">
        <f>'Todos los Codigos'!A69</f>
        <v>*DGSW026-0*</v>
      </c>
      <c r="D70" s="57" t="str">
        <f>'Todos los Codigos'!D69</f>
        <v>*DGSW026-1*</v>
      </c>
      <c r="E70" s="60" t="str">
        <f>'Todos los Codigos'!E69</f>
        <v>*DGSW026-2*</v>
      </c>
    </row>
    <row r="71" spans="1:5" ht="30" customHeight="1" x14ac:dyDescent="0.25"/>
    <row r="72" spans="1:5" ht="30" customHeight="1" x14ac:dyDescent="0.25">
      <c r="A72" s="55" t="str">
        <f>'Catalogo de Codigos '!G28</f>
        <v>*DGSW027-0*</v>
      </c>
      <c r="B72" s="55" t="str">
        <f>'Todos los Codigos'!A72</f>
        <v>*DGSW027-0*</v>
      </c>
      <c r="C72" s="55" t="str">
        <f>'Todos los Codigos'!A72</f>
        <v>*DGSW027-0*</v>
      </c>
      <c r="D72" s="57" t="str">
        <f>'Catalogo de Codigos '!H28</f>
        <v>*DGSW027-1*</v>
      </c>
      <c r="E72" s="60" t="str">
        <f>'Catalogo de Codigos '!I28</f>
        <v>*DGSW027-2*</v>
      </c>
    </row>
    <row r="73" spans="1:5" ht="30" customHeight="1" x14ac:dyDescent="0.25">
      <c r="A73" s="55" t="str">
        <f>'Todos los Codigos'!A72</f>
        <v>*DGSW027-0*</v>
      </c>
      <c r="B73" s="55" t="str">
        <f>'Todos los Codigos'!A72</f>
        <v>*DGSW027-0*</v>
      </c>
      <c r="C73" s="55" t="str">
        <f>'Todos los Codigos'!A72</f>
        <v>*DGSW027-0*</v>
      </c>
      <c r="D73" s="57" t="str">
        <f>'Todos los Codigos'!D72</f>
        <v>*DGSW027-1*</v>
      </c>
      <c r="E73" s="60" t="str">
        <f>'Todos los Codigos'!E72</f>
        <v>*DGSW027-2*</v>
      </c>
    </row>
    <row r="74" spans="1:5" ht="30" customHeight="1" x14ac:dyDescent="0.25"/>
    <row r="75" spans="1:5" ht="30" customHeight="1" x14ac:dyDescent="0.25">
      <c r="A75" s="55" t="str">
        <f>'Catalogo de Codigos '!G29</f>
        <v>*DGSW028-0*</v>
      </c>
      <c r="B75" s="55" t="str">
        <f>'Todos los Codigos'!A75</f>
        <v>*DGSW028-0*</v>
      </c>
      <c r="C75" s="55" t="str">
        <f>'Todos los Codigos'!A75</f>
        <v>*DGSW028-0*</v>
      </c>
      <c r="D75" s="57" t="str">
        <f>'Catalogo de Codigos '!H29</f>
        <v>*DGSW028-1*</v>
      </c>
      <c r="E75" s="60" t="str">
        <f>'Catalogo de Codigos '!I29</f>
        <v>*DGSW028-2*</v>
      </c>
    </row>
    <row r="76" spans="1:5" ht="30" customHeight="1" x14ac:dyDescent="0.25">
      <c r="A76" s="55" t="str">
        <f>'Todos los Codigos'!A75</f>
        <v>*DGSW028-0*</v>
      </c>
      <c r="B76" s="55" t="str">
        <f>'Todos los Codigos'!A75</f>
        <v>*DGSW028-0*</v>
      </c>
      <c r="C76" s="55" t="str">
        <f>'Todos los Codigos'!A75</f>
        <v>*DGSW028-0*</v>
      </c>
      <c r="D76" s="57" t="str">
        <f>'Todos los Codigos'!D75</f>
        <v>*DGSW028-1*</v>
      </c>
      <c r="E76" s="60" t="str">
        <f>'Todos los Codigos'!E75</f>
        <v>*DGSW028-2*</v>
      </c>
    </row>
    <row r="77" spans="1:5" ht="30" customHeight="1" x14ac:dyDescent="0.25"/>
    <row r="78" spans="1:5" ht="30" customHeight="1" x14ac:dyDescent="0.25">
      <c r="A78" s="55" t="str">
        <f>'Catalogo de Codigos '!G30</f>
        <v>*DGSW029-0*</v>
      </c>
      <c r="B78" s="55" t="str">
        <f>'Todos los Codigos'!A78</f>
        <v>*DGSW029-0*</v>
      </c>
      <c r="C78" s="55" t="str">
        <f>'Todos los Codigos'!A78</f>
        <v>*DGSW029-0*</v>
      </c>
      <c r="D78" s="57" t="str">
        <f>'Catalogo de Codigos '!H30</f>
        <v>*DGSW029-1*</v>
      </c>
      <c r="E78" s="60" t="str">
        <f>'Catalogo de Codigos '!I30</f>
        <v>*DGSW029-2*</v>
      </c>
    </row>
    <row r="79" spans="1:5" ht="30" customHeight="1" x14ac:dyDescent="0.25">
      <c r="A79" s="55" t="str">
        <f>'Todos los Codigos'!A78</f>
        <v>*DGSW029-0*</v>
      </c>
      <c r="B79" s="55" t="str">
        <f>'Todos los Codigos'!A78</f>
        <v>*DGSW029-0*</v>
      </c>
      <c r="C79" s="55" t="str">
        <f>'Todos los Codigos'!A78</f>
        <v>*DGSW029-0*</v>
      </c>
      <c r="D79" s="57" t="str">
        <f>'Todos los Codigos'!D78</f>
        <v>*DGSW029-1*</v>
      </c>
      <c r="E79" s="60" t="str">
        <f>'Todos los Codigos'!E78</f>
        <v>*DGSW029-2*</v>
      </c>
    </row>
    <row r="80" spans="1:5" ht="30" customHeight="1" x14ac:dyDescent="0.25"/>
    <row r="81" spans="1:5" ht="30" customHeight="1" x14ac:dyDescent="0.25">
      <c r="A81" s="55" t="str">
        <f>'Catalogo de Codigos '!G31</f>
        <v>*DGSW030-0*</v>
      </c>
      <c r="B81" s="55" t="str">
        <f>'Todos los Codigos'!A81</f>
        <v>*DGSW030-0*</v>
      </c>
      <c r="C81" s="55" t="str">
        <f>'Todos los Codigos'!A81</f>
        <v>*DGSW030-0*</v>
      </c>
      <c r="D81" s="57" t="str">
        <f>'Catalogo de Codigos '!H31</f>
        <v>*DGSW030-1*</v>
      </c>
      <c r="E81" s="60" t="str">
        <f>'Catalogo de Codigos '!I31</f>
        <v>*DGSW030-2*</v>
      </c>
    </row>
    <row r="82" spans="1:5" ht="30" customHeight="1" x14ac:dyDescent="0.25">
      <c r="A82" s="55" t="str">
        <f>'Todos los Codigos'!A81</f>
        <v>*DGSW030-0*</v>
      </c>
      <c r="B82" s="55" t="str">
        <f>'Todos los Codigos'!A81</f>
        <v>*DGSW030-0*</v>
      </c>
      <c r="C82" s="55" t="str">
        <f>'Todos los Codigos'!A81</f>
        <v>*DGSW030-0*</v>
      </c>
      <c r="D82" s="57" t="str">
        <f>'Todos los Codigos'!D81</f>
        <v>*DGSW030-1*</v>
      </c>
      <c r="E82" s="60" t="str">
        <f>'Todos los Codigos'!E81</f>
        <v>*DGSW030-2*</v>
      </c>
    </row>
    <row r="83" spans="1:5" ht="30" customHeight="1" x14ac:dyDescent="0.25"/>
    <row r="84" spans="1:5" ht="30" customHeight="1" x14ac:dyDescent="0.25">
      <c r="A84" s="55" t="str">
        <f>'Catalogo de Codigos '!G32</f>
        <v>*DGSW031-0*</v>
      </c>
      <c r="B84" s="55" t="str">
        <f>'Todos los Codigos'!A84</f>
        <v>*DGSW031-0*</v>
      </c>
      <c r="C84" s="55" t="str">
        <f>'Todos los Codigos'!A84</f>
        <v>*DGSW031-0*</v>
      </c>
      <c r="D84" s="57" t="str">
        <f>'Catalogo de Codigos '!H32</f>
        <v>*DGSW031-1*</v>
      </c>
      <c r="E84" s="60" t="str">
        <f>'Catalogo de Codigos '!I32</f>
        <v>*DGSW031-2*</v>
      </c>
    </row>
    <row r="85" spans="1:5" ht="30" customHeight="1" x14ac:dyDescent="0.25">
      <c r="A85" s="55" t="str">
        <f>'Todos los Codigos'!A84</f>
        <v>*DGSW031-0*</v>
      </c>
      <c r="B85" s="55" t="str">
        <f>'Todos los Codigos'!A84</f>
        <v>*DGSW031-0*</v>
      </c>
      <c r="C85" s="55" t="str">
        <f>'Todos los Codigos'!A84</f>
        <v>*DGSW031-0*</v>
      </c>
      <c r="D85" s="57" t="str">
        <f>'Todos los Codigos'!D84</f>
        <v>*DGSW031-1*</v>
      </c>
      <c r="E85" s="60" t="str">
        <f>'Todos los Codigos'!E84</f>
        <v>*DGSW031-2*</v>
      </c>
    </row>
    <row r="86" spans="1:5" ht="30" customHeight="1" x14ac:dyDescent="0.25">
      <c r="A86" s="55" t="str">
        <f>'Catalogo de Codigos '!G33</f>
        <v>*DGSW032-0*</v>
      </c>
      <c r="B86" s="55" t="str">
        <f>'Todos los Codigos'!A86</f>
        <v>*DGSW032-0*</v>
      </c>
      <c r="C86" s="55" t="str">
        <f>'Todos los Codigos'!A86</f>
        <v>*DGSW032-0*</v>
      </c>
      <c r="D86" s="57" t="str">
        <f>'Catalogo de Codigos '!H33</f>
        <v>*DGSW032-1*</v>
      </c>
      <c r="E86" s="60" t="str">
        <f>'Catalogo de Codigos '!I33</f>
        <v>*DGSW032-2*</v>
      </c>
    </row>
    <row r="87" spans="1:5" ht="30" customHeight="1" x14ac:dyDescent="0.25">
      <c r="A87" s="55" t="str">
        <f>'Todos los Codigos'!A86</f>
        <v>*DGSW032-0*</v>
      </c>
      <c r="B87" s="55" t="str">
        <f>'Todos los Codigos'!A86</f>
        <v>*DGSW032-0*</v>
      </c>
      <c r="C87" s="55" t="str">
        <f>'Todos los Codigos'!A86</f>
        <v>*DGSW032-0*</v>
      </c>
      <c r="D87" s="57" t="str">
        <f>'Todos los Codigos'!D86</f>
        <v>*DGSW032-1*</v>
      </c>
      <c r="E87" s="60" t="str">
        <f>'Todos los Codigos'!E86</f>
        <v>*DGSW032-2*</v>
      </c>
    </row>
    <row r="88" spans="1:5" ht="30" customHeight="1" x14ac:dyDescent="0.25"/>
    <row r="89" spans="1:5" ht="30" customHeight="1" x14ac:dyDescent="0.25">
      <c r="A89" s="55" t="str">
        <f>'Catalogo de Codigos '!G34</f>
        <v>*DGSW033-0*</v>
      </c>
      <c r="B89" s="55" t="str">
        <f>'Todos los Codigos'!A89</f>
        <v>*DGSW033-0*</v>
      </c>
      <c r="C89" s="55" t="str">
        <f>'Todos los Codigos'!A89</f>
        <v>*DGSW033-0*</v>
      </c>
      <c r="D89" s="57" t="str">
        <f>'Catalogo de Codigos '!H34</f>
        <v>*DGSW033-1*</v>
      </c>
      <c r="E89" s="60" t="str">
        <f>'Catalogo de Codigos '!I34</f>
        <v>*DGSW033-2*</v>
      </c>
    </row>
    <row r="90" spans="1:5" ht="30" customHeight="1" x14ac:dyDescent="0.25">
      <c r="A90" s="55" t="str">
        <f>'Todos los Codigos'!A89</f>
        <v>*DGSW033-0*</v>
      </c>
      <c r="B90" s="55" t="str">
        <f>'Todos los Codigos'!A89</f>
        <v>*DGSW033-0*</v>
      </c>
      <c r="C90" s="55" t="str">
        <f>'Todos los Codigos'!A89</f>
        <v>*DGSW033-0*</v>
      </c>
      <c r="D90" s="57" t="str">
        <f>'Todos los Codigos'!D89</f>
        <v>*DGSW033-1*</v>
      </c>
      <c r="E90" s="60" t="str">
        <f>'Todos los Codigos'!E89</f>
        <v>*DGSW033-2*</v>
      </c>
    </row>
    <row r="91" spans="1:5" ht="30" customHeight="1" x14ac:dyDescent="0.25"/>
    <row r="92" spans="1:5" ht="30" customHeight="1" x14ac:dyDescent="0.25">
      <c r="A92" s="55" t="str">
        <f>'Catalogo de Codigos '!G35</f>
        <v>*DGSW034-0*</v>
      </c>
      <c r="B92" s="55" t="str">
        <f>'Todos los Codigos'!A92</f>
        <v>*DGSW034-0*</v>
      </c>
      <c r="C92" s="55" t="str">
        <f>'Todos los Codigos'!A92</f>
        <v>*DGSW034-0*</v>
      </c>
      <c r="D92" s="57" t="str">
        <f>'Catalogo de Codigos '!H35</f>
        <v>*DGSW034-1*</v>
      </c>
      <c r="E92" s="60" t="str">
        <f>'Catalogo de Codigos '!I35</f>
        <v>*DGSW034-2*</v>
      </c>
    </row>
    <row r="93" spans="1:5" ht="30" customHeight="1" x14ac:dyDescent="0.25">
      <c r="A93" s="55" t="str">
        <f>'Todos los Codigos'!A92</f>
        <v>*DGSW034-0*</v>
      </c>
      <c r="B93" s="55" t="str">
        <f>'Todos los Codigos'!A92</f>
        <v>*DGSW034-0*</v>
      </c>
      <c r="C93" s="55" t="str">
        <f>'Todos los Codigos'!A92</f>
        <v>*DGSW034-0*</v>
      </c>
      <c r="D93" s="57" t="str">
        <f>'Todos los Codigos'!D92</f>
        <v>*DGSW034-1*</v>
      </c>
      <c r="E93" s="60" t="str">
        <f>'Todos los Codigos'!E92</f>
        <v>*DGSW034-2*</v>
      </c>
    </row>
    <row r="94" spans="1:5" ht="30" customHeight="1" x14ac:dyDescent="0.25"/>
    <row r="95" spans="1:5" ht="30" customHeight="1" x14ac:dyDescent="0.25">
      <c r="A95" s="55" t="str">
        <f>'Catalogo de Codigos '!G36</f>
        <v>*DGSW035-0*</v>
      </c>
      <c r="B95" s="55" t="str">
        <f>'Todos los Codigos'!A95</f>
        <v>*DGSW035-0*</v>
      </c>
      <c r="C95" s="55" t="str">
        <f>'Todos los Codigos'!A95</f>
        <v>*DGSW035-0*</v>
      </c>
      <c r="D95" s="57" t="str">
        <f>'Catalogo de Codigos '!H36</f>
        <v>*DGSW035-1*</v>
      </c>
      <c r="E95" s="60" t="str">
        <f>'Catalogo de Codigos '!I36</f>
        <v>*DGSW035-2*</v>
      </c>
    </row>
    <row r="96" spans="1:5" ht="30" customHeight="1" x14ac:dyDescent="0.25">
      <c r="A96" s="55" t="str">
        <f>'Todos los Codigos'!A95</f>
        <v>*DGSW035-0*</v>
      </c>
      <c r="B96" s="55" t="str">
        <f>'Todos los Codigos'!A95</f>
        <v>*DGSW035-0*</v>
      </c>
      <c r="C96" s="55" t="str">
        <f>'Todos los Codigos'!A95</f>
        <v>*DGSW035-0*</v>
      </c>
      <c r="D96" s="57" t="str">
        <f>'Todos los Codigos'!D95</f>
        <v>*DGSW035-1*</v>
      </c>
      <c r="E96" s="60" t="str">
        <f>'Todos los Codigos'!E95</f>
        <v>*DGSW035-2*</v>
      </c>
    </row>
    <row r="97" spans="1:5" ht="30" customHeight="1" x14ac:dyDescent="0.25"/>
    <row r="98" spans="1:5" ht="30" customHeight="1" x14ac:dyDescent="0.25">
      <c r="A98" s="55" t="str">
        <f>'Catalogo de Codigos '!G37</f>
        <v>*DGSW036-0*</v>
      </c>
      <c r="B98" s="55" t="str">
        <f>'Todos los Codigos'!A98</f>
        <v>*DGSW036-0*</v>
      </c>
      <c r="C98" s="55" t="str">
        <f>'Todos los Codigos'!A98</f>
        <v>*DGSW036-0*</v>
      </c>
      <c r="D98" s="57" t="str">
        <f>'Catalogo de Codigos '!H37</f>
        <v>*DGSW036-1*</v>
      </c>
      <c r="E98" s="60" t="str">
        <f>'Catalogo de Codigos '!I37</f>
        <v>*DGSW036-2*</v>
      </c>
    </row>
    <row r="99" spans="1:5" ht="30" customHeight="1" x14ac:dyDescent="0.25">
      <c r="A99" s="55" t="str">
        <f>'Todos los Codigos'!A98</f>
        <v>*DGSW036-0*</v>
      </c>
      <c r="B99" s="55" t="str">
        <f>'Todos los Codigos'!A98</f>
        <v>*DGSW036-0*</v>
      </c>
      <c r="C99" s="55" t="str">
        <f>'Todos los Codigos'!A98</f>
        <v>*DGSW036-0*</v>
      </c>
      <c r="D99" s="57" t="str">
        <f>'Todos los Codigos'!D98</f>
        <v>*DGSW036-1*</v>
      </c>
      <c r="E99" s="60" t="str">
        <f>'Todos los Codigos'!E98</f>
        <v>*DGSW036-2*</v>
      </c>
    </row>
    <row r="100" spans="1:5" ht="30" customHeight="1" x14ac:dyDescent="0.25"/>
    <row r="101" spans="1:5" ht="30" customHeight="1" x14ac:dyDescent="0.25">
      <c r="A101" s="55" t="str">
        <f>'Catalogo de Codigos '!G38</f>
        <v>*DGSW037-0*</v>
      </c>
      <c r="B101" s="55" t="str">
        <f>'Todos los Codigos'!A101</f>
        <v>*DGSW037-0*</v>
      </c>
      <c r="C101" s="55" t="str">
        <f>'Todos los Codigos'!A101</f>
        <v>*DGSW037-0*</v>
      </c>
      <c r="D101" s="57" t="str">
        <f>'Catalogo de Codigos '!H38</f>
        <v>*DGSW037-1*</v>
      </c>
      <c r="E101" s="60" t="str">
        <f>'Catalogo de Codigos '!I38</f>
        <v>*DGSW037-2*</v>
      </c>
    </row>
    <row r="102" spans="1:5" ht="30" customHeight="1" x14ac:dyDescent="0.25">
      <c r="A102" s="55" t="str">
        <f>'Todos los Codigos'!A101</f>
        <v>*DGSW037-0*</v>
      </c>
      <c r="B102" s="55" t="str">
        <f>'Todos los Codigos'!A101</f>
        <v>*DGSW037-0*</v>
      </c>
      <c r="C102" s="55" t="str">
        <f>'Todos los Codigos'!A101</f>
        <v>*DGSW037-0*</v>
      </c>
      <c r="D102" s="57" t="str">
        <f>'Todos los Codigos'!D101</f>
        <v>*DGSW037-1*</v>
      </c>
      <c r="E102" s="60" t="str">
        <f>'Todos los Codigos'!E101</f>
        <v>*DGSW037-2*</v>
      </c>
    </row>
    <row r="103" spans="1:5" ht="30" customHeight="1" x14ac:dyDescent="0.25">
      <c r="A103" s="55" t="str">
        <f>'Catalogo de Codigos '!G39</f>
        <v>*DGSW038-0*</v>
      </c>
      <c r="B103" s="55" t="str">
        <f>'Todos los Codigos'!A103</f>
        <v>*DGSW038-0*</v>
      </c>
      <c r="C103" s="55" t="str">
        <f>'Todos los Codigos'!A103</f>
        <v>*DGSW038-0*</v>
      </c>
      <c r="D103" s="57" t="str">
        <f>'Catalogo de Codigos '!H39</f>
        <v>*DGSW038-1*</v>
      </c>
      <c r="E103" s="60" t="str">
        <f>'Catalogo de Codigos '!I39</f>
        <v>*DGSW038-2*</v>
      </c>
    </row>
    <row r="104" spans="1:5" ht="30" customHeight="1" x14ac:dyDescent="0.25">
      <c r="A104" s="55" t="str">
        <f>'Todos los Codigos'!A103</f>
        <v>*DGSW038-0*</v>
      </c>
      <c r="B104" s="55" t="str">
        <f>'Todos los Codigos'!A103</f>
        <v>*DGSW038-0*</v>
      </c>
      <c r="C104" s="55" t="str">
        <f>'Todos los Codigos'!A103</f>
        <v>*DGSW038-0*</v>
      </c>
      <c r="D104" s="57" t="str">
        <f>'Todos los Codigos'!D103</f>
        <v>*DGSW038-1*</v>
      </c>
      <c r="E104" s="60" t="str">
        <f>'Todos los Codigos'!E103</f>
        <v>*DGSW038-2*</v>
      </c>
    </row>
    <row r="105" spans="1:5" ht="30" customHeight="1" x14ac:dyDescent="0.25"/>
    <row r="106" spans="1:5" ht="30" customHeight="1" x14ac:dyDescent="0.25">
      <c r="A106" s="55" t="str">
        <f>'Catalogo de Codigos '!G40</f>
        <v>*DGSW039-0*</v>
      </c>
      <c r="B106" s="55" t="str">
        <f>'Todos los Codigos'!A106</f>
        <v>*DGSW039-0*</v>
      </c>
      <c r="C106" s="55" t="str">
        <f>'Todos los Codigos'!A106</f>
        <v>*DGSW039-0*</v>
      </c>
      <c r="D106" s="57" t="str">
        <f>'Catalogo de Codigos '!H40</f>
        <v>*DGSW039-1*</v>
      </c>
      <c r="E106" s="60" t="str">
        <f>'Catalogo de Codigos '!I40</f>
        <v>*DGSW039-2*</v>
      </c>
    </row>
    <row r="107" spans="1:5" ht="30" customHeight="1" x14ac:dyDescent="0.25">
      <c r="A107" s="55" t="str">
        <f>'Todos los Codigos'!A106</f>
        <v>*DGSW039-0*</v>
      </c>
      <c r="B107" s="55" t="str">
        <f>'Todos los Codigos'!A106</f>
        <v>*DGSW039-0*</v>
      </c>
      <c r="C107" s="55" t="str">
        <f>'Todos los Codigos'!A106</f>
        <v>*DGSW039-0*</v>
      </c>
      <c r="D107" s="57" t="str">
        <f>'Todos los Codigos'!D106</f>
        <v>*DGSW039-1*</v>
      </c>
      <c r="E107" s="60" t="str">
        <f>'Todos los Codigos'!E106</f>
        <v>*DGSW039-2*</v>
      </c>
    </row>
    <row r="108" spans="1:5" ht="30" customHeight="1" x14ac:dyDescent="0.25"/>
    <row r="109" spans="1:5" ht="30" customHeight="1" x14ac:dyDescent="0.25">
      <c r="A109" s="55" t="str">
        <f>'Catalogo de Codigos '!G41</f>
        <v>*DGSW040-0*</v>
      </c>
      <c r="B109" s="55" t="str">
        <f>'Todos los Codigos'!A109</f>
        <v>*DGSW040-0*</v>
      </c>
      <c r="C109" s="55" t="str">
        <f>'Todos los Codigos'!A109</f>
        <v>*DGSW040-0*</v>
      </c>
      <c r="D109" s="57" t="str">
        <f>'Catalogo de Codigos '!H41</f>
        <v>*DGSW040-1*</v>
      </c>
      <c r="E109" s="60" t="str">
        <f>'Catalogo de Codigos '!I41</f>
        <v>*DGSW040-2*</v>
      </c>
    </row>
    <row r="110" spans="1:5" ht="30" customHeight="1" x14ac:dyDescent="0.25">
      <c r="A110" s="55" t="str">
        <f>'Todos los Codigos'!A109</f>
        <v>*DGSW040-0*</v>
      </c>
      <c r="B110" s="55" t="str">
        <f>'Todos los Codigos'!A109</f>
        <v>*DGSW040-0*</v>
      </c>
      <c r="C110" s="55" t="str">
        <f>'Todos los Codigos'!A109</f>
        <v>*DGSW040-0*</v>
      </c>
      <c r="D110" s="57" t="str">
        <f>'Todos los Codigos'!D109</f>
        <v>*DGSW040-1*</v>
      </c>
      <c r="E110" s="60" t="str">
        <f>'Todos los Codigos'!E109</f>
        <v>*DGSW040-2*</v>
      </c>
    </row>
    <row r="111" spans="1:5" ht="30" customHeight="1" x14ac:dyDescent="0.25"/>
    <row r="112" spans="1:5" ht="30" customHeight="1" x14ac:dyDescent="0.25">
      <c r="A112" s="55" t="str">
        <f>'Catalogo de Codigos '!G42</f>
        <v>*DGSW041-0*</v>
      </c>
      <c r="B112" s="55" t="str">
        <f>'Todos los Codigos'!A112</f>
        <v>*DGSW041-0*</v>
      </c>
      <c r="C112" s="55" t="str">
        <f>'Todos los Codigos'!A112</f>
        <v>*DGSW041-0*</v>
      </c>
      <c r="D112" s="57" t="str">
        <f>'Catalogo de Codigos '!H42</f>
        <v>*DGSW041-1*</v>
      </c>
      <c r="E112" s="60" t="str">
        <f>'Catalogo de Codigos '!I42</f>
        <v>*DGSW041-2*</v>
      </c>
    </row>
    <row r="113" spans="1:5" ht="30" customHeight="1" x14ac:dyDescent="0.25">
      <c r="A113" s="55" t="str">
        <f>'Todos los Codigos'!A112</f>
        <v>*DGSW041-0*</v>
      </c>
      <c r="B113" s="55" t="str">
        <f>'Todos los Codigos'!A112</f>
        <v>*DGSW041-0*</v>
      </c>
      <c r="C113" s="55" t="str">
        <f>'Todos los Codigos'!A112</f>
        <v>*DGSW041-0*</v>
      </c>
      <c r="D113" s="57" t="str">
        <f>'Todos los Codigos'!D112</f>
        <v>*DGSW041-1*</v>
      </c>
      <c r="E113" s="60" t="str">
        <f>'Todos los Codigos'!E112</f>
        <v>*DGSW041-2*</v>
      </c>
    </row>
    <row r="114" spans="1:5" ht="30" customHeight="1" x14ac:dyDescent="0.25"/>
    <row r="115" spans="1:5" ht="30" customHeight="1" x14ac:dyDescent="0.25">
      <c r="A115" s="55" t="str">
        <f>'Catalogo de Codigos '!G43</f>
        <v>*DGSW042-0*</v>
      </c>
      <c r="B115" s="55" t="str">
        <f>'Todos los Codigos'!A115</f>
        <v>*DGSW042-0*</v>
      </c>
      <c r="C115" s="55" t="str">
        <f>'Todos los Codigos'!A115</f>
        <v>*DGSW042-0*</v>
      </c>
      <c r="D115" s="57" t="str">
        <f>'Catalogo de Codigos '!H43</f>
        <v>*DGSW042-1*</v>
      </c>
      <c r="E115" s="60" t="str">
        <f>'Catalogo de Codigos '!I43</f>
        <v>*DGSW042-2*</v>
      </c>
    </row>
    <row r="116" spans="1:5" ht="30" customHeight="1" x14ac:dyDescent="0.25">
      <c r="A116" s="55" t="str">
        <f>'Todos los Codigos'!A115</f>
        <v>*DGSW042-0*</v>
      </c>
      <c r="B116" s="55" t="str">
        <f>'Todos los Codigos'!A115</f>
        <v>*DGSW042-0*</v>
      </c>
      <c r="C116" s="55" t="str">
        <f>'Todos los Codigos'!A115</f>
        <v>*DGSW042-0*</v>
      </c>
      <c r="D116" s="57" t="str">
        <f>'Todos los Codigos'!D115</f>
        <v>*DGSW042-1*</v>
      </c>
      <c r="E116" s="60" t="str">
        <f>'Todos los Codigos'!E115</f>
        <v>*DGSW042-2*</v>
      </c>
    </row>
    <row r="117" spans="1:5" ht="30" customHeight="1" x14ac:dyDescent="0.25"/>
    <row r="118" spans="1:5" ht="30" customHeight="1" x14ac:dyDescent="0.25">
      <c r="A118" s="55" t="str">
        <f>'Catalogo de Codigos '!G44</f>
        <v>*DGSW043-0*</v>
      </c>
      <c r="B118" s="55" t="str">
        <f>'Todos los Codigos'!A118</f>
        <v>*DGSW043-0*</v>
      </c>
      <c r="C118" s="55" t="str">
        <f>'Todos los Codigos'!A118</f>
        <v>*DGSW043-0*</v>
      </c>
      <c r="D118" s="57" t="str">
        <f>'Catalogo de Codigos '!H44</f>
        <v>*DGSW043-1*</v>
      </c>
      <c r="E118" s="60" t="str">
        <f>'Catalogo de Codigos '!I44</f>
        <v>*DGSW043-2*</v>
      </c>
    </row>
    <row r="119" spans="1:5" ht="30" customHeight="1" x14ac:dyDescent="0.25">
      <c r="A119" s="55" t="str">
        <f>'Todos los Codigos'!A118</f>
        <v>*DGSW043-0*</v>
      </c>
      <c r="B119" s="55" t="str">
        <f>'Todos los Codigos'!A118</f>
        <v>*DGSW043-0*</v>
      </c>
      <c r="C119" s="55" t="str">
        <f>'Todos los Codigos'!A118</f>
        <v>*DGSW043-0*</v>
      </c>
      <c r="D119" s="57" t="str">
        <f>'Todos los Codigos'!D118</f>
        <v>*DGSW043-1*</v>
      </c>
      <c r="E119" s="60" t="str">
        <f>'Todos los Codigos'!E118</f>
        <v>*DGSW043-2*</v>
      </c>
    </row>
    <row r="120" spans="1:5" ht="30" customHeight="1" x14ac:dyDescent="0.25">
      <c r="A120" s="55" t="str">
        <f>'Catalogo de Codigos '!G45</f>
        <v>*DGSW044-0*</v>
      </c>
      <c r="B120" s="55" t="str">
        <f>'Todos los Codigos'!A120</f>
        <v>*DGSW044-0*</v>
      </c>
      <c r="C120" s="55" t="str">
        <f>'Todos los Codigos'!A120</f>
        <v>*DGSW044-0*</v>
      </c>
      <c r="D120" s="57" t="str">
        <f>'Catalogo de Codigos '!H45</f>
        <v>*DGSW044-1*</v>
      </c>
      <c r="E120" s="60" t="str">
        <f>'Catalogo de Codigos '!I45</f>
        <v>*DGSW044-2*</v>
      </c>
    </row>
    <row r="121" spans="1:5" ht="30" customHeight="1" x14ac:dyDescent="0.25">
      <c r="A121" s="55" t="str">
        <f>'Todos los Codigos'!A120</f>
        <v>*DGSW044-0*</v>
      </c>
      <c r="B121" s="55" t="str">
        <f>'Todos los Codigos'!A120</f>
        <v>*DGSW044-0*</v>
      </c>
      <c r="C121" s="55" t="str">
        <f>'Todos los Codigos'!A120</f>
        <v>*DGSW044-0*</v>
      </c>
      <c r="D121" s="57" t="str">
        <f>'Todos los Codigos'!D120</f>
        <v>*DGSW044-1*</v>
      </c>
      <c r="E121" s="60" t="str">
        <f>'Todos los Codigos'!E120</f>
        <v>*DGSW044-2*</v>
      </c>
    </row>
    <row r="122" spans="1:5" ht="30" customHeight="1" x14ac:dyDescent="0.25"/>
    <row r="123" spans="1:5" ht="30" customHeight="1" x14ac:dyDescent="0.25">
      <c r="A123" s="55" t="str">
        <f>'Catalogo de Codigos '!G46</f>
        <v>*DGSW045-0*</v>
      </c>
      <c r="B123" s="55" t="str">
        <f>'Todos los Codigos'!A123</f>
        <v>*DGSW045-0*</v>
      </c>
      <c r="C123" s="55" t="str">
        <f>'Todos los Codigos'!A123</f>
        <v>*DGSW045-0*</v>
      </c>
      <c r="D123" s="57" t="str">
        <f>'Catalogo de Codigos '!H46</f>
        <v>*DGSW045-1*</v>
      </c>
      <c r="E123" s="60" t="str">
        <f>'Catalogo de Codigos '!I46</f>
        <v>*DGSW045-2*</v>
      </c>
    </row>
    <row r="124" spans="1:5" ht="30" customHeight="1" x14ac:dyDescent="0.25">
      <c r="A124" s="55" t="str">
        <f>'Todos los Codigos'!A123</f>
        <v>*DGSW045-0*</v>
      </c>
      <c r="B124" s="55" t="str">
        <f>'Todos los Codigos'!A123</f>
        <v>*DGSW045-0*</v>
      </c>
      <c r="C124" s="55" t="str">
        <f>'Todos los Codigos'!A123</f>
        <v>*DGSW045-0*</v>
      </c>
      <c r="D124" s="57" t="str">
        <f>'Todos los Codigos'!D123</f>
        <v>*DGSW045-1*</v>
      </c>
      <c r="E124" s="60" t="str">
        <f>'Todos los Codigos'!E123</f>
        <v>*DGSW045-2*</v>
      </c>
    </row>
    <row r="125" spans="1:5" ht="30" customHeight="1" x14ac:dyDescent="0.25"/>
    <row r="126" spans="1:5" ht="30" customHeight="1" x14ac:dyDescent="0.25">
      <c r="A126" s="55" t="str">
        <f>'Catalogo de Codigos '!G47</f>
        <v>*DGSW046-0*</v>
      </c>
      <c r="B126" s="55" t="str">
        <f>'Todos los Codigos'!A126</f>
        <v>*DGSW046-0*</v>
      </c>
      <c r="C126" s="55" t="str">
        <f>'Todos los Codigos'!A126</f>
        <v>*DGSW046-0*</v>
      </c>
      <c r="D126" s="57" t="str">
        <f>'Catalogo de Codigos '!H47</f>
        <v>*DGSW046-1*</v>
      </c>
      <c r="E126" s="60" t="str">
        <f>'Catalogo de Codigos '!I47</f>
        <v>*DGSW046-2*</v>
      </c>
    </row>
    <row r="127" spans="1:5" ht="30" customHeight="1" x14ac:dyDescent="0.25">
      <c r="A127" s="55" t="str">
        <f>'Todos los Codigos'!A126</f>
        <v>*DGSW046-0*</v>
      </c>
      <c r="B127" s="55" t="str">
        <f>'Todos los Codigos'!A126</f>
        <v>*DGSW046-0*</v>
      </c>
      <c r="C127" s="55" t="str">
        <f>'Todos los Codigos'!A126</f>
        <v>*DGSW046-0*</v>
      </c>
      <c r="D127" s="57" t="str">
        <f>'Todos los Codigos'!D126</f>
        <v>*DGSW046-1*</v>
      </c>
      <c r="E127" s="60" t="str">
        <f>'Todos los Codigos'!E126</f>
        <v>*DGSW046-2*</v>
      </c>
    </row>
    <row r="128" spans="1:5" ht="30" customHeight="1" x14ac:dyDescent="0.25"/>
    <row r="129" spans="1:5" ht="30" customHeight="1" x14ac:dyDescent="0.25">
      <c r="A129" s="55" t="str">
        <f>'Catalogo de Codigos '!G48</f>
        <v>*DGSW047-0*</v>
      </c>
      <c r="B129" s="55" t="str">
        <f>'Todos los Codigos'!A129</f>
        <v>*DGSW047-0*</v>
      </c>
      <c r="C129" s="55" t="str">
        <f>'Todos los Codigos'!A129</f>
        <v>*DGSW047-0*</v>
      </c>
      <c r="D129" s="57" t="str">
        <f>'Catalogo de Codigos '!H48</f>
        <v>*DGSW047-1*</v>
      </c>
      <c r="E129" s="60" t="str">
        <f>'Catalogo de Codigos '!I48</f>
        <v>*DGSW047-2*</v>
      </c>
    </row>
    <row r="130" spans="1:5" ht="30" customHeight="1" x14ac:dyDescent="0.25">
      <c r="A130" s="55" t="str">
        <f>'Todos los Codigos'!A129</f>
        <v>*DGSW047-0*</v>
      </c>
      <c r="B130" s="55" t="str">
        <f>'Todos los Codigos'!A129</f>
        <v>*DGSW047-0*</v>
      </c>
      <c r="C130" s="55" t="str">
        <f>'Todos los Codigos'!A129</f>
        <v>*DGSW047-0*</v>
      </c>
      <c r="D130" s="57" t="str">
        <f>'Todos los Codigos'!D129</f>
        <v>*DGSW047-1*</v>
      </c>
      <c r="E130" s="60" t="str">
        <f>'Todos los Codigos'!E129</f>
        <v>*DGSW047-2*</v>
      </c>
    </row>
    <row r="131" spans="1:5" ht="30" customHeight="1" x14ac:dyDescent="0.25"/>
    <row r="132" spans="1:5" ht="30" customHeight="1" x14ac:dyDescent="0.25">
      <c r="A132" s="55" t="str">
        <f>'Catalogo de Codigos '!G49</f>
        <v>*DGSW048-0*</v>
      </c>
      <c r="B132" s="55" t="str">
        <f>'Todos los Codigos'!A132</f>
        <v>*DGSW048-0*</v>
      </c>
      <c r="C132" s="55" t="str">
        <f>'Todos los Codigos'!A132</f>
        <v>*DGSW048-0*</v>
      </c>
      <c r="D132" s="57" t="str">
        <f>'Catalogo de Codigos '!H49</f>
        <v>*DGSW048-1*</v>
      </c>
      <c r="E132" s="60" t="str">
        <f>'Catalogo de Codigos '!I49</f>
        <v>*DGSW048-2*</v>
      </c>
    </row>
    <row r="133" spans="1:5" ht="30" customHeight="1" x14ac:dyDescent="0.25">
      <c r="A133" s="55" t="str">
        <f>'Todos los Codigos'!A132</f>
        <v>*DGSW048-0*</v>
      </c>
      <c r="B133" s="55" t="str">
        <f>'Todos los Codigos'!A132</f>
        <v>*DGSW048-0*</v>
      </c>
      <c r="C133" s="55" t="str">
        <f>'Todos los Codigos'!A132</f>
        <v>*DGSW048-0*</v>
      </c>
      <c r="D133" s="57" t="str">
        <f>'Todos los Codigos'!D132</f>
        <v>*DGSW048-1*</v>
      </c>
      <c r="E133" s="60" t="str">
        <f>'Todos los Codigos'!E132</f>
        <v>*DGSW048-2*</v>
      </c>
    </row>
    <row r="134" spans="1:5" ht="30" customHeight="1" x14ac:dyDescent="0.25"/>
    <row r="135" spans="1:5" ht="30" customHeight="1" x14ac:dyDescent="0.25">
      <c r="A135" s="55" t="str">
        <f>'Catalogo de Codigos '!G50</f>
        <v>*DGSW049-0*</v>
      </c>
      <c r="B135" s="55" t="str">
        <f>'Todos los Codigos'!A135</f>
        <v>*DGSW049-0*</v>
      </c>
      <c r="C135" s="55" t="str">
        <f>'Todos los Codigos'!A135</f>
        <v>*DGSW049-0*</v>
      </c>
      <c r="D135" s="57" t="str">
        <f>'Catalogo de Codigos '!H50</f>
        <v>*DGSW049-1*</v>
      </c>
      <c r="E135" s="60" t="str">
        <f>'Catalogo de Codigos '!I50</f>
        <v>*DGSW049-2*</v>
      </c>
    </row>
    <row r="136" spans="1:5" ht="30" customHeight="1" x14ac:dyDescent="0.25">
      <c r="A136" s="55" t="str">
        <f>'Todos los Codigos'!A135</f>
        <v>*DGSW049-0*</v>
      </c>
      <c r="B136" s="55" t="str">
        <f>'Todos los Codigos'!A135</f>
        <v>*DGSW049-0*</v>
      </c>
      <c r="C136" s="55" t="str">
        <f>'Todos los Codigos'!A135</f>
        <v>*DGSW049-0*</v>
      </c>
      <c r="D136" s="57" t="str">
        <f>'Todos los Codigos'!D135</f>
        <v>*DGSW049-1*</v>
      </c>
      <c r="E136" s="60" t="str">
        <f>'Todos los Codigos'!E135</f>
        <v>*DGSW049-2*</v>
      </c>
    </row>
    <row r="137" spans="1:5" ht="30" customHeight="1" x14ac:dyDescent="0.25">
      <c r="A137" s="55" t="str">
        <f>'Catalogo de Codigos '!G51</f>
        <v>*DGSW050-0*</v>
      </c>
      <c r="B137" s="55" t="str">
        <f>'Todos los Codigos'!A137</f>
        <v>*DGSW050-0*</v>
      </c>
      <c r="C137" s="55" t="str">
        <f>'Todos los Codigos'!A137</f>
        <v>*DGSW050-0*</v>
      </c>
      <c r="D137" s="57" t="str">
        <f>'Catalogo de Codigos '!H51</f>
        <v>*DGSW050-1*</v>
      </c>
      <c r="E137" s="60" t="str">
        <f>'Catalogo de Codigos '!I51</f>
        <v>*DGSW050-2*</v>
      </c>
    </row>
    <row r="138" spans="1:5" ht="30" customHeight="1" x14ac:dyDescent="0.25">
      <c r="A138" s="55" t="str">
        <f>'Todos los Codigos'!A137</f>
        <v>*DGSW050-0*</v>
      </c>
      <c r="B138" s="55" t="str">
        <f>'Todos los Codigos'!A137</f>
        <v>*DGSW050-0*</v>
      </c>
      <c r="C138" s="55" t="str">
        <f>'Todos los Codigos'!A137</f>
        <v>*DGSW050-0*</v>
      </c>
      <c r="D138" s="57" t="str">
        <f>'Todos los Codigos'!D137</f>
        <v>*DGSW050-1*</v>
      </c>
      <c r="E138" s="60" t="str">
        <f>'Todos los Codigos'!E137</f>
        <v>*DGSW050-2*</v>
      </c>
    </row>
    <row r="139" spans="1:5" ht="30" customHeight="1" x14ac:dyDescent="0.25"/>
    <row r="140" spans="1:5" ht="30" customHeight="1" x14ac:dyDescent="0.25">
      <c r="A140" s="55" t="str">
        <f>'Catalogo de Codigos '!G52</f>
        <v>*DGSW051-0*</v>
      </c>
      <c r="B140" s="55" t="str">
        <f>'Todos los Codigos'!A140</f>
        <v>*DGSW051-0*</v>
      </c>
      <c r="C140" s="55" t="str">
        <f>'Todos los Codigos'!A140</f>
        <v>*DGSW051-0*</v>
      </c>
      <c r="D140" s="57" t="str">
        <f>'Catalogo de Codigos '!H52</f>
        <v>*DGSW051-1*</v>
      </c>
      <c r="E140" s="60" t="str">
        <f>'Catalogo de Codigos '!I52</f>
        <v>*DGSW051-2*</v>
      </c>
    </row>
    <row r="141" spans="1:5" ht="30" customHeight="1" x14ac:dyDescent="0.25">
      <c r="A141" s="55" t="str">
        <f>'Todos los Codigos'!A140</f>
        <v>*DGSW051-0*</v>
      </c>
      <c r="B141" s="55" t="str">
        <f>'Todos los Codigos'!A140</f>
        <v>*DGSW051-0*</v>
      </c>
      <c r="C141" s="55" t="str">
        <f>'Todos los Codigos'!A140</f>
        <v>*DGSW051-0*</v>
      </c>
      <c r="D141" s="57" t="str">
        <f>'Todos los Codigos'!D140</f>
        <v>*DGSW051-1*</v>
      </c>
      <c r="E141" s="60" t="str">
        <f>'Todos los Codigos'!E140</f>
        <v>*DGSW051-2*</v>
      </c>
    </row>
    <row r="142" spans="1:5" ht="30" customHeight="1" x14ac:dyDescent="0.25"/>
    <row r="143" spans="1:5" ht="30" customHeight="1" x14ac:dyDescent="0.25">
      <c r="A143" s="55" t="str">
        <f>'Catalogo de Codigos '!G53</f>
        <v>*DGSW052-0*</v>
      </c>
      <c r="B143" s="55" t="str">
        <f>'Todos los Codigos'!A143</f>
        <v>*DGSW052-0*</v>
      </c>
      <c r="C143" s="55" t="str">
        <f>'Todos los Codigos'!A143</f>
        <v>*DGSW052-0*</v>
      </c>
      <c r="D143" s="57" t="str">
        <f>'Catalogo de Codigos '!H53</f>
        <v>*DGSW052-1*</v>
      </c>
      <c r="E143" s="60" t="str">
        <f>'Catalogo de Codigos '!I53</f>
        <v>*DGSW052-2*</v>
      </c>
    </row>
    <row r="144" spans="1:5" ht="30" customHeight="1" x14ac:dyDescent="0.25">
      <c r="A144" s="55" t="str">
        <f>'Todos los Codigos'!A143</f>
        <v>*DGSW052-0*</v>
      </c>
      <c r="B144" s="55" t="str">
        <f>'Todos los Codigos'!A143</f>
        <v>*DGSW052-0*</v>
      </c>
      <c r="C144" s="55" t="str">
        <f>'Todos los Codigos'!A143</f>
        <v>*DGSW052-0*</v>
      </c>
      <c r="D144" s="57" t="str">
        <f>'Todos los Codigos'!D143</f>
        <v>*DGSW052-1*</v>
      </c>
      <c r="E144" s="60" t="str">
        <f>'Todos los Codigos'!E143</f>
        <v>*DGSW052-2*</v>
      </c>
    </row>
    <row r="145" spans="1:5" ht="30" customHeight="1" x14ac:dyDescent="0.25"/>
    <row r="146" spans="1:5" ht="30" customHeight="1" x14ac:dyDescent="0.25">
      <c r="A146" s="55" t="str">
        <f>'Catalogo de Codigos '!G54</f>
        <v>*DGSW053-0*</v>
      </c>
      <c r="B146" s="55" t="str">
        <f>'Todos los Codigos'!A146</f>
        <v>*DGSW053-0*</v>
      </c>
      <c r="C146" s="55" t="str">
        <f>'Todos los Codigos'!A146</f>
        <v>*DGSW053-0*</v>
      </c>
      <c r="D146" s="57" t="str">
        <f>'Catalogo de Codigos '!H54</f>
        <v>*DGSW053-1*</v>
      </c>
      <c r="E146" s="60" t="str">
        <f>'Catalogo de Codigos '!I54</f>
        <v>*DGSW053-2*</v>
      </c>
    </row>
    <row r="147" spans="1:5" ht="30" customHeight="1" x14ac:dyDescent="0.25">
      <c r="A147" s="55" t="str">
        <f>'Todos los Codigos'!A146</f>
        <v>*DGSW053-0*</v>
      </c>
      <c r="B147" s="55" t="str">
        <f>'Todos los Codigos'!A146</f>
        <v>*DGSW053-0*</v>
      </c>
      <c r="C147" s="55" t="str">
        <f>'Todos los Codigos'!A146</f>
        <v>*DGSW053-0*</v>
      </c>
      <c r="D147" s="57" t="str">
        <f>'Todos los Codigos'!D146</f>
        <v>*DGSW053-1*</v>
      </c>
      <c r="E147" s="60" t="str">
        <f>'Todos los Codigos'!E146</f>
        <v>*DGSW053-2*</v>
      </c>
    </row>
    <row r="148" spans="1:5" ht="30" customHeight="1" x14ac:dyDescent="0.25"/>
    <row r="149" spans="1:5" ht="30" customHeight="1" x14ac:dyDescent="0.25">
      <c r="A149" s="55" t="str">
        <f>'Catalogo de Codigos '!G55</f>
        <v>*DGSW054-0*</v>
      </c>
      <c r="B149" s="55" t="str">
        <f>'Todos los Codigos'!A149</f>
        <v>*DGSW054-0*</v>
      </c>
      <c r="C149" s="55" t="str">
        <f>'Todos los Codigos'!A149</f>
        <v>*DGSW054-0*</v>
      </c>
      <c r="D149" s="57" t="str">
        <f>'Catalogo de Codigos '!H55</f>
        <v>*DGSW054-1*</v>
      </c>
      <c r="E149" s="60" t="str">
        <f>'Catalogo de Codigos '!I55</f>
        <v>*DGSW054-2*</v>
      </c>
    </row>
    <row r="150" spans="1:5" ht="30" customHeight="1" x14ac:dyDescent="0.25">
      <c r="A150" s="55" t="str">
        <f>'Todos los Codigos'!A149</f>
        <v>*DGSW054-0*</v>
      </c>
      <c r="B150" s="55" t="str">
        <f>'Todos los Codigos'!A149</f>
        <v>*DGSW054-0*</v>
      </c>
      <c r="C150" s="55" t="str">
        <f>'Todos los Codigos'!A149</f>
        <v>*DGSW054-0*</v>
      </c>
      <c r="D150" s="57" t="str">
        <f>'Todos los Codigos'!D149</f>
        <v>*DGSW054-1*</v>
      </c>
      <c r="E150" s="60" t="str">
        <f>'Todos los Codigos'!E149</f>
        <v>*DGSW054-2*</v>
      </c>
    </row>
    <row r="151" spans="1:5" ht="30" customHeight="1" x14ac:dyDescent="0.25"/>
    <row r="152" spans="1:5" ht="30" customHeight="1" x14ac:dyDescent="0.25">
      <c r="A152" s="55" t="str">
        <f>'Catalogo de Codigos '!G56</f>
        <v>*DGSW055-0*</v>
      </c>
      <c r="B152" s="55" t="str">
        <f>'Todos los Codigos'!A152</f>
        <v>*DGSW055-0*</v>
      </c>
      <c r="C152" s="55" t="str">
        <f>'Todos los Codigos'!A152</f>
        <v>*DGSW055-0*</v>
      </c>
      <c r="D152" s="57" t="str">
        <f>'Catalogo de Codigos '!H56</f>
        <v>*DGSW055-1*</v>
      </c>
      <c r="E152" s="60" t="str">
        <f>'Catalogo de Codigos '!I56</f>
        <v>*DGSW055-2*</v>
      </c>
    </row>
    <row r="153" spans="1:5" ht="30" customHeight="1" x14ac:dyDescent="0.25">
      <c r="A153" s="55" t="str">
        <f>'Todos los Codigos'!A152</f>
        <v>*DGSW055-0*</v>
      </c>
      <c r="B153" s="55" t="str">
        <f>'Todos los Codigos'!A152</f>
        <v>*DGSW055-0*</v>
      </c>
      <c r="C153" s="55" t="str">
        <f>'Todos los Codigos'!A152</f>
        <v>*DGSW055-0*</v>
      </c>
      <c r="D153" s="57" t="str">
        <f>'Todos los Codigos'!D152</f>
        <v>*DGSW055-1*</v>
      </c>
      <c r="E153" s="60" t="str">
        <f>'Todos los Codigos'!E152</f>
        <v>*DGSW055-2*</v>
      </c>
    </row>
    <row r="154" spans="1:5" ht="30" customHeight="1" x14ac:dyDescent="0.25">
      <c r="A154" s="55" t="str">
        <f>'Catalogo de Codigos '!G57</f>
        <v>*DGSW056-0*</v>
      </c>
      <c r="B154" s="55" t="str">
        <f>'Todos los Codigos'!A154</f>
        <v>*DGSW056-0*</v>
      </c>
      <c r="C154" s="55" t="str">
        <f>'Todos los Codigos'!A154</f>
        <v>*DGSW056-0*</v>
      </c>
      <c r="D154" s="57" t="str">
        <f>'Catalogo de Codigos '!H57</f>
        <v>*DGSW056-1*</v>
      </c>
      <c r="E154" s="60" t="str">
        <f>'Catalogo de Codigos '!I57</f>
        <v>*DGSW056-2*</v>
      </c>
    </row>
    <row r="155" spans="1:5" ht="30" customHeight="1" x14ac:dyDescent="0.25">
      <c r="A155" s="55" t="str">
        <f>'Todos los Codigos'!A154</f>
        <v>*DGSW056-0*</v>
      </c>
      <c r="B155" s="55" t="str">
        <f>'Todos los Codigos'!A154</f>
        <v>*DGSW056-0*</v>
      </c>
      <c r="C155" s="55" t="str">
        <f>'Todos los Codigos'!A154</f>
        <v>*DGSW056-0*</v>
      </c>
      <c r="D155" s="57" t="str">
        <f>'Todos los Codigos'!D154</f>
        <v>*DGSW056-1*</v>
      </c>
      <c r="E155" s="60" t="str">
        <f>'Todos los Codigos'!E154</f>
        <v>*DGSW056-2*</v>
      </c>
    </row>
    <row r="156" spans="1:5" ht="30" customHeight="1" x14ac:dyDescent="0.25"/>
    <row r="157" spans="1:5" ht="30" customHeight="1" x14ac:dyDescent="0.25">
      <c r="A157" s="55" t="str">
        <f>'Catalogo de Codigos '!G58</f>
        <v>*DGSW057-0*</v>
      </c>
      <c r="B157" s="55" t="str">
        <f>'Todos los Codigos'!A157</f>
        <v>*DGSW057-0*</v>
      </c>
      <c r="C157" s="55" t="str">
        <f>'Todos los Codigos'!A157</f>
        <v>*DGSW057-0*</v>
      </c>
      <c r="D157" s="57" t="str">
        <f>'Catalogo de Codigos '!H58</f>
        <v>*DGSW057-1*</v>
      </c>
      <c r="E157" s="60" t="str">
        <f>'Catalogo de Codigos '!I58</f>
        <v>*DGSW057-2*</v>
      </c>
    </row>
    <row r="158" spans="1:5" ht="30" customHeight="1" x14ac:dyDescent="0.25">
      <c r="A158" s="55" t="str">
        <f>'Todos los Codigos'!A157</f>
        <v>*DGSW057-0*</v>
      </c>
      <c r="B158" s="55" t="str">
        <f>'Todos los Codigos'!A157</f>
        <v>*DGSW057-0*</v>
      </c>
      <c r="C158" s="55" t="str">
        <f>'Todos los Codigos'!A157</f>
        <v>*DGSW057-0*</v>
      </c>
      <c r="D158" s="57" t="str">
        <f>'Todos los Codigos'!D157</f>
        <v>*DGSW057-1*</v>
      </c>
      <c r="E158" s="60" t="str">
        <f>'Todos los Codigos'!E157</f>
        <v>*DGSW057-2*</v>
      </c>
    </row>
    <row r="159" spans="1:5" ht="30" customHeight="1" x14ac:dyDescent="0.25"/>
    <row r="160" spans="1:5" ht="30" customHeight="1" x14ac:dyDescent="0.25">
      <c r="A160" s="55" t="str">
        <f>'Catalogo de Codigos '!G59</f>
        <v>*DGSW058-0*</v>
      </c>
      <c r="B160" s="55" t="str">
        <f>'Todos los Codigos'!A160</f>
        <v>*DGSW058-0*</v>
      </c>
      <c r="C160" s="55" t="str">
        <f>'Todos los Codigos'!A160</f>
        <v>*DGSW058-0*</v>
      </c>
      <c r="D160" s="57" t="str">
        <f>'Catalogo de Codigos '!H59</f>
        <v>*DGSW058-1*</v>
      </c>
      <c r="E160" s="60" t="str">
        <f>'Catalogo de Codigos '!I59</f>
        <v>*DGSW058-2*</v>
      </c>
    </row>
    <row r="161" spans="1:5" ht="30" customHeight="1" x14ac:dyDescent="0.25">
      <c r="A161" s="55" t="str">
        <f>'Todos los Codigos'!A160</f>
        <v>*DGSW058-0*</v>
      </c>
      <c r="B161" s="55" t="str">
        <f>'Todos los Codigos'!A160</f>
        <v>*DGSW058-0*</v>
      </c>
      <c r="C161" s="55" t="str">
        <f>'Todos los Codigos'!A160</f>
        <v>*DGSW058-0*</v>
      </c>
      <c r="D161" s="57" t="str">
        <f>'Todos los Codigos'!D160</f>
        <v>*DGSW058-1*</v>
      </c>
      <c r="E161" s="60" t="str">
        <f>'Todos los Codigos'!E160</f>
        <v>*DGSW058-2*</v>
      </c>
    </row>
    <row r="162" spans="1:5" ht="30" customHeight="1" x14ac:dyDescent="0.25"/>
    <row r="163" spans="1:5" ht="30" customHeight="1" x14ac:dyDescent="0.25">
      <c r="A163" s="55" t="str">
        <f>'Catalogo de Codigos '!G60</f>
        <v>*DGSW059-0*</v>
      </c>
      <c r="B163" s="55" t="str">
        <f>'Todos los Codigos'!A163</f>
        <v>*DGSW059-0*</v>
      </c>
      <c r="C163" s="55" t="str">
        <f>'Todos los Codigos'!A163</f>
        <v>*DGSW059-0*</v>
      </c>
      <c r="D163" s="57" t="str">
        <f>'Catalogo de Codigos '!H60</f>
        <v>*DGSW059-1*</v>
      </c>
      <c r="E163" s="60" t="str">
        <f>'Catalogo de Codigos '!I60</f>
        <v>*DGSW059-2*</v>
      </c>
    </row>
    <row r="164" spans="1:5" ht="30" customHeight="1" x14ac:dyDescent="0.25">
      <c r="A164" s="55" t="str">
        <f>'Todos los Codigos'!A163</f>
        <v>*DGSW059-0*</v>
      </c>
      <c r="B164" s="55" t="str">
        <f>'Todos los Codigos'!A163</f>
        <v>*DGSW059-0*</v>
      </c>
      <c r="C164" s="55" t="str">
        <f>'Todos los Codigos'!A163</f>
        <v>*DGSW059-0*</v>
      </c>
      <c r="D164" s="57" t="str">
        <f>'Todos los Codigos'!D163</f>
        <v>*DGSW059-1*</v>
      </c>
      <c r="E164" s="60" t="str">
        <f>'Todos los Codigos'!E163</f>
        <v>*DGSW059-2*</v>
      </c>
    </row>
    <row r="165" spans="1:5" ht="30" customHeight="1" x14ac:dyDescent="0.25"/>
    <row r="166" spans="1:5" ht="30" customHeight="1" x14ac:dyDescent="0.25">
      <c r="A166" s="55" t="str">
        <f>'Catalogo de Codigos '!G61</f>
        <v>*DGSW060-0*</v>
      </c>
      <c r="B166" s="55" t="str">
        <f>'Todos los Codigos'!A166</f>
        <v>*DGSW060-0*</v>
      </c>
      <c r="C166" s="55" t="str">
        <f>'Todos los Codigos'!A166</f>
        <v>*DGSW060-0*</v>
      </c>
      <c r="D166" s="57" t="str">
        <f>'Catalogo de Codigos '!H61</f>
        <v>*DGSW060-1*</v>
      </c>
      <c r="E166" s="60" t="str">
        <f>'Catalogo de Codigos '!I61</f>
        <v>*DGSW060-2*</v>
      </c>
    </row>
    <row r="167" spans="1:5" ht="30" customHeight="1" x14ac:dyDescent="0.25">
      <c r="A167" s="55" t="str">
        <f>'Todos los Codigos'!A166</f>
        <v>*DGSW060-0*</v>
      </c>
      <c r="B167" s="55" t="str">
        <f>'Todos los Codigos'!A166</f>
        <v>*DGSW060-0*</v>
      </c>
      <c r="C167" s="55" t="str">
        <f>'Todos los Codigos'!A166</f>
        <v>*DGSW060-0*</v>
      </c>
      <c r="D167" s="57" t="str">
        <f>'Todos los Codigos'!D166</f>
        <v>*DGSW060-1*</v>
      </c>
      <c r="E167" s="60" t="str">
        <f>'Todos los Codigos'!E166</f>
        <v>*DGSW060-2*</v>
      </c>
    </row>
    <row r="168" spans="1:5" ht="30" customHeight="1" x14ac:dyDescent="0.25"/>
    <row r="169" spans="1:5" ht="30" customHeight="1" x14ac:dyDescent="0.25">
      <c r="A169" s="55" t="str">
        <f>'Catalogo de Codigos '!G62</f>
        <v>*DGSW061-0*</v>
      </c>
      <c r="B169" s="55" t="str">
        <f>'Todos los Codigos'!A169</f>
        <v>*DGSW061-0*</v>
      </c>
      <c r="C169" s="55" t="str">
        <f>'Todos los Codigos'!A169</f>
        <v>*DGSW061-0*</v>
      </c>
      <c r="D169" s="57" t="str">
        <f>'Catalogo de Codigos '!H62</f>
        <v>*DGSW061-1*</v>
      </c>
      <c r="E169" s="60" t="str">
        <f>'Catalogo de Codigos '!I62</f>
        <v>*DGSW061-2*</v>
      </c>
    </row>
    <row r="170" spans="1:5" ht="30" customHeight="1" x14ac:dyDescent="0.25">
      <c r="A170" s="55" t="str">
        <f>'Todos los Codigos'!A169</f>
        <v>*DGSW061-0*</v>
      </c>
      <c r="B170" s="55" t="str">
        <f>'Todos los Codigos'!A169</f>
        <v>*DGSW061-0*</v>
      </c>
      <c r="C170" s="55" t="str">
        <f>'Todos los Codigos'!A169</f>
        <v>*DGSW061-0*</v>
      </c>
      <c r="D170" s="57" t="str">
        <f>'Todos los Codigos'!D169</f>
        <v>*DGSW061-1*</v>
      </c>
      <c r="E170" s="60" t="str">
        <f>'Todos los Codigos'!E169</f>
        <v>*DGSW061-2*</v>
      </c>
    </row>
    <row r="171" spans="1:5" ht="30" customHeight="1" x14ac:dyDescent="0.25">
      <c r="A171" s="55" t="str">
        <f>'Catalogo de Codigos '!G63</f>
        <v>*DGSW062-0*</v>
      </c>
      <c r="B171" s="55" t="str">
        <f>'Todos los Codigos'!A171</f>
        <v>*DGSW062-0*</v>
      </c>
      <c r="C171" s="55" t="str">
        <f>'Todos los Codigos'!A171</f>
        <v>*DGSW062-0*</v>
      </c>
      <c r="D171" s="57" t="str">
        <f>'Catalogo de Codigos '!H63</f>
        <v>*DGSW062-1*</v>
      </c>
      <c r="E171" s="60" t="str">
        <f>'Catalogo de Codigos '!I63</f>
        <v>*DGSW062-2*</v>
      </c>
    </row>
    <row r="172" spans="1:5" ht="30" customHeight="1" x14ac:dyDescent="0.25">
      <c r="A172" s="55" t="str">
        <f>'Todos los Codigos'!A171</f>
        <v>*DGSW062-0*</v>
      </c>
      <c r="B172" s="55" t="str">
        <f>'Todos los Codigos'!A171</f>
        <v>*DGSW062-0*</v>
      </c>
      <c r="C172" s="55" t="str">
        <f>'Todos los Codigos'!A171</f>
        <v>*DGSW062-0*</v>
      </c>
      <c r="D172" s="57" t="str">
        <f>'Todos los Codigos'!D171</f>
        <v>*DGSW062-1*</v>
      </c>
      <c r="E172" s="60" t="str">
        <f>'Todos los Codigos'!E171</f>
        <v>*DGSW062-2*</v>
      </c>
    </row>
    <row r="173" spans="1:5" ht="30" customHeight="1" x14ac:dyDescent="0.25"/>
    <row r="174" spans="1:5" ht="30" customHeight="1" x14ac:dyDescent="0.25">
      <c r="A174" s="55" t="str">
        <f>'Catalogo de Codigos '!G64</f>
        <v>*DGSW063-0*</v>
      </c>
      <c r="B174" s="55" t="str">
        <f>'Todos los Codigos'!A174</f>
        <v>*DGSW063-0*</v>
      </c>
      <c r="C174" s="55" t="str">
        <f>'Todos los Codigos'!A174</f>
        <v>*DGSW063-0*</v>
      </c>
      <c r="D174" s="57" t="str">
        <f>'Catalogo de Codigos '!H64</f>
        <v>*DGSW063-1*</v>
      </c>
      <c r="E174" s="60" t="str">
        <f>'Catalogo de Codigos '!I64</f>
        <v>*DGSW063-2*</v>
      </c>
    </row>
    <row r="175" spans="1:5" ht="30" customHeight="1" x14ac:dyDescent="0.25">
      <c r="A175" s="55" t="str">
        <f>'Todos los Codigos'!A174</f>
        <v>*DGSW063-0*</v>
      </c>
      <c r="B175" s="55" t="str">
        <f>'Todos los Codigos'!A174</f>
        <v>*DGSW063-0*</v>
      </c>
      <c r="C175" s="55" t="str">
        <f>'Todos los Codigos'!A174</f>
        <v>*DGSW063-0*</v>
      </c>
      <c r="D175" s="57" t="str">
        <f>'Todos los Codigos'!D174</f>
        <v>*DGSW063-1*</v>
      </c>
      <c r="E175" s="60" t="str">
        <f>'Todos los Codigos'!E174</f>
        <v>*DGSW063-2*</v>
      </c>
    </row>
    <row r="176" spans="1:5" ht="30" customHeight="1" x14ac:dyDescent="0.25"/>
    <row r="177" spans="1:5" ht="30" customHeight="1" x14ac:dyDescent="0.25">
      <c r="A177" s="55" t="str">
        <f>'Catalogo de Codigos '!G65</f>
        <v>*DGSW064-0*</v>
      </c>
      <c r="B177" s="55" t="str">
        <f>'Todos los Codigos'!A177</f>
        <v>*DGSW064-0*</v>
      </c>
      <c r="C177" s="55" t="str">
        <f>'Todos los Codigos'!A177</f>
        <v>*DGSW064-0*</v>
      </c>
      <c r="D177" s="57" t="str">
        <f>'Catalogo de Codigos '!H65</f>
        <v>*DGSW064-1*</v>
      </c>
      <c r="E177" s="60" t="str">
        <f>'Catalogo de Codigos '!I65</f>
        <v>*DGSW064-2*</v>
      </c>
    </row>
    <row r="178" spans="1:5" ht="30" customHeight="1" x14ac:dyDescent="0.25">
      <c r="A178" s="55" t="str">
        <f>'Todos los Codigos'!A177</f>
        <v>*DGSW064-0*</v>
      </c>
      <c r="B178" s="55" t="str">
        <f>'Todos los Codigos'!A177</f>
        <v>*DGSW064-0*</v>
      </c>
      <c r="C178" s="55" t="str">
        <f>'Todos los Codigos'!A177</f>
        <v>*DGSW064-0*</v>
      </c>
      <c r="D178" s="57" t="str">
        <f>'Todos los Codigos'!D177</f>
        <v>*DGSW064-1*</v>
      </c>
      <c r="E178" s="60" t="str">
        <f>'Todos los Codigos'!E177</f>
        <v>*DGSW064-2*</v>
      </c>
    </row>
    <row r="179" spans="1:5" ht="30" customHeight="1" x14ac:dyDescent="0.25"/>
    <row r="180" spans="1:5" ht="30" customHeight="1" x14ac:dyDescent="0.25">
      <c r="A180" s="55" t="str">
        <f>'Catalogo de Codigos '!G66</f>
        <v>*DGSW065-0*</v>
      </c>
      <c r="B180" s="55" t="str">
        <f>'Todos los Codigos'!A180</f>
        <v>*DGSW065-0*</v>
      </c>
      <c r="C180" s="55" t="str">
        <f>'Todos los Codigos'!A180</f>
        <v>*DGSW065-0*</v>
      </c>
      <c r="D180" s="57" t="str">
        <f>'Catalogo de Codigos '!H66</f>
        <v>*DGSW065-1*</v>
      </c>
      <c r="E180" s="60" t="str">
        <f>'Catalogo de Codigos '!I66</f>
        <v>*DGSW065-2*</v>
      </c>
    </row>
    <row r="181" spans="1:5" ht="30" customHeight="1" x14ac:dyDescent="0.25">
      <c r="A181" s="55" t="str">
        <f>'Todos los Codigos'!A180</f>
        <v>*DGSW065-0*</v>
      </c>
      <c r="B181" s="55" t="str">
        <f>'Todos los Codigos'!A180</f>
        <v>*DGSW065-0*</v>
      </c>
      <c r="C181" s="55" t="str">
        <f>'Todos los Codigos'!A180</f>
        <v>*DGSW065-0*</v>
      </c>
      <c r="D181" s="57" t="str">
        <f>'Todos los Codigos'!D180</f>
        <v>*DGSW065-1*</v>
      </c>
      <c r="E181" s="60" t="str">
        <f>'Todos los Codigos'!E180</f>
        <v>*DGSW065-2*</v>
      </c>
    </row>
    <row r="182" spans="1:5" ht="30" customHeight="1" x14ac:dyDescent="0.25"/>
    <row r="183" spans="1:5" ht="30" customHeight="1" x14ac:dyDescent="0.25">
      <c r="A183" s="55" t="str">
        <f>'Catalogo de Codigos '!G67</f>
        <v>*DGSW066-0*</v>
      </c>
      <c r="B183" s="55" t="str">
        <f>'Todos los Codigos'!A183</f>
        <v>*DGSW066-0*</v>
      </c>
      <c r="C183" s="55" t="str">
        <f>'Todos los Codigos'!A183</f>
        <v>*DGSW066-0*</v>
      </c>
      <c r="D183" s="57" t="str">
        <f>'Catalogo de Codigos '!H67</f>
        <v>*DGSW066-1*</v>
      </c>
      <c r="E183" s="60" t="str">
        <f>'Catalogo de Codigos '!I67</f>
        <v>*DGSW066-2*</v>
      </c>
    </row>
    <row r="184" spans="1:5" ht="30" customHeight="1" x14ac:dyDescent="0.25">
      <c r="A184" s="55" t="str">
        <f>'Todos los Codigos'!A183</f>
        <v>*DGSW066-0*</v>
      </c>
      <c r="B184" s="55" t="str">
        <f>'Todos los Codigos'!A183</f>
        <v>*DGSW066-0*</v>
      </c>
      <c r="C184" s="55" t="str">
        <f>'Todos los Codigos'!A183</f>
        <v>*DGSW066-0*</v>
      </c>
      <c r="D184" s="57" t="str">
        <f>'Todos los Codigos'!D183</f>
        <v>*DGSW066-1*</v>
      </c>
      <c r="E184" s="60" t="str">
        <f>'Todos los Codigos'!E183</f>
        <v>*DGSW066-2*</v>
      </c>
    </row>
    <row r="185" spans="1:5" ht="30" customHeight="1" x14ac:dyDescent="0.25"/>
    <row r="186" spans="1:5" ht="30" customHeight="1" x14ac:dyDescent="0.25">
      <c r="A186" s="55" t="str">
        <f>'Catalogo de Codigos '!G68</f>
        <v>*DGSW067-0*</v>
      </c>
      <c r="B186" s="55" t="str">
        <f>'Todos los Codigos'!A186</f>
        <v>*DGSW067-0*</v>
      </c>
      <c r="C186" s="55" t="str">
        <f>'Todos los Codigos'!A186</f>
        <v>*DGSW067-0*</v>
      </c>
      <c r="D186" s="57" t="str">
        <f>'Catalogo de Codigos '!H68</f>
        <v>*DGSW067-1*</v>
      </c>
      <c r="E186" s="60" t="str">
        <f>'Catalogo de Codigos '!I68</f>
        <v>*DGSW067-2*</v>
      </c>
    </row>
    <row r="187" spans="1:5" ht="30" customHeight="1" x14ac:dyDescent="0.25">
      <c r="A187" s="55" t="str">
        <f>'Todos los Codigos'!A186</f>
        <v>*DGSW067-0*</v>
      </c>
      <c r="B187" s="55" t="str">
        <f>'Todos los Codigos'!A186</f>
        <v>*DGSW067-0*</v>
      </c>
      <c r="C187" s="55" t="str">
        <f>'Todos los Codigos'!A186</f>
        <v>*DGSW067-0*</v>
      </c>
      <c r="D187" s="57" t="str">
        <f>'Todos los Codigos'!D186</f>
        <v>*DGSW067-1*</v>
      </c>
      <c r="E187" s="60" t="str">
        <f>'Todos los Codigos'!E186</f>
        <v>*DGSW067-2*</v>
      </c>
    </row>
    <row r="188" spans="1:5" ht="30" customHeight="1" x14ac:dyDescent="0.25">
      <c r="A188" s="55" t="str">
        <f>'Catalogo de Codigos '!G69</f>
        <v>*DGSW068-0*</v>
      </c>
      <c r="B188" s="55" t="str">
        <f>'Todos los Codigos'!A188</f>
        <v>*DGSW068-0*</v>
      </c>
      <c r="C188" s="55" t="str">
        <f>'Todos los Codigos'!A188</f>
        <v>*DGSW068-0*</v>
      </c>
      <c r="D188" s="57" t="str">
        <f>'Catalogo de Codigos '!H69</f>
        <v>*DGSW068-1*</v>
      </c>
      <c r="E188" s="60" t="str">
        <f>'Catalogo de Codigos '!I69</f>
        <v>*DGSW068-2*</v>
      </c>
    </row>
    <row r="189" spans="1:5" ht="30" customHeight="1" x14ac:dyDescent="0.25">
      <c r="A189" s="55" t="str">
        <f>'Todos los Codigos'!A188</f>
        <v>*DGSW068-0*</v>
      </c>
      <c r="B189" s="55" t="str">
        <f>'Todos los Codigos'!A188</f>
        <v>*DGSW068-0*</v>
      </c>
      <c r="C189" s="55" t="str">
        <f>'Todos los Codigos'!A188</f>
        <v>*DGSW068-0*</v>
      </c>
      <c r="D189" s="57" t="str">
        <f>'Todos los Codigos'!D188</f>
        <v>*DGSW068-1*</v>
      </c>
      <c r="E189" s="60" t="str">
        <f>'Todos los Codigos'!E188</f>
        <v>*DGSW068-2*</v>
      </c>
    </row>
    <row r="190" spans="1:5" ht="30" customHeight="1" x14ac:dyDescent="0.25"/>
    <row r="191" spans="1:5" ht="30" customHeight="1" x14ac:dyDescent="0.25">
      <c r="A191" s="55" t="str">
        <f>'Catalogo de Codigos '!G70</f>
        <v>*DGSW069-0*</v>
      </c>
      <c r="B191" s="55" t="str">
        <f>'Todos los Codigos'!A191</f>
        <v>*DGSW069-0*</v>
      </c>
      <c r="C191" s="55" t="str">
        <f>'Todos los Codigos'!A191</f>
        <v>*DGSW069-0*</v>
      </c>
      <c r="D191" s="57" t="str">
        <f>'Catalogo de Codigos '!H70</f>
        <v>*DGSW069-1*</v>
      </c>
      <c r="E191" s="60" t="str">
        <f>'Catalogo de Codigos '!I70</f>
        <v>*DGSW069-2*</v>
      </c>
    </row>
    <row r="192" spans="1:5" ht="30" customHeight="1" x14ac:dyDescent="0.25">
      <c r="A192" s="55" t="str">
        <f>'Todos los Codigos'!A191</f>
        <v>*DGSW069-0*</v>
      </c>
      <c r="B192" s="55" t="str">
        <f>'Todos los Codigos'!A191</f>
        <v>*DGSW069-0*</v>
      </c>
      <c r="C192" s="55" t="str">
        <f>'Todos los Codigos'!A191</f>
        <v>*DGSW069-0*</v>
      </c>
      <c r="D192" s="57" t="str">
        <f>'Todos los Codigos'!D191</f>
        <v>*DGSW069-1*</v>
      </c>
      <c r="E192" s="60" t="str">
        <f>'Todos los Codigos'!E191</f>
        <v>*DGSW069-2*</v>
      </c>
    </row>
    <row r="193" spans="1:5" ht="30" customHeight="1" x14ac:dyDescent="0.25"/>
    <row r="194" spans="1:5" ht="30" customHeight="1" x14ac:dyDescent="0.25">
      <c r="A194" s="55" t="str">
        <f>'Catalogo de Codigos '!G71</f>
        <v>*DGSW070-0*</v>
      </c>
      <c r="B194" s="55" t="str">
        <f>'Todos los Codigos'!A194</f>
        <v>*DGSW070-0*</v>
      </c>
      <c r="C194" s="55" t="str">
        <f>'Todos los Codigos'!A194</f>
        <v>*DGSW070-0*</v>
      </c>
      <c r="D194" s="57" t="str">
        <f>'Catalogo de Codigos '!H71</f>
        <v>*DGSW070-1*</v>
      </c>
      <c r="E194" s="60" t="str">
        <f>'Catalogo de Codigos '!I71</f>
        <v>*DGSW070-2*</v>
      </c>
    </row>
    <row r="195" spans="1:5" ht="30" customHeight="1" x14ac:dyDescent="0.25">
      <c r="A195" s="55" t="str">
        <f>'Todos los Codigos'!A194</f>
        <v>*DGSW070-0*</v>
      </c>
      <c r="B195" s="55" t="str">
        <f>'Todos los Codigos'!A194</f>
        <v>*DGSW070-0*</v>
      </c>
      <c r="C195" s="55" t="str">
        <f>'Todos los Codigos'!A194</f>
        <v>*DGSW070-0*</v>
      </c>
      <c r="D195" s="57" t="str">
        <f>'Todos los Codigos'!D194</f>
        <v>*DGSW070-1*</v>
      </c>
      <c r="E195" s="60" t="str">
        <f>'Todos los Codigos'!E194</f>
        <v>*DGSW070-2*</v>
      </c>
    </row>
    <row r="196" spans="1:5" ht="30" customHeight="1" x14ac:dyDescent="0.25"/>
    <row r="197" spans="1:5" ht="30" customHeight="1" x14ac:dyDescent="0.25">
      <c r="A197" s="55" t="str">
        <f>'Catalogo de Codigos '!G72</f>
        <v>*DGSW071-0*</v>
      </c>
      <c r="B197" s="55" t="str">
        <f>'Todos los Codigos'!A197</f>
        <v>*DGSW071-0*</v>
      </c>
      <c r="C197" s="55" t="str">
        <f>'Todos los Codigos'!A197</f>
        <v>*DGSW071-0*</v>
      </c>
      <c r="D197" s="57" t="str">
        <f>'Catalogo de Codigos '!H72</f>
        <v>*DGSW071-1*</v>
      </c>
      <c r="E197" s="60" t="str">
        <f>'Catalogo de Codigos '!I72</f>
        <v>*DGSW071-2*</v>
      </c>
    </row>
    <row r="198" spans="1:5" ht="30" customHeight="1" x14ac:dyDescent="0.25">
      <c r="A198" s="55" t="str">
        <f>'Todos los Codigos'!A197</f>
        <v>*DGSW071-0*</v>
      </c>
      <c r="B198" s="55" t="str">
        <f>'Todos los Codigos'!A197</f>
        <v>*DGSW071-0*</v>
      </c>
      <c r="C198" s="55" t="str">
        <f>'Todos los Codigos'!A197</f>
        <v>*DGSW071-0*</v>
      </c>
      <c r="D198" s="57" t="str">
        <f>'Todos los Codigos'!D197</f>
        <v>*DGSW071-1*</v>
      </c>
      <c r="E198" s="60" t="str">
        <f>'Todos los Codigos'!E197</f>
        <v>*DGSW071-2*</v>
      </c>
    </row>
    <row r="199" spans="1:5" ht="30" customHeight="1" x14ac:dyDescent="0.25"/>
    <row r="200" spans="1:5" ht="30" customHeight="1" x14ac:dyDescent="0.25">
      <c r="A200" s="55" t="str">
        <f>'Catalogo de Codigos '!G73</f>
        <v>*DGSW072-0*</v>
      </c>
      <c r="B200" s="55" t="str">
        <f>'Todos los Codigos'!A200</f>
        <v>*DGSW072-0*</v>
      </c>
      <c r="C200" s="55" t="str">
        <f>'Todos los Codigos'!A200</f>
        <v>*DGSW072-0*</v>
      </c>
      <c r="D200" s="57" t="str">
        <f>'Catalogo de Codigos '!H73</f>
        <v>*DGSW072-1*</v>
      </c>
      <c r="E200" s="60" t="str">
        <f>'Catalogo de Codigos '!I73</f>
        <v>*DGSW072-2*</v>
      </c>
    </row>
    <row r="201" spans="1:5" ht="30" customHeight="1" x14ac:dyDescent="0.25">
      <c r="A201" s="55" t="str">
        <f>'Todos los Codigos'!A200</f>
        <v>*DGSW072-0*</v>
      </c>
      <c r="B201" s="55" t="str">
        <f>'Todos los Codigos'!A200</f>
        <v>*DGSW072-0*</v>
      </c>
      <c r="C201" s="55" t="str">
        <f>'Todos los Codigos'!A200</f>
        <v>*DGSW072-0*</v>
      </c>
      <c r="D201" s="57" t="str">
        <f>'Todos los Codigos'!D200</f>
        <v>*DGSW072-1*</v>
      </c>
      <c r="E201" s="60" t="str">
        <f>'Todos los Codigos'!E200</f>
        <v>*DGSW072-2*</v>
      </c>
    </row>
    <row r="202" spans="1:5" ht="30" customHeight="1" x14ac:dyDescent="0.25"/>
    <row r="203" spans="1:5" ht="30" customHeight="1" x14ac:dyDescent="0.25">
      <c r="A203" s="55" t="str">
        <f>'Catalogo de Codigos '!G74</f>
        <v>*DGSW073-0*</v>
      </c>
      <c r="B203" s="55" t="str">
        <f>'Todos los Codigos'!A203</f>
        <v>*DGSW073-0*</v>
      </c>
      <c r="C203" s="55" t="str">
        <f>'Todos los Codigos'!A203</f>
        <v>*DGSW073-0*</v>
      </c>
      <c r="D203" s="57" t="str">
        <f>'Catalogo de Codigos '!H74</f>
        <v>*DGSW073-1*</v>
      </c>
      <c r="E203" s="60" t="str">
        <f>'Catalogo de Codigos '!I74</f>
        <v>*DGSW073-2*</v>
      </c>
    </row>
    <row r="204" spans="1:5" ht="30" customHeight="1" x14ac:dyDescent="0.25">
      <c r="A204" s="55" t="str">
        <f>'Todos los Codigos'!A203</f>
        <v>*DGSW073-0*</v>
      </c>
      <c r="B204" s="55" t="str">
        <f>'Todos los Codigos'!A203</f>
        <v>*DGSW073-0*</v>
      </c>
      <c r="C204" s="55" t="str">
        <f>'Todos los Codigos'!A203</f>
        <v>*DGSW073-0*</v>
      </c>
      <c r="D204" s="57" t="str">
        <f>'Todos los Codigos'!D203</f>
        <v>*DGSW073-1*</v>
      </c>
      <c r="E204" s="60" t="str">
        <f>'Todos los Codigos'!E203</f>
        <v>*DGSW073-2*</v>
      </c>
    </row>
    <row r="205" spans="1:5" ht="30" customHeight="1" x14ac:dyDescent="0.25">
      <c r="A205" s="55" t="str">
        <f>'Catalogo de Codigos '!G75</f>
        <v>*DGSW074-0*</v>
      </c>
      <c r="B205" s="55" t="str">
        <f>'Todos los Codigos'!A205</f>
        <v>*DGSW074-0*</v>
      </c>
      <c r="C205" s="55" t="str">
        <f>'Todos los Codigos'!A205</f>
        <v>*DGSW074-0*</v>
      </c>
      <c r="D205" s="57" t="str">
        <f>'Catalogo de Codigos '!H75</f>
        <v>*DGSW074-1*</v>
      </c>
      <c r="E205" s="60" t="str">
        <f>'Catalogo de Codigos '!I75</f>
        <v>*DGSW074-2*</v>
      </c>
    </row>
    <row r="206" spans="1:5" ht="30" customHeight="1" x14ac:dyDescent="0.25">
      <c r="A206" s="55" t="str">
        <f>'Todos los Codigos'!A205</f>
        <v>*DGSW074-0*</v>
      </c>
      <c r="B206" s="55" t="str">
        <f>'Todos los Codigos'!A205</f>
        <v>*DGSW074-0*</v>
      </c>
      <c r="C206" s="55" t="str">
        <f>'Todos los Codigos'!A205</f>
        <v>*DGSW074-0*</v>
      </c>
      <c r="D206" s="57" t="str">
        <f>'Todos los Codigos'!D205</f>
        <v>*DGSW074-1*</v>
      </c>
      <c r="E206" s="60" t="str">
        <f>'Todos los Codigos'!E205</f>
        <v>*DGSW074-2*</v>
      </c>
    </row>
    <row r="207" spans="1:5" ht="30" customHeight="1" x14ac:dyDescent="0.25"/>
    <row r="208" spans="1:5" ht="30" customHeight="1" x14ac:dyDescent="0.25">
      <c r="A208" s="55" t="str">
        <f>'Catalogo de Codigos '!G76</f>
        <v>*DGSW075-0*</v>
      </c>
      <c r="B208" s="55" t="str">
        <f>'Todos los Codigos'!A208</f>
        <v>*DGSW075-0*</v>
      </c>
      <c r="C208" s="55" t="str">
        <f>'Todos los Codigos'!A208</f>
        <v>*DGSW075-0*</v>
      </c>
      <c r="D208" s="57" t="str">
        <f>'Catalogo de Codigos '!H76</f>
        <v>*DGSW075-1*</v>
      </c>
      <c r="E208" s="60" t="str">
        <f>'Catalogo de Codigos '!I76</f>
        <v>*DGSW075-2*</v>
      </c>
    </row>
    <row r="209" spans="1:5" ht="30" customHeight="1" x14ac:dyDescent="0.25">
      <c r="A209" s="55" t="str">
        <f>'Todos los Codigos'!A208</f>
        <v>*DGSW075-0*</v>
      </c>
      <c r="B209" s="55" t="str">
        <f>'Todos los Codigos'!A208</f>
        <v>*DGSW075-0*</v>
      </c>
      <c r="C209" s="55" t="str">
        <f>'Todos los Codigos'!A208</f>
        <v>*DGSW075-0*</v>
      </c>
      <c r="D209" s="57" t="str">
        <f>'Todos los Codigos'!D208</f>
        <v>*DGSW075-1*</v>
      </c>
      <c r="E209" s="60" t="str">
        <f>'Todos los Codigos'!E208</f>
        <v>*DGSW075-2*</v>
      </c>
    </row>
    <row r="210" spans="1:5" ht="30" customHeight="1" x14ac:dyDescent="0.25"/>
    <row r="211" spans="1:5" ht="30" customHeight="1" x14ac:dyDescent="0.25">
      <c r="A211" s="55" t="str">
        <f>'Catalogo de Codigos '!G77</f>
        <v>*DGSW076-0*</v>
      </c>
      <c r="B211" s="55" t="str">
        <f>'Todos los Codigos'!A211</f>
        <v>*DGSW076-0*</v>
      </c>
      <c r="C211" s="55" t="str">
        <f>'Todos los Codigos'!A211</f>
        <v>*DGSW076-0*</v>
      </c>
      <c r="D211" s="57" t="str">
        <f>'Catalogo de Codigos '!H77</f>
        <v>*DGSW076-1*</v>
      </c>
      <c r="E211" s="60" t="str">
        <f>'Catalogo de Codigos '!I77</f>
        <v>*DGSW076-2*</v>
      </c>
    </row>
    <row r="212" spans="1:5" ht="30" customHeight="1" x14ac:dyDescent="0.25">
      <c r="A212" s="55" t="str">
        <f>'Todos los Codigos'!A211</f>
        <v>*DGSW076-0*</v>
      </c>
      <c r="B212" s="55" t="str">
        <f>'Todos los Codigos'!A211</f>
        <v>*DGSW076-0*</v>
      </c>
      <c r="C212" s="55" t="str">
        <f>'Todos los Codigos'!A211</f>
        <v>*DGSW076-0*</v>
      </c>
      <c r="D212" s="57" t="str">
        <f>'Todos los Codigos'!D211</f>
        <v>*DGSW076-1*</v>
      </c>
      <c r="E212" s="60" t="str">
        <f>'Todos los Codigos'!E211</f>
        <v>*DGSW076-2*</v>
      </c>
    </row>
    <row r="213" spans="1:5" ht="30" customHeight="1" x14ac:dyDescent="0.25"/>
    <row r="214" spans="1:5" ht="30" customHeight="1" x14ac:dyDescent="0.25">
      <c r="A214" s="55" t="str">
        <f>'Catalogo de Codigos '!G78</f>
        <v>*DGSW077-0*</v>
      </c>
      <c r="B214" s="55" t="str">
        <f>'Todos los Codigos'!A214</f>
        <v>*DGSW077-0*</v>
      </c>
      <c r="C214" s="55" t="str">
        <f>'Todos los Codigos'!A214</f>
        <v>*DGSW077-0*</v>
      </c>
      <c r="D214" s="57" t="str">
        <f>'Catalogo de Codigos '!H78</f>
        <v>*DGSW077-1*</v>
      </c>
      <c r="E214" s="60" t="str">
        <f>'Catalogo de Codigos '!I78</f>
        <v>*DGSW077-2*</v>
      </c>
    </row>
    <row r="215" spans="1:5" ht="30" customHeight="1" x14ac:dyDescent="0.25">
      <c r="A215" s="55" t="str">
        <f>'Todos los Codigos'!A214</f>
        <v>*DGSW077-0*</v>
      </c>
      <c r="B215" s="55" t="str">
        <f>'Todos los Codigos'!A214</f>
        <v>*DGSW077-0*</v>
      </c>
      <c r="C215" s="55" t="str">
        <f>'Todos los Codigos'!A214</f>
        <v>*DGSW077-0*</v>
      </c>
      <c r="D215" s="57" t="str">
        <f>'Todos los Codigos'!D214</f>
        <v>*DGSW077-1*</v>
      </c>
      <c r="E215" s="60" t="str">
        <f>'Todos los Codigos'!E214</f>
        <v>*DGSW077-2*</v>
      </c>
    </row>
    <row r="216" spans="1:5" ht="30" customHeight="1" x14ac:dyDescent="0.25"/>
    <row r="217" spans="1:5" ht="30" customHeight="1" x14ac:dyDescent="0.25">
      <c r="A217" s="55" t="str">
        <f>'Catalogo de Codigos '!G79</f>
        <v>*DGSW078-0*</v>
      </c>
      <c r="B217" s="55" t="str">
        <f>'Todos los Codigos'!A217</f>
        <v>*DGSW078-0*</v>
      </c>
      <c r="C217" s="55" t="str">
        <f>'Todos los Codigos'!A217</f>
        <v>*DGSW078-0*</v>
      </c>
      <c r="D217" s="57" t="str">
        <f>'Catalogo de Codigos '!H79</f>
        <v>*DGSW078-1*</v>
      </c>
      <c r="E217" s="60" t="str">
        <f>'Catalogo de Codigos '!I79</f>
        <v>*DGSW078-2*</v>
      </c>
    </row>
    <row r="218" spans="1:5" ht="30" customHeight="1" x14ac:dyDescent="0.25">
      <c r="A218" s="55" t="str">
        <f>'Todos los Codigos'!A217</f>
        <v>*DGSW078-0*</v>
      </c>
      <c r="B218" s="55" t="str">
        <f>'Todos los Codigos'!A217</f>
        <v>*DGSW078-0*</v>
      </c>
      <c r="C218" s="55" t="str">
        <f>'Todos los Codigos'!A217</f>
        <v>*DGSW078-0*</v>
      </c>
      <c r="D218" s="57" t="str">
        <f>'Todos los Codigos'!D217</f>
        <v>*DGSW078-1*</v>
      </c>
      <c r="E218" s="60" t="str">
        <f>'Todos los Codigos'!E217</f>
        <v>*DGSW078-2*</v>
      </c>
    </row>
    <row r="219" spans="1:5" ht="30" customHeight="1" x14ac:dyDescent="0.25"/>
    <row r="220" spans="1:5" ht="30" customHeight="1" x14ac:dyDescent="0.25">
      <c r="A220" s="55" t="str">
        <f>'Catalogo de Codigos '!G80</f>
        <v>*DGSW079-0*</v>
      </c>
      <c r="B220" s="55" t="str">
        <f>'Todos los Codigos'!A220</f>
        <v>*DGSW079-0*</v>
      </c>
      <c r="C220" s="55" t="str">
        <f>'Todos los Codigos'!A220</f>
        <v>*DGSW079-0*</v>
      </c>
      <c r="D220" s="57" t="str">
        <f>'Catalogo de Codigos '!H80</f>
        <v>*DGSW079-1*</v>
      </c>
      <c r="E220" s="60" t="str">
        <f>'Catalogo de Codigos '!I80</f>
        <v>*DGSW079-2*</v>
      </c>
    </row>
    <row r="221" spans="1:5" ht="30" customHeight="1" x14ac:dyDescent="0.25">
      <c r="A221" s="55" t="str">
        <f>'Todos los Codigos'!A220</f>
        <v>*DGSW079-0*</v>
      </c>
      <c r="B221" s="55" t="str">
        <f>'Todos los Codigos'!A220</f>
        <v>*DGSW079-0*</v>
      </c>
      <c r="C221" s="55" t="str">
        <f>'Todos los Codigos'!A220</f>
        <v>*DGSW079-0*</v>
      </c>
      <c r="D221" s="57" t="str">
        <f>'Todos los Codigos'!D220</f>
        <v>*DGSW079-1*</v>
      </c>
      <c r="E221" s="60" t="str">
        <f>'Todos los Codigos'!E220</f>
        <v>*DGSW079-2*</v>
      </c>
    </row>
    <row r="222" spans="1:5" ht="30" customHeight="1" x14ac:dyDescent="0.25">
      <c r="A222" s="55" t="str">
        <f>'Catalogo de Codigos '!G81</f>
        <v>*DGSW080-0*</v>
      </c>
      <c r="B222" s="55" t="str">
        <f>'Todos los Codigos'!A222</f>
        <v>*DGSW080-0*</v>
      </c>
      <c r="C222" s="55" t="str">
        <f>'Todos los Codigos'!A222</f>
        <v>*DGSW080-0*</v>
      </c>
      <c r="D222" s="57" t="str">
        <f>'Catalogo de Codigos '!H81</f>
        <v>*DGSW080-1*</v>
      </c>
      <c r="E222" s="60" t="str">
        <f>'Catalogo de Codigos '!I81</f>
        <v>*DGSW080-2*</v>
      </c>
    </row>
    <row r="223" spans="1:5" ht="30" customHeight="1" x14ac:dyDescent="0.25">
      <c r="A223" s="55" t="str">
        <f>'Todos los Codigos'!A222</f>
        <v>*DGSW080-0*</v>
      </c>
      <c r="B223" s="55" t="str">
        <f>'Todos los Codigos'!A222</f>
        <v>*DGSW080-0*</v>
      </c>
      <c r="C223" s="55" t="str">
        <f>'Todos los Codigos'!A222</f>
        <v>*DGSW080-0*</v>
      </c>
      <c r="D223" s="57" t="str">
        <f>'Todos los Codigos'!D222</f>
        <v>*DGSW080-1*</v>
      </c>
      <c r="E223" s="60" t="str">
        <f>'Todos los Codigos'!E222</f>
        <v>*DGSW080-2*</v>
      </c>
    </row>
    <row r="224" spans="1:5" ht="30" customHeight="1" x14ac:dyDescent="0.25"/>
    <row r="225" spans="1:5" ht="30" customHeight="1" x14ac:dyDescent="0.25">
      <c r="A225" s="55" t="str">
        <f>'Catalogo de Codigos '!G82</f>
        <v>*DGSW081-0*</v>
      </c>
      <c r="B225" s="55" t="str">
        <f>'Todos los Codigos'!A225</f>
        <v>*DGSW081-0*</v>
      </c>
      <c r="C225" s="55" t="str">
        <f>'Todos los Codigos'!A225</f>
        <v>*DGSW081-0*</v>
      </c>
      <c r="D225" s="57" t="str">
        <f>'Catalogo de Codigos '!H82</f>
        <v>*DGSW081-1*</v>
      </c>
      <c r="E225" s="60" t="str">
        <f>'Catalogo de Codigos '!I82</f>
        <v>*DGSW081-2*</v>
      </c>
    </row>
    <row r="226" spans="1:5" ht="30" customHeight="1" x14ac:dyDescent="0.25">
      <c r="A226" s="55" t="str">
        <f>'Todos los Codigos'!A225</f>
        <v>*DGSW081-0*</v>
      </c>
      <c r="B226" s="55" t="str">
        <f>'Todos los Codigos'!A225</f>
        <v>*DGSW081-0*</v>
      </c>
      <c r="C226" s="55" t="str">
        <f>'Todos los Codigos'!A225</f>
        <v>*DGSW081-0*</v>
      </c>
      <c r="D226" s="57" t="str">
        <f>'Todos los Codigos'!D225</f>
        <v>*DGSW081-1*</v>
      </c>
      <c r="E226" s="60" t="str">
        <f>'Todos los Codigos'!E225</f>
        <v>*DGSW081-2*</v>
      </c>
    </row>
    <row r="227" spans="1:5" ht="30" customHeight="1" x14ac:dyDescent="0.25"/>
    <row r="228" spans="1:5" ht="30" customHeight="1" x14ac:dyDescent="0.25">
      <c r="A228" s="55" t="str">
        <f>'Catalogo de Codigos '!G83</f>
        <v>*DGSW082-0*</v>
      </c>
      <c r="B228" s="55" t="str">
        <f>'Todos los Codigos'!A228</f>
        <v>*DGSW082-0*</v>
      </c>
      <c r="C228" s="55" t="str">
        <f>'Todos los Codigos'!A228</f>
        <v>*DGSW082-0*</v>
      </c>
      <c r="D228" s="57" t="str">
        <f>'Catalogo de Codigos '!H83</f>
        <v>*DGSW082-1*</v>
      </c>
      <c r="E228" s="60" t="str">
        <f>'Catalogo de Codigos '!I83</f>
        <v>*DGSW082-2*</v>
      </c>
    </row>
    <row r="229" spans="1:5" ht="30" customHeight="1" x14ac:dyDescent="0.25">
      <c r="A229" s="55" t="str">
        <f>'Todos los Codigos'!A228</f>
        <v>*DGSW082-0*</v>
      </c>
      <c r="B229" s="55" t="str">
        <f>'Todos los Codigos'!A228</f>
        <v>*DGSW082-0*</v>
      </c>
      <c r="C229" s="55" t="str">
        <f>'Todos los Codigos'!A228</f>
        <v>*DGSW082-0*</v>
      </c>
      <c r="D229" s="57" t="str">
        <f>'Todos los Codigos'!D228</f>
        <v>*DGSW082-1*</v>
      </c>
      <c r="E229" s="60" t="str">
        <f>'Todos los Codigos'!E228</f>
        <v>*DGSW082-2*</v>
      </c>
    </row>
    <row r="230" spans="1:5" ht="30" customHeight="1" x14ac:dyDescent="0.25"/>
    <row r="231" spans="1:5" ht="30" customHeight="1" x14ac:dyDescent="0.25">
      <c r="A231" s="55" t="str">
        <f>'Catalogo de Codigos '!G84</f>
        <v>*DGSW083-0*</v>
      </c>
      <c r="B231" s="55" t="str">
        <f>'Todos los Codigos'!A231</f>
        <v>*DGSW083-0*</v>
      </c>
      <c r="C231" s="55" t="str">
        <f>'Todos los Codigos'!A231</f>
        <v>*DGSW083-0*</v>
      </c>
      <c r="D231" s="57" t="str">
        <f>'Catalogo de Codigos '!H84</f>
        <v>*DGSW083-1*</v>
      </c>
      <c r="E231" s="60" t="str">
        <f>'Catalogo de Codigos '!I84</f>
        <v>*DGSW083-2*</v>
      </c>
    </row>
    <row r="232" spans="1:5" ht="30" customHeight="1" x14ac:dyDescent="0.25">
      <c r="A232" s="55" t="str">
        <f>'Todos los Codigos'!A231</f>
        <v>*DGSW083-0*</v>
      </c>
      <c r="B232" s="55" t="str">
        <f>'Todos los Codigos'!A231</f>
        <v>*DGSW083-0*</v>
      </c>
      <c r="C232" s="55" t="str">
        <f>'Todos los Codigos'!A231</f>
        <v>*DGSW083-0*</v>
      </c>
      <c r="D232" s="57" t="str">
        <f>'Todos los Codigos'!D231</f>
        <v>*DGSW083-1*</v>
      </c>
      <c r="E232" s="60" t="str">
        <f>'Todos los Codigos'!E231</f>
        <v>*DGSW083-2*</v>
      </c>
    </row>
    <row r="233" spans="1:5" ht="30" customHeight="1" x14ac:dyDescent="0.25"/>
    <row r="234" spans="1:5" ht="30" customHeight="1" x14ac:dyDescent="0.25">
      <c r="A234" s="55" t="str">
        <f>'Catalogo de Codigos '!G85</f>
        <v>*DGSW084-0*</v>
      </c>
      <c r="B234" s="55" t="str">
        <f>'Todos los Codigos'!A234</f>
        <v>*DGSW084-0*</v>
      </c>
      <c r="C234" s="55" t="str">
        <f>'Todos los Codigos'!A234</f>
        <v>*DGSW084-0*</v>
      </c>
      <c r="D234" s="57" t="str">
        <f>'Catalogo de Codigos '!H85</f>
        <v>*DGSW084-1*</v>
      </c>
      <c r="E234" s="60" t="str">
        <f>'Catalogo de Codigos '!I85</f>
        <v>*DGSW084-2*</v>
      </c>
    </row>
    <row r="235" spans="1:5" ht="30" customHeight="1" x14ac:dyDescent="0.25">
      <c r="A235" s="55" t="str">
        <f>'Todos los Codigos'!A234</f>
        <v>*DGSW084-0*</v>
      </c>
      <c r="B235" s="55" t="str">
        <f>'Todos los Codigos'!A234</f>
        <v>*DGSW084-0*</v>
      </c>
      <c r="C235" s="55" t="str">
        <f>'Todos los Codigos'!A234</f>
        <v>*DGSW084-0*</v>
      </c>
      <c r="D235" s="57" t="str">
        <f>'Todos los Codigos'!D234</f>
        <v>*DGSW084-1*</v>
      </c>
      <c r="E235" s="60" t="str">
        <f>'Todos los Codigos'!E234</f>
        <v>*DGSW084-2*</v>
      </c>
    </row>
    <row r="236" spans="1:5" ht="30" customHeight="1" x14ac:dyDescent="0.25"/>
    <row r="237" spans="1:5" ht="30" customHeight="1" x14ac:dyDescent="0.25">
      <c r="A237" s="55" t="str">
        <f>'Catalogo de Codigos '!G86</f>
        <v>*DGSW085-0*</v>
      </c>
      <c r="B237" s="55" t="str">
        <f>'Todos los Codigos'!A237</f>
        <v>*DGSW085-0*</v>
      </c>
      <c r="C237" s="55" t="str">
        <f>'Todos los Codigos'!A237</f>
        <v>*DGSW085-0*</v>
      </c>
      <c r="D237" s="57" t="str">
        <f>'Catalogo de Codigos '!H86</f>
        <v>*DGSW085-1*</v>
      </c>
      <c r="E237" s="60" t="str">
        <f>'Catalogo de Codigos '!I86</f>
        <v>*DGSW085-2*</v>
      </c>
    </row>
    <row r="238" spans="1:5" ht="30" customHeight="1" x14ac:dyDescent="0.25">
      <c r="A238" s="55" t="str">
        <f>'Todos los Codigos'!A237</f>
        <v>*DGSW085-0*</v>
      </c>
      <c r="B238" s="55" t="str">
        <f>'Todos los Codigos'!A237</f>
        <v>*DGSW085-0*</v>
      </c>
      <c r="C238" s="55" t="str">
        <f>'Todos los Codigos'!A237</f>
        <v>*DGSW085-0*</v>
      </c>
      <c r="D238" s="57" t="str">
        <f>'Todos los Codigos'!D237</f>
        <v>*DGSW085-1*</v>
      </c>
      <c r="E238" s="60" t="str">
        <f>'Todos los Codigos'!E237</f>
        <v>*DGSW085-2*</v>
      </c>
    </row>
    <row r="239" spans="1:5" ht="30" customHeight="1" x14ac:dyDescent="0.25">
      <c r="A239" s="55" t="str">
        <f>'Catalogo de Codigos '!G87</f>
        <v>*DGSW086-0*</v>
      </c>
      <c r="B239" s="55" t="str">
        <f>'Todos los Codigos'!A239</f>
        <v>*DGSW086-0*</v>
      </c>
      <c r="C239" s="55" t="str">
        <f>'Todos los Codigos'!A239</f>
        <v>*DGSW086-0*</v>
      </c>
      <c r="D239" s="57" t="str">
        <f>'Catalogo de Codigos '!H87</f>
        <v>*DGSW086-1*</v>
      </c>
      <c r="E239" s="60" t="str">
        <f>'Catalogo de Codigos '!I87</f>
        <v>*DGSW086-2*</v>
      </c>
    </row>
    <row r="240" spans="1:5" ht="30" customHeight="1" x14ac:dyDescent="0.25">
      <c r="A240" s="55" t="str">
        <f>'Todos los Codigos'!A239</f>
        <v>*DGSW086-0*</v>
      </c>
      <c r="B240" s="55" t="str">
        <f>'Todos los Codigos'!A239</f>
        <v>*DGSW086-0*</v>
      </c>
      <c r="C240" s="55" t="str">
        <f>'Todos los Codigos'!A239</f>
        <v>*DGSW086-0*</v>
      </c>
      <c r="D240" s="57" t="str">
        <f>'Todos los Codigos'!D239</f>
        <v>*DGSW086-1*</v>
      </c>
      <c r="E240" s="60" t="str">
        <f>'Todos los Codigos'!E239</f>
        <v>*DGSW086-2*</v>
      </c>
    </row>
    <row r="241" spans="1:5" ht="30" customHeight="1" x14ac:dyDescent="0.25"/>
    <row r="242" spans="1:5" ht="30" customHeight="1" x14ac:dyDescent="0.25">
      <c r="A242" s="55" t="str">
        <f>'Catalogo de Codigos '!G88</f>
        <v>*DGSW087-0*</v>
      </c>
      <c r="B242" s="55" t="str">
        <f>'Todos los Codigos'!A242</f>
        <v>*DGSW087-0*</v>
      </c>
      <c r="C242" s="55" t="str">
        <f>'Todos los Codigos'!A242</f>
        <v>*DGSW087-0*</v>
      </c>
      <c r="D242" s="57" t="str">
        <f>'Catalogo de Codigos '!H88</f>
        <v>*DGSW087-1*</v>
      </c>
      <c r="E242" s="60" t="str">
        <f>'Catalogo de Codigos '!I88</f>
        <v>*DGSW087-2*</v>
      </c>
    </row>
    <row r="243" spans="1:5" ht="30" customHeight="1" x14ac:dyDescent="0.25">
      <c r="A243" s="55" t="str">
        <f>'Todos los Codigos'!A242</f>
        <v>*DGSW087-0*</v>
      </c>
      <c r="B243" s="55" t="str">
        <f>'Todos los Codigos'!A242</f>
        <v>*DGSW087-0*</v>
      </c>
      <c r="C243" s="55" t="str">
        <f>'Todos los Codigos'!A242</f>
        <v>*DGSW087-0*</v>
      </c>
      <c r="D243" s="57" t="str">
        <f>'Todos los Codigos'!D242</f>
        <v>*DGSW087-1*</v>
      </c>
      <c r="E243" s="60" t="str">
        <f>'Todos los Codigos'!E242</f>
        <v>*DGSW087-2*</v>
      </c>
    </row>
    <row r="244" spans="1:5" ht="30" customHeight="1" x14ac:dyDescent="0.25"/>
    <row r="245" spans="1:5" ht="30" customHeight="1" x14ac:dyDescent="0.25">
      <c r="A245" s="55" t="str">
        <f>'Catalogo de Codigos '!G89</f>
        <v>*DGSW088-0*</v>
      </c>
      <c r="B245" s="55" t="str">
        <f>'Todos los Codigos'!A245</f>
        <v>*DGSW088-0*</v>
      </c>
      <c r="C245" s="55" t="str">
        <f>'Todos los Codigos'!A245</f>
        <v>*DGSW088-0*</v>
      </c>
      <c r="D245" s="57" t="str">
        <f>'Catalogo de Codigos '!H89</f>
        <v>*DGSW088-1*</v>
      </c>
      <c r="E245" s="60" t="str">
        <f>'Catalogo de Codigos '!I89</f>
        <v>*DGSW088-2*</v>
      </c>
    </row>
    <row r="246" spans="1:5" ht="30" customHeight="1" x14ac:dyDescent="0.25">
      <c r="A246" s="55" t="str">
        <f>'Todos los Codigos'!A245</f>
        <v>*DGSW088-0*</v>
      </c>
      <c r="B246" s="55" t="str">
        <f>'Todos los Codigos'!A245</f>
        <v>*DGSW088-0*</v>
      </c>
      <c r="C246" s="55" t="str">
        <f>'Todos los Codigos'!A245</f>
        <v>*DGSW088-0*</v>
      </c>
      <c r="D246" s="57" t="str">
        <f>'Todos los Codigos'!D245</f>
        <v>*DGSW088-1*</v>
      </c>
      <c r="E246" s="60" t="str">
        <f>'Todos los Codigos'!E245</f>
        <v>*DGSW088-2*</v>
      </c>
    </row>
    <row r="247" spans="1:5" ht="30" customHeight="1" x14ac:dyDescent="0.25"/>
    <row r="248" spans="1:5" ht="30" customHeight="1" x14ac:dyDescent="0.25">
      <c r="A248" s="55" t="str">
        <f>'Catalogo de Codigos '!G90</f>
        <v>*DGSW089-0*</v>
      </c>
      <c r="B248" s="55" t="str">
        <f>'Todos los Codigos'!A248</f>
        <v>*DGSW089-0*</v>
      </c>
      <c r="C248" s="55" t="str">
        <f>'Todos los Codigos'!A248</f>
        <v>*DGSW089-0*</v>
      </c>
      <c r="D248" s="57" t="str">
        <f>'Catalogo de Codigos '!H90</f>
        <v>*DGSW089-1*</v>
      </c>
      <c r="E248" s="60" t="str">
        <f>'Catalogo de Codigos '!I90</f>
        <v>*DGSW089-2*</v>
      </c>
    </row>
    <row r="249" spans="1:5" ht="30" customHeight="1" x14ac:dyDescent="0.25">
      <c r="A249" s="55" t="str">
        <f>'Todos los Codigos'!A248</f>
        <v>*DGSW089-0*</v>
      </c>
      <c r="B249" s="55" t="str">
        <f>'Todos los Codigos'!A248</f>
        <v>*DGSW089-0*</v>
      </c>
      <c r="C249" s="55" t="str">
        <f>'Todos los Codigos'!A248</f>
        <v>*DGSW089-0*</v>
      </c>
      <c r="D249" s="57" t="str">
        <f>'Todos los Codigos'!D248</f>
        <v>*DGSW089-1*</v>
      </c>
      <c r="E249" s="60" t="str">
        <f>'Todos los Codigos'!E248</f>
        <v>*DGSW089-2*</v>
      </c>
    </row>
    <row r="250" spans="1:5" ht="30" customHeight="1" x14ac:dyDescent="0.25"/>
    <row r="251" spans="1:5" ht="30" customHeight="1" x14ac:dyDescent="0.25">
      <c r="A251" s="55" t="str">
        <f>'Catalogo de Codigos '!G91</f>
        <v>*DGSW090-0*</v>
      </c>
      <c r="B251" s="55" t="str">
        <f>'Todos los Codigos'!A251</f>
        <v>*DGSW090-0*</v>
      </c>
      <c r="C251" s="55" t="str">
        <f>'Todos los Codigos'!A251</f>
        <v>*DGSW090-0*</v>
      </c>
      <c r="D251" s="57" t="str">
        <f>'Catalogo de Codigos '!H91</f>
        <v>*DGSW090-1*</v>
      </c>
      <c r="E251" s="60" t="str">
        <f>'Catalogo de Codigos '!I91</f>
        <v>*DGSW090-2*</v>
      </c>
    </row>
    <row r="252" spans="1:5" ht="30" customHeight="1" x14ac:dyDescent="0.25">
      <c r="A252" s="55" t="str">
        <f>'Todos los Codigos'!A251</f>
        <v>*DGSW090-0*</v>
      </c>
      <c r="B252" s="55" t="str">
        <f>'Todos los Codigos'!A251</f>
        <v>*DGSW090-0*</v>
      </c>
      <c r="C252" s="55" t="str">
        <f>'Todos los Codigos'!A251</f>
        <v>*DGSW090-0*</v>
      </c>
      <c r="D252" s="57" t="str">
        <f>'Todos los Codigos'!D251</f>
        <v>*DGSW090-1*</v>
      </c>
      <c r="E252" s="60" t="str">
        <f>'Todos los Codigos'!E251</f>
        <v>*DGSW090-2*</v>
      </c>
    </row>
    <row r="253" spans="1:5" ht="30" customHeight="1" x14ac:dyDescent="0.25"/>
    <row r="254" spans="1:5" ht="30" customHeight="1" x14ac:dyDescent="0.25">
      <c r="A254" s="55" t="str">
        <f>'Catalogo de Codigos '!G92</f>
        <v>*DGSW091-0*</v>
      </c>
      <c r="B254" s="55" t="str">
        <f>'Todos los Codigos'!A254</f>
        <v>*DGSW091-0*</v>
      </c>
      <c r="C254" s="55" t="str">
        <f>'Todos los Codigos'!A254</f>
        <v>*DGSW091-0*</v>
      </c>
      <c r="D254" s="57" t="str">
        <f>'Catalogo de Codigos '!H92</f>
        <v>*DGSW091-1*</v>
      </c>
      <c r="E254" s="60" t="str">
        <f>'Catalogo de Codigos '!I92</f>
        <v>*DGSW091-2*</v>
      </c>
    </row>
    <row r="255" spans="1:5" ht="30" customHeight="1" x14ac:dyDescent="0.25">
      <c r="A255" s="55" t="str">
        <f>'Todos los Codigos'!A254</f>
        <v>*DGSW091-0*</v>
      </c>
      <c r="B255" s="55" t="str">
        <f>'Todos los Codigos'!A254</f>
        <v>*DGSW091-0*</v>
      </c>
      <c r="C255" s="55" t="str">
        <f>'Todos los Codigos'!A254</f>
        <v>*DGSW091-0*</v>
      </c>
      <c r="D255" s="57" t="str">
        <f>'Todos los Codigos'!D254</f>
        <v>*DGSW091-1*</v>
      </c>
      <c r="E255" s="60" t="str">
        <f>'Todos los Codigos'!E254</f>
        <v>*DGSW091-2*</v>
      </c>
    </row>
    <row r="256" spans="1:5" ht="30" customHeight="1" x14ac:dyDescent="0.25">
      <c r="A256" s="55" t="str">
        <f>'Catalogo de Codigos '!G93</f>
        <v>*DGSW092-0*</v>
      </c>
      <c r="B256" s="55" t="str">
        <f>'Todos los Codigos'!A256</f>
        <v>*DGSW092-0*</v>
      </c>
      <c r="C256" s="55" t="str">
        <f>'Todos los Codigos'!A256</f>
        <v>*DGSW092-0*</v>
      </c>
      <c r="D256" s="57" t="str">
        <f>'Catalogo de Codigos '!H93</f>
        <v>*DGSW092-1*</v>
      </c>
      <c r="E256" s="60" t="str">
        <f>'Catalogo de Codigos '!I93</f>
        <v>*DGSW092-2*</v>
      </c>
    </row>
    <row r="257" spans="1:5" ht="30" customHeight="1" x14ac:dyDescent="0.25">
      <c r="A257" s="55" t="str">
        <f>'Todos los Codigos'!A256</f>
        <v>*DGSW092-0*</v>
      </c>
      <c r="B257" s="55" t="str">
        <f>'Todos los Codigos'!A256</f>
        <v>*DGSW092-0*</v>
      </c>
      <c r="C257" s="55" t="str">
        <f>'Todos los Codigos'!A256</f>
        <v>*DGSW092-0*</v>
      </c>
      <c r="D257" s="57" t="str">
        <f>'Todos los Codigos'!D256</f>
        <v>*DGSW092-1*</v>
      </c>
      <c r="E257" s="60" t="str">
        <f>'Todos los Codigos'!E256</f>
        <v>*DGSW092-2*</v>
      </c>
    </row>
    <row r="258" spans="1:5" ht="30" customHeight="1" x14ac:dyDescent="0.25"/>
    <row r="259" spans="1:5" ht="30" customHeight="1" x14ac:dyDescent="0.25">
      <c r="A259" s="55" t="str">
        <f>'Catalogo de Codigos '!G94</f>
        <v>*DGSW093-0*</v>
      </c>
      <c r="B259" s="55" t="str">
        <f>'Todos los Codigos'!A259</f>
        <v>*DGSW093-0*</v>
      </c>
      <c r="C259" s="55" t="str">
        <f>'Todos los Codigos'!A259</f>
        <v>*DGSW093-0*</v>
      </c>
      <c r="D259" s="57" t="str">
        <f>'Catalogo de Codigos '!H94</f>
        <v>*DGSW093-1*</v>
      </c>
      <c r="E259" s="60" t="str">
        <f>'Catalogo de Codigos '!I94</f>
        <v>*DGSW093-2*</v>
      </c>
    </row>
    <row r="260" spans="1:5" ht="30" customHeight="1" x14ac:dyDescent="0.25">
      <c r="A260" s="55" t="str">
        <f>'Todos los Codigos'!A259</f>
        <v>*DGSW093-0*</v>
      </c>
      <c r="B260" s="55" t="str">
        <f>'Todos los Codigos'!A259</f>
        <v>*DGSW093-0*</v>
      </c>
      <c r="C260" s="55" t="str">
        <f>'Todos los Codigos'!A259</f>
        <v>*DGSW093-0*</v>
      </c>
      <c r="D260" s="57" t="str">
        <f>'Todos los Codigos'!D259</f>
        <v>*DGSW093-1*</v>
      </c>
      <c r="E260" s="60" t="str">
        <f>'Todos los Codigos'!E259</f>
        <v>*DGSW093-2*</v>
      </c>
    </row>
    <row r="261" spans="1:5" ht="30" customHeight="1" x14ac:dyDescent="0.25"/>
    <row r="262" spans="1:5" ht="30" customHeight="1" x14ac:dyDescent="0.25">
      <c r="A262" s="55" t="str">
        <f>'Catalogo de Codigos '!G95</f>
        <v>*DGSW094-0*</v>
      </c>
      <c r="B262" s="55" t="str">
        <f>'Todos los Codigos'!A262</f>
        <v>*DGSW094-0*</v>
      </c>
      <c r="C262" s="55" t="str">
        <f>'Todos los Codigos'!A262</f>
        <v>*DGSW094-0*</v>
      </c>
      <c r="D262" s="57" t="str">
        <f>'Catalogo de Codigos '!H95</f>
        <v>*DGSW094-1*</v>
      </c>
      <c r="E262" s="60" t="str">
        <f>'Catalogo de Codigos '!I95</f>
        <v>*DGSW094-2*</v>
      </c>
    </row>
    <row r="263" spans="1:5" ht="30" customHeight="1" x14ac:dyDescent="0.25">
      <c r="A263" s="55" t="str">
        <f>'Todos los Codigos'!A262</f>
        <v>*DGSW094-0*</v>
      </c>
      <c r="B263" s="55" t="str">
        <f>'Todos los Codigos'!A262</f>
        <v>*DGSW094-0*</v>
      </c>
      <c r="C263" s="55" t="str">
        <f>'Todos los Codigos'!A262</f>
        <v>*DGSW094-0*</v>
      </c>
      <c r="D263" s="57" t="str">
        <f>'Todos los Codigos'!D262</f>
        <v>*DGSW094-1*</v>
      </c>
      <c r="E263" s="60" t="str">
        <f>'Todos los Codigos'!E262</f>
        <v>*DGSW094-2*</v>
      </c>
    </row>
    <row r="264" spans="1:5" ht="30" customHeight="1" x14ac:dyDescent="0.25"/>
    <row r="265" spans="1:5" ht="30" customHeight="1" x14ac:dyDescent="0.25">
      <c r="A265" s="55" t="str">
        <f>'Catalogo de Codigos '!G96</f>
        <v>*DGSW095-0*</v>
      </c>
      <c r="B265" s="55" t="str">
        <f>'Todos los Codigos'!A265</f>
        <v>*DGSW095-0*</v>
      </c>
      <c r="C265" s="55" t="str">
        <f>'Todos los Codigos'!A265</f>
        <v>*DGSW095-0*</v>
      </c>
      <c r="D265" s="57" t="str">
        <f>'Catalogo de Codigos '!H96</f>
        <v>*DGSW095-1*</v>
      </c>
      <c r="E265" s="60" t="str">
        <f>'Catalogo de Codigos '!I96</f>
        <v>*DGSW095-2*</v>
      </c>
    </row>
    <row r="266" spans="1:5" ht="30" customHeight="1" x14ac:dyDescent="0.25">
      <c r="A266" s="55" t="str">
        <f>'Todos los Codigos'!A265</f>
        <v>*DGSW095-0*</v>
      </c>
      <c r="B266" s="55" t="str">
        <f>'Todos los Codigos'!A265</f>
        <v>*DGSW095-0*</v>
      </c>
      <c r="C266" s="55" t="str">
        <f>'Todos los Codigos'!A265</f>
        <v>*DGSW095-0*</v>
      </c>
      <c r="D266" s="57" t="str">
        <f>'Todos los Codigos'!D265</f>
        <v>*DGSW095-1*</v>
      </c>
      <c r="E266" s="60" t="str">
        <f>'Todos los Codigos'!E265</f>
        <v>*DGSW095-2*</v>
      </c>
    </row>
    <row r="267" spans="1:5" ht="30" customHeight="1" x14ac:dyDescent="0.25"/>
    <row r="268" spans="1:5" ht="30" customHeight="1" x14ac:dyDescent="0.25">
      <c r="A268" s="55" t="str">
        <f>'Catalogo de Codigos '!G97</f>
        <v>*DGSW096-0*</v>
      </c>
      <c r="B268" s="55" t="str">
        <f>'Todos los Codigos'!A268</f>
        <v>*DGSW096-0*</v>
      </c>
      <c r="C268" s="55" t="str">
        <f>'Todos los Codigos'!A268</f>
        <v>*DGSW096-0*</v>
      </c>
      <c r="D268" s="57" t="str">
        <f>'Catalogo de Codigos '!H97</f>
        <v>*DGSW096-1*</v>
      </c>
      <c r="E268" s="60" t="str">
        <f>'Catalogo de Codigos '!I97</f>
        <v>*DGSW096-2*</v>
      </c>
    </row>
    <row r="269" spans="1:5" ht="30" customHeight="1" x14ac:dyDescent="0.25">
      <c r="A269" s="55" t="str">
        <f>'Todos los Codigos'!A268</f>
        <v>*DGSW096-0*</v>
      </c>
      <c r="B269" s="55" t="str">
        <f>'Todos los Codigos'!A268</f>
        <v>*DGSW096-0*</v>
      </c>
      <c r="C269" s="55" t="str">
        <f>'Todos los Codigos'!A268</f>
        <v>*DGSW096-0*</v>
      </c>
      <c r="D269" s="57" t="str">
        <f>'Todos los Codigos'!D268</f>
        <v>*DGSW096-1*</v>
      </c>
      <c r="E269" s="60" t="str">
        <f>'Todos los Codigos'!E268</f>
        <v>*DGSW096-2*</v>
      </c>
    </row>
    <row r="270" spans="1:5" ht="30" customHeight="1" x14ac:dyDescent="0.25"/>
    <row r="271" spans="1:5" ht="30" customHeight="1" x14ac:dyDescent="0.25">
      <c r="A271" s="55" t="str">
        <f>'Catalogo de Codigos '!G98</f>
        <v>*DGSW097-0*</v>
      </c>
      <c r="B271" s="55" t="str">
        <f>'Todos los Codigos'!A271</f>
        <v>*DGSW097-0*</v>
      </c>
      <c r="C271" s="55" t="str">
        <f>'Todos los Codigos'!A271</f>
        <v>*DGSW097-0*</v>
      </c>
      <c r="D271" s="57" t="str">
        <f>'Catalogo de Codigos '!H98</f>
        <v>*DGSW097-1*</v>
      </c>
      <c r="E271" s="60" t="str">
        <f>'Catalogo de Codigos '!I98</f>
        <v>*DGSW097-2*</v>
      </c>
    </row>
    <row r="272" spans="1:5" ht="30" customHeight="1" x14ac:dyDescent="0.25">
      <c r="A272" s="55" t="str">
        <f>'Todos los Codigos'!A271</f>
        <v>*DGSW097-0*</v>
      </c>
      <c r="B272" s="55" t="str">
        <f>'Todos los Codigos'!A271</f>
        <v>*DGSW097-0*</v>
      </c>
      <c r="C272" s="55" t="str">
        <f>'Todos los Codigos'!A271</f>
        <v>*DGSW097-0*</v>
      </c>
      <c r="D272" s="57" t="str">
        <f>'Todos los Codigos'!D271</f>
        <v>*DGSW097-1*</v>
      </c>
      <c r="E272" s="60" t="str">
        <f>'Todos los Codigos'!E271</f>
        <v>*DGSW097-2*</v>
      </c>
    </row>
    <row r="273" spans="1:5" ht="30" customHeight="1" x14ac:dyDescent="0.25">
      <c r="A273" s="55" t="str">
        <f>'Catalogo de Codigos '!G99</f>
        <v>*DGSW098-0*</v>
      </c>
      <c r="B273" s="55" t="str">
        <f>'Todos los Codigos'!A273</f>
        <v>*DGSW098-0*</v>
      </c>
      <c r="C273" s="55" t="str">
        <f>'Todos los Codigos'!A273</f>
        <v>*DGSW098-0*</v>
      </c>
      <c r="D273" s="57" t="str">
        <f>'Catalogo de Codigos '!H99</f>
        <v>*DGSW098-1*</v>
      </c>
      <c r="E273" s="60" t="str">
        <f>'Catalogo de Codigos '!I99</f>
        <v>*DGSW098-2*</v>
      </c>
    </row>
    <row r="274" spans="1:5" ht="30" customHeight="1" x14ac:dyDescent="0.25">
      <c r="A274" s="55" t="str">
        <f>'Todos los Codigos'!A273</f>
        <v>*DGSW098-0*</v>
      </c>
      <c r="B274" s="55" t="str">
        <f>'Todos los Codigos'!A273</f>
        <v>*DGSW098-0*</v>
      </c>
      <c r="C274" s="55" t="str">
        <f>'Todos los Codigos'!A273</f>
        <v>*DGSW098-0*</v>
      </c>
      <c r="D274" s="57" t="str">
        <f>'Todos los Codigos'!D273</f>
        <v>*DGSW098-1*</v>
      </c>
      <c r="E274" s="60" t="str">
        <f>'Todos los Codigos'!E273</f>
        <v>*DGSW098-2*</v>
      </c>
    </row>
    <row r="275" spans="1:5" ht="30" customHeight="1" x14ac:dyDescent="0.25"/>
    <row r="276" spans="1:5" ht="30" customHeight="1" x14ac:dyDescent="0.25">
      <c r="A276" s="55" t="str">
        <f>'Catalogo de Codigos '!G100</f>
        <v>*DGSW099-0*</v>
      </c>
      <c r="B276" s="55" t="str">
        <f>'Todos los Codigos'!A276</f>
        <v>*DGSW099-0*</v>
      </c>
      <c r="C276" s="55" t="str">
        <f>'Todos los Codigos'!A276</f>
        <v>*DGSW099-0*</v>
      </c>
      <c r="D276" s="57" t="str">
        <f>'Catalogo de Codigos '!H100</f>
        <v>*DGSW099-1*</v>
      </c>
      <c r="E276" s="60" t="str">
        <f>'Catalogo de Codigos '!I100</f>
        <v>*DGSW099-2*</v>
      </c>
    </row>
    <row r="277" spans="1:5" ht="30" customHeight="1" x14ac:dyDescent="0.25">
      <c r="A277" s="55" t="str">
        <f>'Todos los Codigos'!A276</f>
        <v>*DGSW099-0*</v>
      </c>
      <c r="B277" s="55" t="str">
        <f>'Todos los Codigos'!A276</f>
        <v>*DGSW099-0*</v>
      </c>
      <c r="C277" s="55" t="str">
        <f>'Todos los Codigos'!A276</f>
        <v>*DGSW099-0*</v>
      </c>
      <c r="D277" s="57" t="str">
        <f>'Todos los Codigos'!D276</f>
        <v>*DGSW099-1*</v>
      </c>
      <c r="E277" s="60" t="str">
        <f>'Todos los Codigos'!E276</f>
        <v>*DGSW099-2*</v>
      </c>
    </row>
    <row r="278" spans="1:5" ht="30" customHeight="1" x14ac:dyDescent="0.25"/>
    <row r="279" spans="1:5" ht="30" customHeight="1" x14ac:dyDescent="0.25">
      <c r="A279" s="55" t="str">
        <f>'Catalogo de Codigos '!G101</f>
        <v>*DGSW100-0*</v>
      </c>
      <c r="B279" s="55" t="str">
        <f>'Todos los Codigos'!A279</f>
        <v>*DGSW100-0*</v>
      </c>
      <c r="C279" s="55" t="str">
        <f>'Todos los Codigos'!A279</f>
        <v>*DGSW100-0*</v>
      </c>
      <c r="D279" s="57" t="str">
        <f>'Catalogo de Codigos '!H101</f>
        <v>*DGSW100-1*</v>
      </c>
      <c r="E279" s="60" t="str">
        <f>'Catalogo de Codigos '!I101</f>
        <v>*DGSW100-2*</v>
      </c>
    </row>
    <row r="280" spans="1:5" ht="30" customHeight="1" x14ac:dyDescent="0.25">
      <c r="A280" s="55" t="str">
        <f>'Todos los Codigos'!A279</f>
        <v>*DGSW100-0*</v>
      </c>
      <c r="B280" s="55" t="str">
        <f>'Todos los Codigos'!A279</f>
        <v>*DGSW100-0*</v>
      </c>
      <c r="C280" s="55" t="str">
        <f>'Todos los Codigos'!A279</f>
        <v>*DGSW100-0*</v>
      </c>
      <c r="D280" s="57" t="str">
        <f>'Todos los Codigos'!D279</f>
        <v>*DGSW100-1*</v>
      </c>
      <c r="E280" s="60" t="str">
        <f>'Todos los Codigos'!E279</f>
        <v>*DGSW100-2*</v>
      </c>
    </row>
    <row r="281" spans="1:5" ht="30" customHeight="1" x14ac:dyDescent="0.25"/>
    <row r="282" spans="1:5" ht="30" customHeight="1" x14ac:dyDescent="0.25">
      <c r="A282" s="55" t="str">
        <f>'Catalogo de Codigos '!G102</f>
        <v>*DGSW101-0*</v>
      </c>
      <c r="B282" s="55" t="str">
        <f>'Todos los Codigos'!A282</f>
        <v>*DGSW101-0*</v>
      </c>
      <c r="C282" s="55" t="str">
        <f>'Todos los Codigos'!A282</f>
        <v>*DGSW101-0*</v>
      </c>
      <c r="D282" s="57" t="str">
        <f>'Catalogo de Codigos '!H102</f>
        <v>*DGSW101-1*</v>
      </c>
      <c r="E282" s="60" t="str">
        <f>'Catalogo de Codigos '!I102</f>
        <v>*DGSW101-2*</v>
      </c>
    </row>
    <row r="283" spans="1:5" ht="30" customHeight="1" x14ac:dyDescent="0.25">
      <c r="A283" s="55" t="str">
        <f>'Todos los Codigos'!A282</f>
        <v>*DGSW101-0*</v>
      </c>
      <c r="B283" s="55" t="str">
        <f>'Todos los Codigos'!A282</f>
        <v>*DGSW101-0*</v>
      </c>
      <c r="C283" s="55" t="str">
        <f>'Todos los Codigos'!A282</f>
        <v>*DGSW101-0*</v>
      </c>
      <c r="D283" s="57" t="str">
        <f>'Todos los Codigos'!D282</f>
        <v>*DGSW101-1*</v>
      </c>
      <c r="E283" s="60" t="str">
        <f>'Todos los Codigos'!E282</f>
        <v>*DGSW101-2*</v>
      </c>
    </row>
    <row r="284" spans="1:5" ht="30" customHeight="1" x14ac:dyDescent="0.25"/>
    <row r="285" spans="1:5" ht="30" customHeight="1" x14ac:dyDescent="0.25">
      <c r="A285" s="55" t="str">
        <f>'Catalogo de Codigos '!G103</f>
        <v>*DGSW102-0*</v>
      </c>
      <c r="B285" s="55" t="str">
        <f>'Todos los Codigos'!A285</f>
        <v>*DGSW102-0*</v>
      </c>
      <c r="C285" s="55" t="str">
        <f>'Todos los Codigos'!A285</f>
        <v>*DGSW102-0*</v>
      </c>
      <c r="D285" s="57" t="str">
        <f>'Catalogo de Codigos '!H103</f>
        <v>*DGSW102-1*</v>
      </c>
      <c r="E285" s="60" t="str">
        <f>'Catalogo de Codigos '!I103</f>
        <v>*DGSW102-2*</v>
      </c>
    </row>
    <row r="286" spans="1:5" ht="30" customHeight="1" x14ac:dyDescent="0.25">
      <c r="A286" s="55" t="str">
        <f>'Todos los Codigos'!A285</f>
        <v>*DGSW102-0*</v>
      </c>
      <c r="B286" s="55" t="str">
        <f>'Todos los Codigos'!A285</f>
        <v>*DGSW102-0*</v>
      </c>
      <c r="C286" s="55" t="str">
        <f>'Todos los Codigos'!A285</f>
        <v>*DGSW102-0*</v>
      </c>
      <c r="D286" s="57" t="str">
        <f>'Todos los Codigos'!D285</f>
        <v>*DGSW102-1*</v>
      </c>
      <c r="E286" s="60" t="str">
        <f>'Todos los Codigos'!E285</f>
        <v>*DGSW102-2*</v>
      </c>
    </row>
    <row r="287" spans="1:5" ht="30" customHeight="1" x14ac:dyDescent="0.25"/>
    <row r="288" spans="1:5" ht="30" customHeight="1" x14ac:dyDescent="0.25">
      <c r="A288" s="55" t="str">
        <f>'Catalogo de Codigos '!G104</f>
        <v>*DGSW103-0*</v>
      </c>
      <c r="B288" s="55" t="str">
        <f>'Todos los Codigos'!A288</f>
        <v>*DGSW103-0*</v>
      </c>
      <c r="C288" s="55" t="str">
        <f>'Todos los Codigos'!A288</f>
        <v>*DGSW103-0*</v>
      </c>
      <c r="D288" s="57" t="str">
        <f>'Catalogo de Codigos '!H104</f>
        <v>*DGSW103-1*</v>
      </c>
      <c r="E288" s="60" t="str">
        <f>'Catalogo de Codigos '!I104</f>
        <v>*DGSW103-2*</v>
      </c>
    </row>
    <row r="289" spans="1:5" ht="30" customHeight="1" x14ac:dyDescent="0.25">
      <c r="A289" s="55" t="str">
        <f>'Todos los Codigos'!A288</f>
        <v>*DGSW103-0*</v>
      </c>
      <c r="B289" s="55" t="str">
        <f>'Todos los Codigos'!A288</f>
        <v>*DGSW103-0*</v>
      </c>
      <c r="C289" s="55" t="str">
        <f>'Todos los Codigos'!A288</f>
        <v>*DGSW103-0*</v>
      </c>
      <c r="D289" s="57" t="str">
        <f>'Todos los Codigos'!D288</f>
        <v>*DGSW103-1*</v>
      </c>
      <c r="E289" s="60" t="str">
        <f>'Todos los Codigos'!E288</f>
        <v>*DGSW103-2*</v>
      </c>
    </row>
    <row r="290" spans="1:5" ht="30" customHeight="1" x14ac:dyDescent="0.25">
      <c r="A290" s="55" t="str">
        <f>'Catalogo de Codigos '!G105</f>
        <v>*DGSW104-0*</v>
      </c>
      <c r="B290" s="55" t="str">
        <f>'Todos los Codigos'!A290</f>
        <v>*DGSW104-0*</v>
      </c>
      <c r="C290" s="55" t="str">
        <f>'Todos los Codigos'!A290</f>
        <v>*DGSW104-0*</v>
      </c>
      <c r="D290" s="57" t="str">
        <f>'Catalogo de Codigos '!H105</f>
        <v>*DGSW104-1*</v>
      </c>
      <c r="E290" s="60" t="str">
        <f>'Catalogo de Codigos '!I105</f>
        <v>*DGSW104-2*</v>
      </c>
    </row>
    <row r="291" spans="1:5" ht="30" customHeight="1" x14ac:dyDescent="0.25">
      <c r="A291" s="55" t="str">
        <f>'Todos los Codigos'!A290</f>
        <v>*DGSW104-0*</v>
      </c>
      <c r="B291" s="55" t="str">
        <f>'Todos los Codigos'!A290</f>
        <v>*DGSW104-0*</v>
      </c>
      <c r="C291" s="55" t="str">
        <f>'Todos los Codigos'!A290</f>
        <v>*DGSW104-0*</v>
      </c>
      <c r="D291" s="57" t="str">
        <f>'Todos los Codigos'!D290</f>
        <v>*DGSW104-1*</v>
      </c>
      <c r="E291" s="60" t="str">
        <f>'Todos los Codigos'!E290</f>
        <v>*DGSW104-2*</v>
      </c>
    </row>
    <row r="292" spans="1:5" ht="30" customHeight="1" x14ac:dyDescent="0.25"/>
    <row r="293" spans="1:5" ht="30" customHeight="1" x14ac:dyDescent="0.25">
      <c r="A293" s="55" t="str">
        <f>'Catalogo de Codigos '!G106</f>
        <v>*DGSW105-0*</v>
      </c>
      <c r="B293" s="55" t="str">
        <f>'Todos los Codigos'!A293</f>
        <v>*DGSW105-0*</v>
      </c>
      <c r="C293" s="55" t="str">
        <f>'Todos los Codigos'!A293</f>
        <v>*DGSW105-0*</v>
      </c>
      <c r="D293" s="57" t="str">
        <f>'Catalogo de Codigos '!H106</f>
        <v>*DGSW105-1*</v>
      </c>
      <c r="E293" s="60" t="str">
        <f>'Catalogo de Codigos '!I106</f>
        <v>*DGSW105-2*</v>
      </c>
    </row>
    <row r="294" spans="1:5" ht="30" customHeight="1" x14ac:dyDescent="0.25">
      <c r="A294" s="55" t="str">
        <f>'Todos los Codigos'!A293</f>
        <v>*DGSW105-0*</v>
      </c>
      <c r="B294" s="55" t="str">
        <f>'Todos los Codigos'!A293</f>
        <v>*DGSW105-0*</v>
      </c>
      <c r="C294" s="55" t="str">
        <f>'Todos los Codigos'!A293</f>
        <v>*DGSW105-0*</v>
      </c>
      <c r="D294" s="57" t="str">
        <f>'Todos los Codigos'!D293</f>
        <v>*DGSW105-1*</v>
      </c>
      <c r="E294" s="60" t="str">
        <f>'Todos los Codigos'!E293</f>
        <v>*DGSW105-2*</v>
      </c>
    </row>
    <row r="295" spans="1:5" ht="30" customHeight="1" x14ac:dyDescent="0.25"/>
    <row r="296" spans="1:5" ht="30" customHeight="1" x14ac:dyDescent="0.25">
      <c r="A296" s="55" t="str">
        <f>'Catalogo de Codigos '!G107</f>
        <v>*DGSW106-0*</v>
      </c>
      <c r="B296" s="55" t="str">
        <f>'Todos los Codigos'!A296</f>
        <v>*DGSW106-0*</v>
      </c>
      <c r="C296" s="55" t="str">
        <f>'Todos los Codigos'!A296</f>
        <v>*DGSW106-0*</v>
      </c>
      <c r="D296" s="57" t="str">
        <f>'Catalogo de Codigos '!H107</f>
        <v>*DGSW106-1*</v>
      </c>
      <c r="E296" s="60" t="str">
        <f>'Catalogo de Codigos '!I107</f>
        <v>*DGSW106-2*</v>
      </c>
    </row>
    <row r="297" spans="1:5" ht="30" customHeight="1" x14ac:dyDescent="0.25">
      <c r="A297" s="55" t="str">
        <f>'Todos los Codigos'!A296</f>
        <v>*DGSW106-0*</v>
      </c>
      <c r="B297" s="55" t="str">
        <f>'Todos los Codigos'!A296</f>
        <v>*DGSW106-0*</v>
      </c>
      <c r="C297" s="55" t="str">
        <f>'Todos los Codigos'!A296</f>
        <v>*DGSW106-0*</v>
      </c>
      <c r="D297" s="57" t="str">
        <f>'Todos los Codigos'!D296</f>
        <v>*DGSW106-1*</v>
      </c>
      <c r="E297" s="60" t="str">
        <f>'Todos los Codigos'!E296</f>
        <v>*DGSW106-2*</v>
      </c>
    </row>
    <row r="298" spans="1:5" ht="30" customHeight="1" x14ac:dyDescent="0.25"/>
    <row r="299" spans="1:5" ht="30" customHeight="1" x14ac:dyDescent="0.25">
      <c r="A299" s="55" t="str">
        <f>'Catalogo de Codigos '!G108</f>
        <v>*DGSW107-0*</v>
      </c>
      <c r="B299" s="55" t="str">
        <f>'Todos los Codigos'!A299</f>
        <v>*DGSW107-0*</v>
      </c>
      <c r="C299" s="55" t="str">
        <f>'Todos los Codigos'!A299</f>
        <v>*DGSW107-0*</v>
      </c>
      <c r="D299" s="57" t="str">
        <f>'Catalogo de Codigos '!H108</f>
        <v>*DGSW107-1*</v>
      </c>
      <c r="E299" s="60" t="str">
        <f>'Catalogo de Codigos '!I108</f>
        <v>*DGSW107-2*</v>
      </c>
    </row>
    <row r="300" spans="1:5" ht="30" customHeight="1" x14ac:dyDescent="0.25">
      <c r="A300" s="55" t="str">
        <f>'Todos los Codigos'!A299</f>
        <v>*DGSW107-0*</v>
      </c>
      <c r="B300" s="55" t="str">
        <f>'Todos los Codigos'!A299</f>
        <v>*DGSW107-0*</v>
      </c>
      <c r="C300" s="55" t="str">
        <f>'Todos los Codigos'!A299</f>
        <v>*DGSW107-0*</v>
      </c>
      <c r="D300" s="57" t="str">
        <f>'Todos los Codigos'!D299</f>
        <v>*DGSW107-1*</v>
      </c>
      <c r="E300" s="60" t="str">
        <f>'Todos los Codigos'!E299</f>
        <v>*DGSW107-2*</v>
      </c>
    </row>
    <row r="301" spans="1:5" ht="30" customHeight="1" x14ac:dyDescent="0.25"/>
    <row r="302" spans="1:5" ht="30" customHeight="1" x14ac:dyDescent="0.25">
      <c r="A302" s="55" t="str">
        <f>'Catalogo de Codigos '!G109</f>
        <v>*DGSW108-0*</v>
      </c>
      <c r="B302" s="55" t="str">
        <f>'Todos los Codigos'!A302</f>
        <v>*DGSW108-0*</v>
      </c>
      <c r="C302" s="55" t="str">
        <f>'Todos los Codigos'!A302</f>
        <v>*DGSW108-0*</v>
      </c>
      <c r="D302" s="57" t="str">
        <f>'Catalogo de Codigos '!H109</f>
        <v>*DGSW108-1*</v>
      </c>
      <c r="E302" s="60" t="str">
        <f>'Catalogo de Codigos '!I109</f>
        <v>*DGSW108-2*</v>
      </c>
    </row>
    <row r="303" spans="1:5" ht="30" customHeight="1" x14ac:dyDescent="0.25">
      <c r="A303" s="55" t="str">
        <f>'Todos los Codigos'!A302</f>
        <v>*DGSW108-0*</v>
      </c>
      <c r="B303" s="55" t="str">
        <f>'Todos los Codigos'!A302</f>
        <v>*DGSW108-0*</v>
      </c>
      <c r="C303" s="55" t="str">
        <f>'Todos los Codigos'!A302</f>
        <v>*DGSW108-0*</v>
      </c>
      <c r="D303" s="57" t="str">
        <f>'Todos los Codigos'!D302</f>
        <v>*DGSW108-1*</v>
      </c>
      <c r="E303" s="60" t="str">
        <f>'Todos los Codigos'!E302</f>
        <v>*DGSW108-2*</v>
      </c>
    </row>
    <row r="304" spans="1:5" ht="30" customHeight="1" x14ac:dyDescent="0.25"/>
    <row r="305" spans="1:5" ht="30" customHeight="1" x14ac:dyDescent="0.25">
      <c r="A305" s="55" t="str">
        <f>'Catalogo de Codigos '!G110</f>
        <v>*DGSW109-0*</v>
      </c>
      <c r="B305" s="55" t="str">
        <f>'Todos los Codigos'!A305</f>
        <v>*DGSW109-0*</v>
      </c>
      <c r="C305" s="55" t="str">
        <f>'Todos los Codigos'!A305</f>
        <v>*DGSW109-0*</v>
      </c>
      <c r="D305" s="57" t="str">
        <f>'Catalogo de Codigos '!H110</f>
        <v>*DGSW109-1*</v>
      </c>
      <c r="E305" s="60" t="str">
        <f>'Catalogo de Codigos '!I110</f>
        <v>*DGSW109-2*</v>
      </c>
    </row>
    <row r="306" spans="1:5" ht="30" customHeight="1" x14ac:dyDescent="0.25">
      <c r="A306" s="55" t="str">
        <f>'Todos los Codigos'!A305</f>
        <v>*DGSW109-0*</v>
      </c>
      <c r="B306" s="55" t="str">
        <f>'Todos los Codigos'!A305</f>
        <v>*DGSW109-0*</v>
      </c>
      <c r="C306" s="55" t="str">
        <f>'Todos los Codigos'!A305</f>
        <v>*DGSW109-0*</v>
      </c>
      <c r="D306" s="57" t="str">
        <f>'Todos los Codigos'!D305</f>
        <v>*DGSW109-1*</v>
      </c>
      <c r="E306" s="60" t="str">
        <f>'Todos los Codigos'!E305</f>
        <v>*DGSW109-2*</v>
      </c>
    </row>
    <row r="307" spans="1:5" ht="30" customHeight="1" x14ac:dyDescent="0.25">
      <c r="A307" s="55" t="str">
        <f>'Catalogo de Codigos '!G111</f>
        <v>*DGSW110-0*</v>
      </c>
      <c r="B307" s="55" t="str">
        <f>'Todos los Codigos'!A307</f>
        <v>*DGSW110-0*</v>
      </c>
      <c r="C307" s="55" t="str">
        <f>'Todos los Codigos'!A307</f>
        <v>*DGSW110-0*</v>
      </c>
      <c r="D307" s="57" t="str">
        <f>'Catalogo de Codigos '!H111</f>
        <v>*DGSW110-1*</v>
      </c>
      <c r="E307" s="60" t="str">
        <f>'Catalogo de Codigos '!I111</f>
        <v>*DGSW110-2*</v>
      </c>
    </row>
    <row r="308" spans="1:5" ht="30" customHeight="1" x14ac:dyDescent="0.25">
      <c r="A308" s="55" t="str">
        <f>'Todos los Codigos'!A307</f>
        <v>*DGSW110-0*</v>
      </c>
      <c r="B308" s="55" t="str">
        <f>'Todos los Codigos'!A307</f>
        <v>*DGSW110-0*</v>
      </c>
      <c r="C308" s="55" t="str">
        <f>'Todos los Codigos'!A307</f>
        <v>*DGSW110-0*</v>
      </c>
      <c r="D308" s="57" t="str">
        <f>'Todos los Codigos'!D307</f>
        <v>*DGSW110-1*</v>
      </c>
      <c r="E308" s="60" t="str">
        <f>'Todos los Codigos'!E307</f>
        <v>*DGSW110-2*</v>
      </c>
    </row>
    <row r="309" spans="1:5" ht="30" customHeight="1" x14ac:dyDescent="0.25"/>
    <row r="310" spans="1:5" ht="30" customHeight="1" x14ac:dyDescent="0.25">
      <c r="A310" s="55" t="str">
        <f>'Catalogo de Codigos '!G112</f>
        <v>*DGSW111-0*</v>
      </c>
      <c r="B310" s="55" t="str">
        <f>'Todos los Codigos'!A310</f>
        <v>*DGSW111-0*</v>
      </c>
      <c r="C310" s="55" t="str">
        <f>'Todos los Codigos'!A310</f>
        <v>*DGSW111-0*</v>
      </c>
      <c r="D310" s="57" t="str">
        <f>'Catalogo de Codigos '!H112</f>
        <v>*DGSW111-1*</v>
      </c>
      <c r="E310" s="60" t="str">
        <f>'Catalogo de Codigos '!I112</f>
        <v>*DGSW111-2*</v>
      </c>
    </row>
    <row r="311" spans="1:5" ht="30" customHeight="1" x14ac:dyDescent="0.25">
      <c r="A311" s="55" t="str">
        <f>'Todos los Codigos'!A310</f>
        <v>*DGSW111-0*</v>
      </c>
      <c r="B311" s="55" t="str">
        <f>'Todos los Codigos'!A310</f>
        <v>*DGSW111-0*</v>
      </c>
      <c r="C311" s="55" t="str">
        <f>'Todos los Codigos'!A310</f>
        <v>*DGSW111-0*</v>
      </c>
      <c r="D311" s="57" t="str">
        <f>'Todos los Codigos'!D310</f>
        <v>*DGSW111-1*</v>
      </c>
      <c r="E311" s="60" t="str">
        <f>'Todos los Codigos'!E310</f>
        <v>*DGSW111-2*</v>
      </c>
    </row>
    <row r="312" spans="1:5" ht="30" customHeight="1" x14ac:dyDescent="0.25"/>
    <row r="313" spans="1:5" ht="30" customHeight="1" x14ac:dyDescent="0.25">
      <c r="A313" s="55" t="str">
        <f>'Catalogo de Codigos '!G113</f>
        <v>*DGSW112-0*</v>
      </c>
      <c r="B313" s="55" t="str">
        <f>'Todos los Codigos'!A313</f>
        <v>*DGSW112-0*</v>
      </c>
      <c r="C313" s="55" t="str">
        <f>'Todos los Codigos'!A313</f>
        <v>*DGSW112-0*</v>
      </c>
      <c r="D313" s="57" t="str">
        <f>'Catalogo de Codigos '!H113</f>
        <v>*DGSW112-1*</v>
      </c>
      <c r="E313" s="60" t="str">
        <f>'Catalogo de Codigos '!I113</f>
        <v>*DGSW112-2*</v>
      </c>
    </row>
    <row r="314" spans="1:5" ht="30" customHeight="1" x14ac:dyDescent="0.25">
      <c r="A314" s="55" t="str">
        <f>'Todos los Codigos'!A313</f>
        <v>*DGSW112-0*</v>
      </c>
      <c r="B314" s="55" t="str">
        <f>'Todos los Codigos'!A313</f>
        <v>*DGSW112-0*</v>
      </c>
      <c r="C314" s="55" t="str">
        <f>'Todos los Codigos'!A313</f>
        <v>*DGSW112-0*</v>
      </c>
      <c r="D314" s="57" t="str">
        <f>'Todos los Codigos'!D313</f>
        <v>*DGSW112-1*</v>
      </c>
      <c r="E314" s="60" t="str">
        <f>'Todos los Codigos'!E313</f>
        <v>*DGSW112-2*</v>
      </c>
    </row>
    <row r="315" spans="1:5" ht="30" customHeight="1" x14ac:dyDescent="0.25"/>
    <row r="316" spans="1:5" ht="30" customHeight="1" x14ac:dyDescent="0.25">
      <c r="A316" s="55" t="str">
        <f>'Catalogo de Codigos '!G114</f>
        <v>*DGSW113-0*</v>
      </c>
      <c r="B316" s="55" t="str">
        <f>'Todos los Codigos'!A316</f>
        <v>*DGSW113-0*</v>
      </c>
      <c r="C316" s="55" t="str">
        <f>'Todos los Codigos'!A316</f>
        <v>*DGSW113-0*</v>
      </c>
      <c r="D316" s="57" t="str">
        <f>'Catalogo de Codigos '!H114</f>
        <v>*DGSW113-1*</v>
      </c>
      <c r="E316" s="60" t="str">
        <f>'Catalogo de Codigos '!I114</f>
        <v>*DGSW113-2*</v>
      </c>
    </row>
    <row r="317" spans="1:5" ht="30" customHeight="1" x14ac:dyDescent="0.25">
      <c r="A317" s="55" t="str">
        <f>'Todos los Codigos'!A316</f>
        <v>*DGSW113-0*</v>
      </c>
      <c r="B317" s="55" t="str">
        <f>'Todos los Codigos'!A316</f>
        <v>*DGSW113-0*</v>
      </c>
      <c r="C317" s="55" t="str">
        <f>'Todos los Codigos'!A316</f>
        <v>*DGSW113-0*</v>
      </c>
      <c r="D317" s="57" t="str">
        <f>'Todos los Codigos'!D316</f>
        <v>*DGSW113-1*</v>
      </c>
      <c r="E317" s="60" t="str">
        <f>'Todos los Codigos'!E316</f>
        <v>*DGSW113-2*</v>
      </c>
    </row>
    <row r="318" spans="1:5" ht="30" customHeight="1" x14ac:dyDescent="0.25"/>
    <row r="319" spans="1:5" ht="30" customHeight="1" x14ac:dyDescent="0.25">
      <c r="A319" s="55" t="str">
        <f>'Catalogo de Codigos '!G115</f>
        <v>*DGSW114-0*</v>
      </c>
      <c r="B319" s="55" t="str">
        <f>'Todos los Codigos'!A319</f>
        <v>*DGSW114-0*</v>
      </c>
      <c r="C319" s="55" t="str">
        <f>'Todos los Codigos'!A319</f>
        <v>*DGSW114-0*</v>
      </c>
      <c r="D319" s="57" t="str">
        <f>'Catalogo de Codigos '!H115</f>
        <v>*DGSW114-1*</v>
      </c>
      <c r="E319" s="60" t="str">
        <f>'Catalogo de Codigos '!I115</f>
        <v>*DGSW114-2*</v>
      </c>
    </row>
    <row r="320" spans="1:5" ht="30" customHeight="1" x14ac:dyDescent="0.25">
      <c r="A320" s="55" t="str">
        <f>'Todos los Codigos'!A319</f>
        <v>*DGSW114-0*</v>
      </c>
      <c r="B320" s="55" t="str">
        <f>'Todos los Codigos'!A319</f>
        <v>*DGSW114-0*</v>
      </c>
      <c r="C320" s="55" t="str">
        <f>'Todos los Codigos'!A319</f>
        <v>*DGSW114-0*</v>
      </c>
      <c r="D320" s="57" t="str">
        <f>'Todos los Codigos'!D319</f>
        <v>*DGSW114-1*</v>
      </c>
      <c r="E320" s="60" t="str">
        <f>'Todos los Codigos'!E319</f>
        <v>*DGSW114-2*</v>
      </c>
    </row>
    <row r="321" spans="1:5" ht="30" customHeight="1" x14ac:dyDescent="0.25"/>
    <row r="322" spans="1:5" ht="30" customHeight="1" x14ac:dyDescent="0.25">
      <c r="A322" s="55" t="str">
        <f>'Catalogo de Codigos '!G116</f>
        <v>*DGSW115-0*</v>
      </c>
      <c r="B322" s="55" t="str">
        <f>'Todos los Codigos'!A322</f>
        <v>*DGSW115-0*</v>
      </c>
      <c r="C322" s="55" t="str">
        <f>'Todos los Codigos'!A322</f>
        <v>*DGSW115-0*</v>
      </c>
      <c r="D322" s="57" t="str">
        <f>'Catalogo de Codigos '!H116</f>
        <v>*DGSW115-1*</v>
      </c>
      <c r="E322" s="60" t="str">
        <f>'Catalogo de Codigos '!I116</f>
        <v>*DGSW115-2*</v>
      </c>
    </row>
    <row r="323" spans="1:5" ht="30" customHeight="1" x14ac:dyDescent="0.25">
      <c r="A323" s="55" t="str">
        <f>'Todos los Codigos'!A322</f>
        <v>*DGSW115-0*</v>
      </c>
      <c r="B323" s="55" t="str">
        <f>'Todos los Codigos'!A322</f>
        <v>*DGSW115-0*</v>
      </c>
      <c r="C323" s="55" t="str">
        <f>'Todos los Codigos'!A322</f>
        <v>*DGSW115-0*</v>
      </c>
      <c r="D323" s="57" t="str">
        <f>'Todos los Codigos'!D322</f>
        <v>*DGSW115-1*</v>
      </c>
      <c r="E323" s="60" t="str">
        <f>'Todos los Codigos'!E322</f>
        <v>*DGSW115-2*</v>
      </c>
    </row>
    <row r="324" spans="1:5" ht="30" customHeight="1" x14ac:dyDescent="0.25">
      <c r="A324" s="55" t="str">
        <f>'Catalogo de Codigos '!G117</f>
        <v>*DGSW116-0*</v>
      </c>
      <c r="B324" s="55" t="str">
        <f>'Todos los Codigos'!A324</f>
        <v>*DGSW116-0*</v>
      </c>
      <c r="C324" s="55" t="str">
        <f>'Todos los Codigos'!A324</f>
        <v>*DGSW116-0*</v>
      </c>
      <c r="D324" s="57" t="str">
        <f>'Catalogo de Codigos '!H117</f>
        <v>*DGSW116-1*</v>
      </c>
      <c r="E324" s="60" t="str">
        <f>'Catalogo de Codigos '!I117</f>
        <v>*DGSW116-2*</v>
      </c>
    </row>
    <row r="325" spans="1:5" ht="30" customHeight="1" x14ac:dyDescent="0.25">
      <c r="A325" s="55" t="str">
        <f>'Todos los Codigos'!A324</f>
        <v>*DGSW116-0*</v>
      </c>
      <c r="B325" s="55" t="str">
        <f>'Todos los Codigos'!A324</f>
        <v>*DGSW116-0*</v>
      </c>
      <c r="C325" s="55" t="str">
        <f>'Todos los Codigos'!A324</f>
        <v>*DGSW116-0*</v>
      </c>
      <c r="D325" s="57" t="str">
        <f>'Todos los Codigos'!D324</f>
        <v>*DGSW116-1*</v>
      </c>
      <c r="E325" s="60" t="str">
        <f>'Todos los Codigos'!E324</f>
        <v>*DGSW116-2*</v>
      </c>
    </row>
    <row r="326" spans="1:5" ht="30" customHeight="1" x14ac:dyDescent="0.25"/>
    <row r="327" spans="1:5" ht="30" customHeight="1" x14ac:dyDescent="0.25">
      <c r="A327" s="55" t="str">
        <f>'Catalogo de Codigos '!G118</f>
        <v>*DGSW117-0*</v>
      </c>
      <c r="B327" s="55" t="str">
        <f>'Todos los Codigos'!A327</f>
        <v>*DGSW117-0*</v>
      </c>
      <c r="C327" s="55" t="str">
        <f>'Todos los Codigos'!A327</f>
        <v>*DGSW117-0*</v>
      </c>
      <c r="D327" s="57" t="str">
        <f>'Catalogo de Codigos '!H118</f>
        <v>*DGSW117-1*</v>
      </c>
      <c r="E327" s="60" t="str">
        <f>'Catalogo de Codigos '!I118</f>
        <v>*DGSW117-2*</v>
      </c>
    </row>
    <row r="328" spans="1:5" ht="30" customHeight="1" x14ac:dyDescent="0.25">
      <c r="A328" s="55" t="str">
        <f>'Todos los Codigos'!A327</f>
        <v>*DGSW117-0*</v>
      </c>
      <c r="B328" s="55" t="str">
        <f>'Todos los Codigos'!A327</f>
        <v>*DGSW117-0*</v>
      </c>
      <c r="C328" s="55" t="str">
        <f>'Todos los Codigos'!A327</f>
        <v>*DGSW117-0*</v>
      </c>
      <c r="D328" s="57" t="str">
        <f>'Todos los Codigos'!D327</f>
        <v>*DGSW117-1*</v>
      </c>
      <c r="E328" s="60" t="str">
        <f>'Todos los Codigos'!E327</f>
        <v>*DGSW117-2*</v>
      </c>
    </row>
    <row r="329" spans="1:5" ht="30" customHeight="1" x14ac:dyDescent="0.25"/>
    <row r="330" spans="1:5" ht="30" customHeight="1" x14ac:dyDescent="0.25">
      <c r="A330" s="55" t="str">
        <f>'Catalogo de Codigos '!G119</f>
        <v>*DGSW118-0*</v>
      </c>
      <c r="B330" s="55" t="str">
        <f>'Todos los Codigos'!A330</f>
        <v>*DGSW118-0*</v>
      </c>
      <c r="C330" s="55" t="str">
        <f>'Todos los Codigos'!A330</f>
        <v>*DGSW118-0*</v>
      </c>
      <c r="D330" s="57" t="str">
        <f>'Catalogo de Codigos '!H119</f>
        <v>*DGSW118-1*</v>
      </c>
      <c r="E330" s="60" t="str">
        <f>'Catalogo de Codigos '!I119</f>
        <v>*DGSW118-2*</v>
      </c>
    </row>
    <row r="331" spans="1:5" ht="30" customHeight="1" x14ac:dyDescent="0.25">
      <c r="A331" s="55" t="str">
        <f>'Todos los Codigos'!A330</f>
        <v>*DGSW118-0*</v>
      </c>
      <c r="B331" s="55" t="str">
        <f>'Todos los Codigos'!A330</f>
        <v>*DGSW118-0*</v>
      </c>
      <c r="C331" s="55" t="str">
        <f>'Todos los Codigos'!A330</f>
        <v>*DGSW118-0*</v>
      </c>
      <c r="D331" s="57" t="str">
        <f>'Todos los Codigos'!D330</f>
        <v>*DGSW118-1*</v>
      </c>
      <c r="E331" s="60" t="str">
        <f>'Todos los Codigos'!E330</f>
        <v>*DGSW118-2*</v>
      </c>
    </row>
    <row r="332" spans="1:5" ht="30" customHeight="1" x14ac:dyDescent="0.25"/>
    <row r="333" spans="1:5" ht="30" customHeight="1" x14ac:dyDescent="0.25">
      <c r="A333" s="55" t="str">
        <f>'Catalogo de Codigos '!G120</f>
        <v>*DGSW119-0*</v>
      </c>
      <c r="B333" s="55" t="str">
        <f>'Todos los Codigos'!A333</f>
        <v>*DGSW119-0*</v>
      </c>
      <c r="C333" s="55" t="str">
        <f>'Todos los Codigos'!A333</f>
        <v>*DGSW119-0*</v>
      </c>
      <c r="D333" s="57" t="str">
        <f>'Catalogo de Codigos '!H120</f>
        <v>*DGSW119-1*</v>
      </c>
      <c r="E333" s="60" t="str">
        <f>'Catalogo de Codigos '!I120</f>
        <v>*DGSW119-2*</v>
      </c>
    </row>
    <row r="334" spans="1:5" ht="30" customHeight="1" x14ac:dyDescent="0.25">
      <c r="A334" s="55" t="str">
        <f>'Todos los Codigos'!A333</f>
        <v>*DGSW119-0*</v>
      </c>
      <c r="B334" s="55" t="str">
        <f>'Todos los Codigos'!A333</f>
        <v>*DGSW119-0*</v>
      </c>
      <c r="C334" s="55" t="str">
        <f>'Todos los Codigos'!A333</f>
        <v>*DGSW119-0*</v>
      </c>
      <c r="D334" s="57" t="str">
        <f>'Todos los Codigos'!D333</f>
        <v>*DGSW119-1*</v>
      </c>
      <c r="E334" s="60" t="str">
        <f>'Todos los Codigos'!E333</f>
        <v>*DGSW119-2*</v>
      </c>
    </row>
    <row r="335" spans="1:5" ht="30" customHeight="1" x14ac:dyDescent="0.25"/>
    <row r="336" spans="1:5" ht="30" customHeight="1" x14ac:dyDescent="0.25">
      <c r="A336" s="55" t="str">
        <f>'Catalogo de Codigos '!G121</f>
        <v>*DGSW120-0*</v>
      </c>
      <c r="B336" s="55" t="str">
        <f>'Todos los Codigos'!A336</f>
        <v>*DGSW120-0*</v>
      </c>
      <c r="C336" s="55" t="str">
        <f>'Todos los Codigos'!A336</f>
        <v>*DGSW120-0*</v>
      </c>
      <c r="D336" s="57" t="str">
        <f>'Catalogo de Codigos '!H121</f>
        <v>*DGSW120-1*</v>
      </c>
      <c r="E336" s="60" t="str">
        <f>'Catalogo de Codigos '!I121</f>
        <v>*DGSW120-2*</v>
      </c>
    </row>
    <row r="337" spans="1:5" ht="30" customHeight="1" x14ac:dyDescent="0.25">
      <c r="A337" s="55" t="str">
        <f>'Todos los Codigos'!A336</f>
        <v>*DGSW120-0*</v>
      </c>
      <c r="B337" s="55" t="str">
        <f>'Todos los Codigos'!A336</f>
        <v>*DGSW120-0*</v>
      </c>
      <c r="C337" s="55" t="str">
        <f>'Todos los Codigos'!A336</f>
        <v>*DGSW120-0*</v>
      </c>
      <c r="D337" s="57" t="str">
        <f>'Todos los Codigos'!D336</f>
        <v>*DGSW120-1*</v>
      </c>
      <c r="E337" s="60" t="str">
        <f>'Todos los Codigos'!E336</f>
        <v>*DGSW120-2*</v>
      </c>
    </row>
    <row r="338" spans="1:5" ht="30" customHeight="1" x14ac:dyDescent="0.25"/>
    <row r="339" spans="1:5" ht="30" customHeight="1" x14ac:dyDescent="0.25">
      <c r="A339" s="55" t="str">
        <f>'Catalogo de Codigos '!G122</f>
        <v>*DGSW121-0*</v>
      </c>
      <c r="B339" s="55" t="str">
        <f>'Todos los Codigos'!A339</f>
        <v>*DGSW121-0*</v>
      </c>
      <c r="C339" s="55" t="str">
        <f>'Todos los Codigos'!A339</f>
        <v>*DGSW121-0*</v>
      </c>
      <c r="D339" s="57" t="str">
        <f>'Catalogo de Codigos '!H122</f>
        <v>*DGSW121-1*</v>
      </c>
      <c r="E339" s="60" t="str">
        <f>'Catalogo de Codigos '!I122</f>
        <v>*DGSW121-2*</v>
      </c>
    </row>
    <row r="340" spans="1:5" ht="30" customHeight="1" x14ac:dyDescent="0.25">
      <c r="A340" s="55" t="str">
        <f>'Todos los Codigos'!A339</f>
        <v>*DGSW121-0*</v>
      </c>
      <c r="B340" s="55" t="str">
        <f>'Todos los Codigos'!A339</f>
        <v>*DGSW121-0*</v>
      </c>
      <c r="C340" s="55" t="str">
        <f>'Todos los Codigos'!A339</f>
        <v>*DGSW121-0*</v>
      </c>
      <c r="D340" s="57" t="str">
        <f>'Todos los Codigos'!D339</f>
        <v>*DGSW121-1*</v>
      </c>
      <c r="E340" s="60" t="str">
        <f>'Todos los Codigos'!E339</f>
        <v>*DGSW121-2*</v>
      </c>
    </row>
    <row r="341" spans="1:5" ht="30" customHeight="1" x14ac:dyDescent="0.25">
      <c r="A341" s="55" t="str">
        <f>'Catalogo de Codigos '!G123</f>
        <v>*DGSW122-0*</v>
      </c>
      <c r="B341" s="55" t="str">
        <f>'Todos los Codigos'!A341</f>
        <v>*DGSW122-0*</v>
      </c>
      <c r="C341" s="55" t="str">
        <f>'Todos los Codigos'!A341</f>
        <v>*DGSW122-0*</v>
      </c>
      <c r="D341" s="57" t="str">
        <f>'Catalogo de Codigos '!H123</f>
        <v>*DGSW122-1*</v>
      </c>
      <c r="E341" s="60" t="str">
        <f>'Catalogo de Codigos '!I123</f>
        <v>*DGSW122-2*</v>
      </c>
    </row>
    <row r="342" spans="1:5" ht="30" customHeight="1" x14ac:dyDescent="0.25">
      <c r="A342" s="55" t="str">
        <f>'Todos los Codigos'!A341</f>
        <v>*DGSW122-0*</v>
      </c>
      <c r="B342" s="55" t="str">
        <f>'Todos los Codigos'!A341</f>
        <v>*DGSW122-0*</v>
      </c>
      <c r="C342" s="55" t="str">
        <f>'Todos los Codigos'!A341</f>
        <v>*DGSW122-0*</v>
      </c>
      <c r="D342" s="57" t="str">
        <f>'Todos los Codigos'!D341</f>
        <v>*DGSW122-1*</v>
      </c>
      <c r="E342" s="60" t="str">
        <f>'Todos los Codigos'!E341</f>
        <v>*DGSW122-2*</v>
      </c>
    </row>
    <row r="343" spans="1:5" ht="30" customHeight="1" x14ac:dyDescent="0.25"/>
    <row r="344" spans="1:5" ht="30" customHeight="1" x14ac:dyDescent="0.25">
      <c r="A344" s="55" t="str">
        <f>'Catalogo de Codigos '!G124</f>
        <v>*DGSW123-0*</v>
      </c>
      <c r="B344" s="55" t="str">
        <f>'Todos los Codigos'!A344</f>
        <v>*DGSW123-0*</v>
      </c>
      <c r="C344" s="55" t="str">
        <f>'Todos los Codigos'!A344</f>
        <v>*DGSW123-0*</v>
      </c>
      <c r="D344" s="57" t="str">
        <f>'Catalogo de Codigos '!H124</f>
        <v>*DGSW123-1*</v>
      </c>
      <c r="E344" s="60" t="str">
        <f>'Catalogo de Codigos '!I124</f>
        <v>*DGSW123-2*</v>
      </c>
    </row>
    <row r="345" spans="1:5" ht="30" customHeight="1" x14ac:dyDescent="0.25">
      <c r="A345" s="55" t="str">
        <f>'Todos los Codigos'!A344</f>
        <v>*DGSW123-0*</v>
      </c>
      <c r="B345" s="55" t="str">
        <f>'Todos los Codigos'!A344</f>
        <v>*DGSW123-0*</v>
      </c>
      <c r="C345" s="55" t="str">
        <f>'Todos los Codigos'!A344</f>
        <v>*DGSW123-0*</v>
      </c>
      <c r="D345" s="57" t="str">
        <f>'Todos los Codigos'!D344</f>
        <v>*DGSW123-1*</v>
      </c>
      <c r="E345" s="60" t="str">
        <f>'Todos los Codigos'!E344</f>
        <v>*DGSW123-2*</v>
      </c>
    </row>
    <row r="346" spans="1:5" ht="30" customHeight="1" x14ac:dyDescent="0.25"/>
    <row r="347" spans="1:5" ht="30" customHeight="1" x14ac:dyDescent="0.25">
      <c r="A347" s="55" t="str">
        <f>'Catalogo de Codigos '!G125</f>
        <v>*DGSW124-0*</v>
      </c>
      <c r="B347" s="55" t="str">
        <f>'Todos los Codigos'!A347</f>
        <v>*DGSW124-0*</v>
      </c>
      <c r="C347" s="55" t="str">
        <f>'Todos los Codigos'!A347</f>
        <v>*DGSW124-0*</v>
      </c>
      <c r="D347" s="57" t="str">
        <f>'Catalogo de Codigos '!H125</f>
        <v>*DGSW124-1*</v>
      </c>
      <c r="E347" s="60" t="str">
        <f>'Catalogo de Codigos '!I125</f>
        <v>*DGSW124-2*</v>
      </c>
    </row>
    <row r="348" spans="1:5" ht="30" customHeight="1" x14ac:dyDescent="0.25">
      <c r="A348" s="55" t="str">
        <f>'Todos los Codigos'!A347</f>
        <v>*DGSW124-0*</v>
      </c>
      <c r="B348" s="55" t="str">
        <f>'Todos los Codigos'!A347</f>
        <v>*DGSW124-0*</v>
      </c>
      <c r="C348" s="55" t="str">
        <f>'Todos los Codigos'!A347</f>
        <v>*DGSW124-0*</v>
      </c>
      <c r="D348" s="57" t="str">
        <f>'Todos los Codigos'!D347</f>
        <v>*DGSW124-1*</v>
      </c>
      <c r="E348" s="60" t="str">
        <f>'Todos los Codigos'!E347</f>
        <v>*DGSW124-2*</v>
      </c>
    </row>
    <row r="349" spans="1:5" ht="30" customHeight="1" x14ac:dyDescent="0.25"/>
    <row r="350" spans="1:5" ht="30" customHeight="1" x14ac:dyDescent="0.25">
      <c r="A350" s="55" t="str">
        <f>'Catalogo de Codigos '!G126</f>
        <v>*DGSW125-0*</v>
      </c>
      <c r="B350" s="55" t="str">
        <f>'Todos los Codigos'!A350</f>
        <v>*DGSW125-0*</v>
      </c>
      <c r="C350" s="55" t="str">
        <f>'Todos los Codigos'!A350</f>
        <v>*DGSW125-0*</v>
      </c>
      <c r="D350" s="57" t="str">
        <f>'Catalogo de Codigos '!H126</f>
        <v>*DGSW125-1*</v>
      </c>
      <c r="E350" s="60" t="str">
        <f>'Catalogo de Codigos '!I126</f>
        <v>*DGSW125-2*</v>
      </c>
    </row>
    <row r="351" spans="1:5" ht="30" customHeight="1" x14ac:dyDescent="0.25">
      <c r="A351" s="55" t="str">
        <f>'Todos los Codigos'!A350</f>
        <v>*DGSW125-0*</v>
      </c>
      <c r="B351" s="55" t="str">
        <f>'Todos los Codigos'!A350</f>
        <v>*DGSW125-0*</v>
      </c>
      <c r="C351" s="55" t="str">
        <f>'Todos los Codigos'!A350</f>
        <v>*DGSW125-0*</v>
      </c>
      <c r="D351" s="57" t="str">
        <f>'Todos los Codigos'!D350</f>
        <v>*DGSW125-1*</v>
      </c>
      <c r="E351" s="60" t="str">
        <f>'Todos los Codigos'!E350</f>
        <v>*DGSW125-2*</v>
      </c>
    </row>
    <row r="352" spans="1:5" ht="30" customHeight="1" x14ac:dyDescent="0.25"/>
    <row r="353" spans="1:5" ht="30" customHeight="1" x14ac:dyDescent="0.25">
      <c r="A353" s="55" t="str">
        <f>'Catalogo de Codigos '!G127</f>
        <v>*DGSW126-0*</v>
      </c>
      <c r="B353" s="55" t="str">
        <f>'Todos los Codigos'!A353</f>
        <v>*DGSW126-0*</v>
      </c>
      <c r="C353" s="55" t="str">
        <f>'Todos los Codigos'!A353</f>
        <v>*DGSW126-0*</v>
      </c>
      <c r="D353" s="57" t="str">
        <f>'Catalogo de Codigos '!H127</f>
        <v>*DGSW126-1*</v>
      </c>
      <c r="E353" s="60" t="str">
        <f>'Catalogo de Codigos '!I127</f>
        <v>*DGSW126-2*</v>
      </c>
    </row>
    <row r="354" spans="1:5" ht="30" customHeight="1" x14ac:dyDescent="0.25">
      <c r="A354" s="55" t="str">
        <f>'Todos los Codigos'!A353</f>
        <v>*DGSW126-0*</v>
      </c>
      <c r="B354" s="55" t="str">
        <f>'Todos los Codigos'!A353</f>
        <v>*DGSW126-0*</v>
      </c>
      <c r="C354" s="55" t="str">
        <f>'Todos los Codigos'!A353</f>
        <v>*DGSW126-0*</v>
      </c>
      <c r="D354" s="57" t="str">
        <f>'Todos los Codigos'!D353</f>
        <v>*DGSW126-1*</v>
      </c>
      <c r="E354" s="60" t="str">
        <f>'Todos los Codigos'!E353</f>
        <v>*DGSW126-2*</v>
      </c>
    </row>
    <row r="355" spans="1:5" ht="30" customHeight="1" x14ac:dyDescent="0.25"/>
    <row r="356" spans="1:5" ht="30" customHeight="1" x14ac:dyDescent="0.25">
      <c r="A356" s="55" t="str">
        <f>'Catalogo de Codigos '!G128</f>
        <v>*DGSW127-0*</v>
      </c>
      <c r="B356" s="55" t="str">
        <f>'Todos los Codigos'!A356</f>
        <v>*DGSW127-0*</v>
      </c>
      <c r="C356" s="55" t="str">
        <f>'Todos los Codigos'!A356</f>
        <v>*DGSW127-0*</v>
      </c>
      <c r="D356" s="57" t="str">
        <f>'Catalogo de Codigos '!H128</f>
        <v>*DGSW127-1*</v>
      </c>
      <c r="E356" s="60" t="str">
        <f>'Catalogo de Codigos '!I128</f>
        <v>*DGSW127-2*</v>
      </c>
    </row>
    <row r="357" spans="1:5" ht="30" customHeight="1" x14ac:dyDescent="0.25">
      <c r="A357" s="55" t="str">
        <f>'Todos los Codigos'!A356</f>
        <v>*DGSW127-0*</v>
      </c>
      <c r="B357" s="55" t="str">
        <f>'Todos los Codigos'!A356</f>
        <v>*DGSW127-0*</v>
      </c>
      <c r="C357" s="55" t="str">
        <f>'Todos los Codigos'!A356</f>
        <v>*DGSW127-0*</v>
      </c>
      <c r="D357" s="57" t="str">
        <f>'Todos los Codigos'!D356</f>
        <v>*DGSW127-1*</v>
      </c>
      <c r="E357" s="60" t="str">
        <f>'Todos los Codigos'!E356</f>
        <v>*DGSW127-2*</v>
      </c>
    </row>
    <row r="358" spans="1:5" ht="30" customHeight="1" x14ac:dyDescent="0.25">
      <c r="A358" s="55" t="str">
        <f>'Catalogo de Codigos '!G129</f>
        <v>*DGSW128-0*</v>
      </c>
      <c r="B358" s="55" t="str">
        <f>'Todos los Codigos'!A358</f>
        <v>*DGSW128-0*</v>
      </c>
      <c r="C358" s="55" t="str">
        <f>'Todos los Codigos'!A358</f>
        <v>*DGSW128-0*</v>
      </c>
      <c r="D358" s="57" t="str">
        <f>'Catalogo de Codigos '!H129</f>
        <v>*DGSW128-1*</v>
      </c>
      <c r="E358" s="60" t="str">
        <f>'Catalogo de Codigos '!I129</f>
        <v>*DGSW128-2*</v>
      </c>
    </row>
    <row r="359" spans="1:5" ht="30" customHeight="1" x14ac:dyDescent="0.25">
      <c r="A359" s="55" t="str">
        <f>'Todos los Codigos'!A358</f>
        <v>*DGSW128-0*</v>
      </c>
      <c r="B359" s="55" t="str">
        <f>'Todos los Codigos'!A358</f>
        <v>*DGSW128-0*</v>
      </c>
      <c r="C359" s="55" t="str">
        <f>'Todos los Codigos'!A358</f>
        <v>*DGSW128-0*</v>
      </c>
      <c r="D359" s="57" t="str">
        <f>'Todos los Codigos'!D358</f>
        <v>*DGSW128-1*</v>
      </c>
      <c r="E359" s="60" t="str">
        <f>'Todos los Codigos'!E358</f>
        <v>*DGSW128-2*</v>
      </c>
    </row>
    <row r="360" spans="1:5" ht="30" customHeight="1" x14ac:dyDescent="0.25"/>
    <row r="361" spans="1:5" ht="30" customHeight="1" x14ac:dyDescent="0.25">
      <c r="A361" s="55" t="str">
        <f>'Catalogo de Codigos '!G130</f>
        <v>*DGSW129-0*</v>
      </c>
      <c r="B361" s="55" t="str">
        <f>'Todos los Codigos'!A361</f>
        <v>*DGSW129-0*</v>
      </c>
      <c r="C361" s="55" t="str">
        <f>'Todos los Codigos'!A361</f>
        <v>*DGSW129-0*</v>
      </c>
      <c r="D361" s="57" t="str">
        <f>'Catalogo de Codigos '!H130</f>
        <v>*DGSW129-1*</v>
      </c>
      <c r="E361" s="60" t="str">
        <f>'Catalogo de Codigos '!I130</f>
        <v>*DGSW129-2*</v>
      </c>
    </row>
    <row r="362" spans="1:5" ht="30" customHeight="1" x14ac:dyDescent="0.25">
      <c r="A362" s="55" t="str">
        <f>'Todos los Codigos'!A361</f>
        <v>*DGSW129-0*</v>
      </c>
      <c r="B362" s="55" t="str">
        <f>'Todos los Codigos'!A361</f>
        <v>*DGSW129-0*</v>
      </c>
      <c r="C362" s="55" t="str">
        <f>'Todos los Codigos'!A361</f>
        <v>*DGSW129-0*</v>
      </c>
      <c r="D362" s="57" t="str">
        <f>'Todos los Codigos'!D361</f>
        <v>*DGSW129-1*</v>
      </c>
      <c r="E362" s="60" t="str">
        <f>'Todos los Codigos'!E361</f>
        <v>*DGSW129-2*</v>
      </c>
    </row>
    <row r="363" spans="1:5" ht="30" customHeight="1" x14ac:dyDescent="0.25"/>
    <row r="364" spans="1:5" ht="30" customHeight="1" x14ac:dyDescent="0.25">
      <c r="A364" s="55" t="str">
        <f>'Catalogo de Codigos '!G131</f>
        <v>*DGSW130-0*</v>
      </c>
      <c r="B364" s="55" t="str">
        <f>'Todos los Codigos'!A364</f>
        <v>*DGSW130-0*</v>
      </c>
      <c r="C364" s="55" t="str">
        <f>'Todos los Codigos'!A364</f>
        <v>*DGSW130-0*</v>
      </c>
      <c r="D364" s="57" t="str">
        <f>'Catalogo de Codigos '!H131</f>
        <v>*DGSW130-1*</v>
      </c>
      <c r="E364" s="60" t="str">
        <f>'Catalogo de Codigos '!I131</f>
        <v>*DGSW130-2*</v>
      </c>
    </row>
    <row r="365" spans="1:5" ht="30" customHeight="1" x14ac:dyDescent="0.25">
      <c r="A365" s="55" t="str">
        <f>'Todos los Codigos'!A364</f>
        <v>*DGSW130-0*</v>
      </c>
      <c r="B365" s="55" t="str">
        <f>'Todos los Codigos'!A364</f>
        <v>*DGSW130-0*</v>
      </c>
      <c r="C365" s="55" t="str">
        <f>'Todos los Codigos'!A364</f>
        <v>*DGSW130-0*</v>
      </c>
      <c r="D365" s="57" t="str">
        <f>'Todos los Codigos'!D364</f>
        <v>*DGSW130-1*</v>
      </c>
      <c r="E365" s="60" t="str">
        <f>'Todos los Codigos'!E364</f>
        <v>*DGSW130-2*</v>
      </c>
    </row>
    <row r="366" spans="1:5" ht="30" customHeight="1" x14ac:dyDescent="0.25"/>
    <row r="367" spans="1:5" ht="30" customHeight="1" x14ac:dyDescent="0.25">
      <c r="A367" s="55" t="str">
        <f>'Catalogo de Codigos '!G132</f>
        <v>*DGSW131-0*</v>
      </c>
      <c r="B367" s="55" t="str">
        <f>'Todos los Codigos'!A367</f>
        <v>*DGSW131-0*</v>
      </c>
      <c r="C367" s="55" t="str">
        <f>'Todos los Codigos'!A367</f>
        <v>*DGSW131-0*</v>
      </c>
      <c r="D367" s="57" t="str">
        <f>'Catalogo de Codigos '!H132</f>
        <v>*DGSW131-1*</v>
      </c>
      <c r="E367" s="60" t="str">
        <f>'Catalogo de Codigos '!I132</f>
        <v>*DGSW131-2*</v>
      </c>
    </row>
    <row r="368" spans="1:5" ht="30" customHeight="1" x14ac:dyDescent="0.25">
      <c r="A368" s="55" t="str">
        <f>'Todos los Codigos'!A367</f>
        <v>*DGSW131-0*</v>
      </c>
      <c r="B368" s="55" t="str">
        <f>'Todos los Codigos'!A367</f>
        <v>*DGSW131-0*</v>
      </c>
      <c r="C368" s="55" t="str">
        <f>'Todos los Codigos'!A367</f>
        <v>*DGSW131-0*</v>
      </c>
      <c r="D368" s="57" t="str">
        <f>'Todos los Codigos'!D367</f>
        <v>*DGSW131-1*</v>
      </c>
      <c r="E368" s="60" t="str">
        <f>'Todos los Codigos'!E367</f>
        <v>*DGSW131-2*</v>
      </c>
    </row>
    <row r="369" spans="1:5" ht="30" customHeight="1" x14ac:dyDescent="0.25"/>
    <row r="370" spans="1:5" ht="30" customHeight="1" x14ac:dyDescent="0.25">
      <c r="A370" s="55" t="str">
        <f>'Catalogo de Codigos '!G133</f>
        <v>*DGSW132-0*</v>
      </c>
      <c r="B370" s="55" t="str">
        <f>'Todos los Codigos'!A370</f>
        <v>*DGSW132-0*</v>
      </c>
      <c r="C370" s="55" t="str">
        <f>'Todos los Codigos'!A370</f>
        <v>*DGSW132-0*</v>
      </c>
      <c r="D370" s="57" t="str">
        <f>'Catalogo de Codigos '!H133</f>
        <v>*DGSW132-1*</v>
      </c>
      <c r="E370" s="60" t="str">
        <f>'Catalogo de Codigos '!I133</f>
        <v>*DGSW132-2*</v>
      </c>
    </row>
    <row r="371" spans="1:5" ht="30" customHeight="1" x14ac:dyDescent="0.25">
      <c r="A371" s="55" t="str">
        <f>'Todos los Codigos'!A370</f>
        <v>*DGSW132-0*</v>
      </c>
      <c r="B371" s="55" t="str">
        <f>'Todos los Codigos'!A370</f>
        <v>*DGSW132-0*</v>
      </c>
      <c r="C371" s="55" t="str">
        <f>'Todos los Codigos'!A370</f>
        <v>*DGSW132-0*</v>
      </c>
      <c r="D371" s="57" t="str">
        <f>'Todos los Codigos'!D370</f>
        <v>*DGSW132-1*</v>
      </c>
      <c r="E371" s="60" t="str">
        <f>'Todos los Codigos'!E370</f>
        <v>*DGSW132-2*</v>
      </c>
    </row>
    <row r="372" spans="1:5" ht="30" customHeight="1" x14ac:dyDescent="0.25"/>
    <row r="373" spans="1:5" ht="30" customHeight="1" x14ac:dyDescent="0.25">
      <c r="A373" s="55" t="str">
        <f>'Catalogo de Codigos '!G134</f>
        <v>*DGSW133-0*</v>
      </c>
      <c r="B373" s="55" t="str">
        <f>'Todos los Codigos'!A373</f>
        <v>*DGSW133-0*</v>
      </c>
      <c r="C373" s="55" t="str">
        <f>'Todos los Codigos'!A373</f>
        <v>*DGSW133-0*</v>
      </c>
      <c r="D373" s="57" t="str">
        <f>'Catalogo de Codigos '!H134</f>
        <v>*DGSW133-1*</v>
      </c>
      <c r="E373" s="60" t="str">
        <f>'Catalogo de Codigos '!I134</f>
        <v>*DGSW133-2*</v>
      </c>
    </row>
    <row r="374" spans="1:5" ht="30" customHeight="1" x14ac:dyDescent="0.25">
      <c r="A374" s="55" t="str">
        <f>'Todos los Codigos'!A373</f>
        <v>*DGSW133-0*</v>
      </c>
      <c r="B374" s="55" t="str">
        <f>'Todos los Codigos'!A373</f>
        <v>*DGSW133-0*</v>
      </c>
      <c r="C374" s="55" t="str">
        <f>'Todos los Codigos'!A373</f>
        <v>*DGSW133-0*</v>
      </c>
      <c r="D374" s="57" t="str">
        <f>'Todos los Codigos'!D373</f>
        <v>*DGSW133-1*</v>
      </c>
      <c r="E374" s="60" t="str">
        <f>'Todos los Codigos'!E373</f>
        <v>*DGSW133-2*</v>
      </c>
    </row>
    <row r="375" spans="1:5" ht="30" customHeight="1" x14ac:dyDescent="0.25">
      <c r="A375" s="55" t="str">
        <f>'Catalogo de Codigos '!G135</f>
        <v>*DGSW134-0*</v>
      </c>
      <c r="B375" s="55" t="str">
        <f>'Todos los Codigos'!A375</f>
        <v>*DGSW134-0*</v>
      </c>
      <c r="C375" s="55" t="str">
        <f>'Todos los Codigos'!A375</f>
        <v>*DGSW134-0*</v>
      </c>
      <c r="D375" s="57" t="str">
        <f>'Catalogo de Codigos '!H135</f>
        <v>*DGSW134-1*</v>
      </c>
      <c r="E375" s="60" t="str">
        <f>'Catalogo de Codigos '!I135</f>
        <v>*DGSW134-2*</v>
      </c>
    </row>
    <row r="376" spans="1:5" ht="30" customHeight="1" x14ac:dyDescent="0.25">
      <c r="A376" s="55" t="str">
        <f>'Todos los Codigos'!A375</f>
        <v>*DGSW134-0*</v>
      </c>
      <c r="B376" s="55" t="str">
        <f>'Todos los Codigos'!A375</f>
        <v>*DGSW134-0*</v>
      </c>
      <c r="C376" s="55" t="str">
        <f>'Todos los Codigos'!A375</f>
        <v>*DGSW134-0*</v>
      </c>
      <c r="D376" s="57" t="str">
        <f>'Todos los Codigos'!D375</f>
        <v>*DGSW134-1*</v>
      </c>
      <c r="E376" s="60" t="str">
        <f>'Todos los Codigos'!E375</f>
        <v>*DGSW134-2*</v>
      </c>
    </row>
    <row r="377" spans="1:5" ht="30" customHeight="1" x14ac:dyDescent="0.25"/>
    <row r="378" spans="1:5" ht="30" customHeight="1" x14ac:dyDescent="0.25">
      <c r="A378" s="55" t="str">
        <f>'Catalogo de Codigos '!G136</f>
        <v>*DGSW135-0*</v>
      </c>
      <c r="B378" s="55" t="str">
        <f>'Todos los Codigos'!A378</f>
        <v>*DGSW135-0*</v>
      </c>
      <c r="C378" s="55" t="str">
        <f>'Todos los Codigos'!A378</f>
        <v>*DGSW135-0*</v>
      </c>
      <c r="D378" s="57" t="str">
        <f>'Catalogo de Codigos '!H136</f>
        <v>*DGSW135-1*</v>
      </c>
      <c r="E378" s="60" t="str">
        <f>'Catalogo de Codigos '!I136</f>
        <v>*DGSW135-2*</v>
      </c>
    </row>
    <row r="379" spans="1:5" ht="30" customHeight="1" x14ac:dyDescent="0.25">
      <c r="A379" s="55" t="str">
        <f>'Todos los Codigos'!A378</f>
        <v>*DGSW135-0*</v>
      </c>
      <c r="B379" s="55" t="str">
        <f>'Todos los Codigos'!A378</f>
        <v>*DGSW135-0*</v>
      </c>
      <c r="C379" s="55" t="str">
        <f>'Todos los Codigos'!A378</f>
        <v>*DGSW135-0*</v>
      </c>
      <c r="D379" s="57" t="str">
        <f>'Todos los Codigos'!D378</f>
        <v>*DGSW135-1*</v>
      </c>
      <c r="E379" s="60" t="str">
        <f>'Todos los Codigos'!E378</f>
        <v>*DGSW135-2*</v>
      </c>
    </row>
    <row r="380" spans="1:5" ht="30" customHeight="1" x14ac:dyDescent="0.25"/>
    <row r="381" spans="1:5" ht="30" customHeight="1" x14ac:dyDescent="0.25">
      <c r="A381" s="55" t="str">
        <f>'Catalogo de Codigos '!G137</f>
        <v>*DGSW136-0*</v>
      </c>
      <c r="B381" s="55" t="str">
        <f>'Todos los Codigos'!A381</f>
        <v>*DGSW136-0*</v>
      </c>
      <c r="C381" s="55" t="str">
        <f>'Todos los Codigos'!A381</f>
        <v>*DGSW136-0*</v>
      </c>
      <c r="D381" s="57" t="str">
        <f>'Catalogo de Codigos '!H137</f>
        <v>*DGSW136-1*</v>
      </c>
      <c r="E381" s="60" t="str">
        <f>'Catalogo de Codigos '!I137</f>
        <v>*DGSW136-2*</v>
      </c>
    </row>
    <row r="382" spans="1:5" ht="30" customHeight="1" x14ac:dyDescent="0.25">
      <c r="A382" s="55" t="str">
        <f>'Todos los Codigos'!A381</f>
        <v>*DGSW136-0*</v>
      </c>
      <c r="B382" s="55" t="str">
        <f>'Todos los Codigos'!A381</f>
        <v>*DGSW136-0*</v>
      </c>
      <c r="C382" s="55" t="str">
        <f>'Todos los Codigos'!A381</f>
        <v>*DGSW136-0*</v>
      </c>
      <c r="D382" s="57" t="str">
        <f>'Todos los Codigos'!D381</f>
        <v>*DGSW136-1*</v>
      </c>
      <c r="E382" s="60" t="str">
        <f>'Todos los Codigos'!E381</f>
        <v>*DGSW136-2*</v>
      </c>
    </row>
    <row r="383" spans="1:5" ht="30" customHeight="1" x14ac:dyDescent="0.25"/>
    <row r="384" spans="1:5" ht="30" customHeight="1" x14ac:dyDescent="0.25">
      <c r="A384" s="55" t="str">
        <f>'Catalogo de Codigos '!G138</f>
        <v>*DGSW137-0*</v>
      </c>
      <c r="B384" s="55" t="str">
        <f>'Todos los Codigos'!A384</f>
        <v>*DGSW137-0*</v>
      </c>
      <c r="C384" s="55" t="str">
        <f>'Todos los Codigos'!A384</f>
        <v>*DGSW137-0*</v>
      </c>
      <c r="D384" s="57" t="str">
        <f>'Catalogo de Codigos '!H138</f>
        <v>*DGSW137-1*</v>
      </c>
      <c r="E384" s="60" t="str">
        <f>'Catalogo de Codigos '!I138</f>
        <v>*DGSW137-2*</v>
      </c>
    </row>
    <row r="385" spans="1:5" ht="30" customHeight="1" x14ac:dyDescent="0.25">
      <c r="A385" s="55" t="str">
        <f>'Todos los Codigos'!A384</f>
        <v>*DGSW137-0*</v>
      </c>
      <c r="B385" s="55" t="str">
        <f>'Todos los Codigos'!A384</f>
        <v>*DGSW137-0*</v>
      </c>
      <c r="C385" s="55" t="str">
        <f>'Todos los Codigos'!A384</f>
        <v>*DGSW137-0*</v>
      </c>
      <c r="D385" s="57" t="str">
        <f>'Todos los Codigos'!D384</f>
        <v>*DGSW137-1*</v>
      </c>
      <c r="E385" s="60" t="str">
        <f>'Todos los Codigos'!E384</f>
        <v>*DGSW137-2*</v>
      </c>
    </row>
    <row r="386" spans="1:5" ht="30" customHeight="1" x14ac:dyDescent="0.25"/>
    <row r="387" spans="1:5" ht="30" customHeight="1" x14ac:dyDescent="0.25">
      <c r="A387" s="55" t="str">
        <f>'Catalogo de Codigos '!G139</f>
        <v>*DGSW138-0*</v>
      </c>
      <c r="B387" s="55" t="str">
        <f>'Todos los Codigos'!A387</f>
        <v>*DGSW138-0*</v>
      </c>
      <c r="C387" s="55" t="str">
        <f>'Todos los Codigos'!A387</f>
        <v>*DGSW138-0*</v>
      </c>
      <c r="D387" s="57" t="str">
        <f>'Catalogo de Codigos '!H139</f>
        <v>*DGSW138-1*</v>
      </c>
      <c r="E387" s="60" t="str">
        <f>'Catalogo de Codigos '!I139</f>
        <v>*DGSW138-2*</v>
      </c>
    </row>
    <row r="388" spans="1:5" ht="30" customHeight="1" x14ac:dyDescent="0.25">
      <c r="A388" s="55" t="str">
        <f>'Todos los Codigos'!A387</f>
        <v>*DGSW138-0*</v>
      </c>
      <c r="B388" s="55" t="str">
        <f>'Todos los Codigos'!A387</f>
        <v>*DGSW138-0*</v>
      </c>
      <c r="C388" s="55" t="str">
        <f>'Todos los Codigos'!A387</f>
        <v>*DGSW138-0*</v>
      </c>
      <c r="D388" s="57" t="str">
        <f>'Todos los Codigos'!D387</f>
        <v>*DGSW138-1*</v>
      </c>
      <c r="E388" s="60" t="str">
        <f>'Todos los Codigos'!E387</f>
        <v>*DGSW138-2*</v>
      </c>
    </row>
    <row r="389" spans="1:5" ht="30" customHeight="1" x14ac:dyDescent="0.25"/>
    <row r="390" spans="1:5" ht="30" customHeight="1" x14ac:dyDescent="0.25">
      <c r="A390" s="55" t="str">
        <f>'Catalogo de Codigos '!G140</f>
        <v>*DGSW139-0*</v>
      </c>
      <c r="B390" s="55" t="str">
        <f>'Todos los Codigos'!A390</f>
        <v>*DGSW139-0*</v>
      </c>
      <c r="C390" s="55" t="str">
        <f>'Todos los Codigos'!A390</f>
        <v>*DGSW139-0*</v>
      </c>
      <c r="D390" s="57" t="str">
        <f>'Catalogo de Codigos '!H140</f>
        <v>*DGSW139-1*</v>
      </c>
      <c r="E390" s="60" t="str">
        <f>'Catalogo de Codigos '!I140</f>
        <v>*DGSW139-2*</v>
      </c>
    </row>
    <row r="391" spans="1:5" ht="30" customHeight="1" x14ac:dyDescent="0.25">
      <c r="A391" s="55" t="str">
        <f>'Todos los Codigos'!A390</f>
        <v>*DGSW139-0*</v>
      </c>
      <c r="B391" s="55" t="str">
        <f>'Todos los Codigos'!A390</f>
        <v>*DGSW139-0*</v>
      </c>
      <c r="C391" s="55" t="str">
        <f>'Todos los Codigos'!A390</f>
        <v>*DGSW139-0*</v>
      </c>
      <c r="D391" s="57" t="str">
        <f>'Todos los Codigos'!D390</f>
        <v>*DGSW139-1*</v>
      </c>
      <c r="E391" s="60" t="str">
        <f>'Todos los Codigos'!E390</f>
        <v>*DGSW139-2*</v>
      </c>
    </row>
    <row r="392" spans="1:5" ht="30" customHeight="1" x14ac:dyDescent="0.25">
      <c r="A392" s="55" t="str">
        <f>'Catalogo de Codigos '!G141</f>
        <v>*DGSW140-0*</v>
      </c>
      <c r="B392" s="55" t="str">
        <f>'Todos los Codigos'!A392</f>
        <v>*DGSW140-0*</v>
      </c>
      <c r="C392" s="55" t="str">
        <f>'Todos los Codigos'!A392</f>
        <v>*DGSW140-0*</v>
      </c>
      <c r="D392" s="57" t="str">
        <f>'Catalogo de Codigos '!H141</f>
        <v>*DGSW140-1*</v>
      </c>
      <c r="E392" s="60" t="str">
        <f>'Catalogo de Codigos '!I141</f>
        <v>*DGSW140-2*</v>
      </c>
    </row>
    <row r="393" spans="1:5" ht="30" customHeight="1" x14ac:dyDescent="0.25">
      <c r="A393" s="55" t="str">
        <f>'Todos los Codigos'!A392</f>
        <v>*DGSW140-0*</v>
      </c>
      <c r="B393" s="55" t="str">
        <f>'Todos los Codigos'!A392</f>
        <v>*DGSW140-0*</v>
      </c>
      <c r="C393" s="55" t="str">
        <f>'Todos los Codigos'!A392</f>
        <v>*DGSW140-0*</v>
      </c>
      <c r="D393" s="57" t="str">
        <f>'Todos los Codigos'!D392</f>
        <v>*DGSW140-1*</v>
      </c>
      <c r="E393" s="60" t="str">
        <f>'Todos los Codigos'!E392</f>
        <v>*DGSW140-2*</v>
      </c>
    </row>
    <row r="394" spans="1:5" ht="30" customHeight="1" x14ac:dyDescent="0.25"/>
    <row r="395" spans="1:5" ht="30" customHeight="1" x14ac:dyDescent="0.25">
      <c r="A395" s="55" t="str">
        <f>'Catalogo de Codigos '!G142</f>
        <v>*DGSW141-0*</v>
      </c>
      <c r="B395" s="55" t="str">
        <f>'Todos los Codigos'!A395</f>
        <v>*DGSW141-0*</v>
      </c>
      <c r="C395" s="55" t="str">
        <f>'Todos los Codigos'!A395</f>
        <v>*DGSW141-0*</v>
      </c>
      <c r="D395" s="57" t="str">
        <f>'Catalogo de Codigos '!H142</f>
        <v>*DGSW141-1*</v>
      </c>
      <c r="E395" s="60" t="str">
        <f>'Catalogo de Codigos '!I142</f>
        <v>*DGSW141-2*</v>
      </c>
    </row>
    <row r="396" spans="1:5" ht="30" customHeight="1" x14ac:dyDescent="0.25">
      <c r="A396" s="55" t="str">
        <f>'Todos los Codigos'!A395</f>
        <v>*DGSW141-0*</v>
      </c>
      <c r="B396" s="55" t="str">
        <f>'Todos los Codigos'!A395</f>
        <v>*DGSW141-0*</v>
      </c>
      <c r="C396" s="55" t="str">
        <f>'Todos los Codigos'!A395</f>
        <v>*DGSW141-0*</v>
      </c>
      <c r="D396" s="57" t="str">
        <f>'Todos los Codigos'!D395</f>
        <v>*DGSW141-1*</v>
      </c>
      <c r="E396" s="60" t="str">
        <f>'Todos los Codigos'!E395</f>
        <v>*DGSW141-2*</v>
      </c>
    </row>
    <row r="397" spans="1:5" ht="30" customHeight="1" x14ac:dyDescent="0.25"/>
    <row r="398" spans="1:5" ht="30" customHeight="1" x14ac:dyDescent="0.25">
      <c r="A398" s="55" t="str">
        <f>'Catalogo de Codigos '!G143</f>
        <v>*DGSW142-0*</v>
      </c>
      <c r="B398" s="55" t="str">
        <f>'Todos los Codigos'!A398</f>
        <v>*DGSW142-0*</v>
      </c>
      <c r="C398" s="55" t="str">
        <f>'Todos los Codigos'!A398</f>
        <v>*DGSW142-0*</v>
      </c>
      <c r="D398" s="57" t="str">
        <f>'Catalogo de Codigos '!H143</f>
        <v>*DGSW142-1*</v>
      </c>
      <c r="E398" s="60" t="str">
        <f>'Catalogo de Codigos '!I143</f>
        <v>*DGSW142-2*</v>
      </c>
    </row>
    <row r="399" spans="1:5" ht="30" customHeight="1" x14ac:dyDescent="0.25">
      <c r="A399" s="55" t="str">
        <f>'Todos los Codigos'!A398</f>
        <v>*DGSW142-0*</v>
      </c>
      <c r="B399" s="55" t="str">
        <f>'Todos los Codigos'!A398</f>
        <v>*DGSW142-0*</v>
      </c>
      <c r="C399" s="55" t="str">
        <f>'Todos los Codigos'!A398</f>
        <v>*DGSW142-0*</v>
      </c>
      <c r="D399" s="57" t="str">
        <f>'Todos los Codigos'!D398</f>
        <v>*DGSW142-1*</v>
      </c>
      <c r="E399" s="60" t="str">
        <f>'Todos los Codigos'!E398</f>
        <v>*DGSW142-2*</v>
      </c>
    </row>
    <row r="400" spans="1:5" ht="30" customHeight="1" x14ac:dyDescent="0.25"/>
    <row r="401" spans="1:5" ht="30" customHeight="1" x14ac:dyDescent="0.25">
      <c r="A401" s="55" t="str">
        <f>'Catalogo de Codigos '!G144</f>
        <v>*DGSW143-0*</v>
      </c>
      <c r="B401" s="55" t="str">
        <f>'Todos los Codigos'!A401</f>
        <v>*DGSW143-0*</v>
      </c>
      <c r="C401" s="55" t="str">
        <f>'Todos los Codigos'!A401</f>
        <v>*DGSW143-0*</v>
      </c>
      <c r="D401" s="57" t="str">
        <f>'Catalogo de Codigos '!H144</f>
        <v>*DGSW143-1*</v>
      </c>
      <c r="E401" s="60" t="str">
        <f>'Catalogo de Codigos '!I144</f>
        <v>*DGSW143-2*</v>
      </c>
    </row>
    <row r="402" spans="1:5" ht="30" customHeight="1" x14ac:dyDescent="0.25">
      <c r="A402" s="55" t="str">
        <f>'Todos los Codigos'!A401</f>
        <v>*DGSW143-0*</v>
      </c>
      <c r="B402" s="55" t="str">
        <f>'Todos los Codigos'!A401</f>
        <v>*DGSW143-0*</v>
      </c>
      <c r="C402" s="55" t="str">
        <f>'Todos los Codigos'!A401</f>
        <v>*DGSW143-0*</v>
      </c>
      <c r="D402" s="57" t="str">
        <f>'Todos los Codigos'!D401</f>
        <v>*DGSW143-1*</v>
      </c>
      <c r="E402" s="60" t="str">
        <f>'Todos los Codigos'!E401</f>
        <v>*DGSW143-2*</v>
      </c>
    </row>
    <row r="403" spans="1:5" ht="30" customHeight="1" x14ac:dyDescent="0.25"/>
    <row r="404" spans="1:5" ht="30" customHeight="1" x14ac:dyDescent="0.25">
      <c r="A404" s="55" t="str">
        <f>'Catalogo de Codigos '!G145</f>
        <v>*DGSW144-0*</v>
      </c>
      <c r="B404" s="55" t="str">
        <f>'Todos los Codigos'!A404</f>
        <v>*DGSW144-0*</v>
      </c>
      <c r="C404" s="55" t="str">
        <f>'Todos los Codigos'!A404</f>
        <v>*DGSW144-0*</v>
      </c>
      <c r="D404" s="57" t="str">
        <f>'Catalogo de Codigos '!H145</f>
        <v>*DGSW144-1*</v>
      </c>
      <c r="E404" s="60" t="str">
        <f>'Catalogo de Codigos '!I45</f>
        <v>*DGSW044-2*</v>
      </c>
    </row>
    <row r="405" spans="1:5" ht="30" customHeight="1" x14ac:dyDescent="0.25">
      <c r="A405" s="55" t="str">
        <f>'Todos los Codigos'!A404</f>
        <v>*DGSW144-0*</v>
      </c>
      <c r="B405" s="55" t="str">
        <f>'Todos los Codigos'!A404</f>
        <v>*DGSW144-0*</v>
      </c>
      <c r="C405" s="55" t="str">
        <f>'Todos los Codigos'!A404</f>
        <v>*DGSW144-0*</v>
      </c>
      <c r="D405" s="57" t="str">
        <f>'Todos los Codigos'!D404</f>
        <v>*DGSW144-1*</v>
      </c>
      <c r="E405" s="60" t="str">
        <f>'Todos los Codigos'!E404</f>
        <v>*DGSW044-2*</v>
      </c>
    </row>
    <row r="406" spans="1:5" ht="30" customHeight="1" x14ac:dyDescent="0.25"/>
    <row r="407" spans="1:5" ht="30" customHeight="1" x14ac:dyDescent="0.25">
      <c r="A407" s="55" t="str">
        <f>'Catalogo de Codigos '!G146</f>
        <v>*DGSW145-0*</v>
      </c>
      <c r="B407" s="55" t="str">
        <f>'Todos los Codigos'!A407</f>
        <v>*DGSW145-0*</v>
      </c>
      <c r="C407" s="55" t="str">
        <f>'Todos los Codigos'!A407</f>
        <v>*DGSW145-0*</v>
      </c>
      <c r="D407" s="57" t="str">
        <f>'Catalogo de Codigos '!H146</f>
        <v>*DGSW145-1*</v>
      </c>
      <c r="E407" s="60" t="str">
        <f>'Catalogo de Codigos '!I146</f>
        <v>*DGSW145-2*</v>
      </c>
    </row>
    <row r="408" spans="1:5" ht="30" customHeight="1" x14ac:dyDescent="0.25">
      <c r="A408" s="55" t="str">
        <f>'Todos los Codigos'!A407</f>
        <v>*DGSW145-0*</v>
      </c>
      <c r="B408" s="55" t="str">
        <f>'Todos los Codigos'!A407</f>
        <v>*DGSW145-0*</v>
      </c>
      <c r="C408" s="55" t="str">
        <f>'Todos los Codigos'!A407</f>
        <v>*DGSW145-0*</v>
      </c>
      <c r="D408" s="57" t="str">
        <f>'Todos los Codigos'!D407</f>
        <v>*DGSW145-1*</v>
      </c>
      <c r="E408" s="60" t="str">
        <f>'Todos los Codigos'!E407</f>
        <v>*DGSW145-2*</v>
      </c>
    </row>
    <row r="409" spans="1:5" ht="30" customHeight="1" x14ac:dyDescent="0.25">
      <c r="A409" s="55" t="str">
        <f>'Catalogo de Codigos '!G147</f>
        <v>*DGSW146-0*</v>
      </c>
      <c r="B409" s="55" t="str">
        <f>'Todos los Codigos'!A409</f>
        <v>*DGSW146-0*</v>
      </c>
      <c r="C409" s="55" t="str">
        <f>'Todos los Codigos'!A409</f>
        <v>*DGSW146-0*</v>
      </c>
      <c r="D409" s="57" t="str">
        <f>'Catalogo de Codigos '!H147</f>
        <v>*DGSW146-1*</v>
      </c>
      <c r="E409" s="60" t="str">
        <f>'Catalogo de Codigos '!I147</f>
        <v>*DGSW146-2*</v>
      </c>
    </row>
    <row r="410" spans="1:5" ht="30" customHeight="1" x14ac:dyDescent="0.25">
      <c r="A410" s="55" t="str">
        <f>'Todos los Codigos'!A409</f>
        <v>*DGSW146-0*</v>
      </c>
      <c r="B410" s="55" t="str">
        <f>'Todos los Codigos'!A409</f>
        <v>*DGSW146-0*</v>
      </c>
      <c r="C410" s="55" t="str">
        <f>'Todos los Codigos'!A409</f>
        <v>*DGSW146-0*</v>
      </c>
      <c r="D410" s="57" t="str">
        <f>'Todos los Codigos'!D409</f>
        <v>*DGSW146-1*</v>
      </c>
      <c r="E410" s="60" t="str">
        <f>'Todos los Codigos'!E409</f>
        <v>*DGSW146-2*</v>
      </c>
    </row>
    <row r="411" spans="1:5" ht="30" customHeight="1" x14ac:dyDescent="0.25"/>
    <row r="412" spans="1:5" ht="30" customHeight="1" x14ac:dyDescent="0.25">
      <c r="A412" s="55" t="str">
        <f>'Catalogo de Codigos '!G148</f>
        <v>*DGSW147-0*</v>
      </c>
      <c r="B412" s="55" t="str">
        <f>'Todos los Codigos'!A412</f>
        <v>*DGSW147-0*</v>
      </c>
      <c r="C412" s="55" t="str">
        <f>'Todos los Codigos'!A412</f>
        <v>*DGSW147-0*</v>
      </c>
      <c r="D412" s="57" t="str">
        <f>'Catalogo de Codigos '!H148</f>
        <v>*DGSW147-1*</v>
      </c>
      <c r="E412" s="60" t="str">
        <f>'Catalogo de Codigos '!I148</f>
        <v>*DGSW147-2*</v>
      </c>
    </row>
    <row r="413" spans="1:5" ht="30" customHeight="1" x14ac:dyDescent="0.25">
      <c r="A413" s="55" t="str">
        <f>'Todos los Codigos'!A412</f>
        <v>*DGSW147-0*</v>
      </c>
      <c r="B413" s="55" t="str">
        <f>'Todos los Codigos'!A412</f>
        <v>*DGSW147-0*</v>
      </c>
      <c r="C413" s="55" t="str">
        <f>'Todos los Codigos'!A412</f>
        <v>*DGSW147-0*</v>
      </c>
      <c r="D413" s="57" t="str">
        <f>'Todos los Codigos'!D412</f>
        <v>*DGSW147-1*</v>
      </c>
      <c r="E413" s="60" t="str">
        <f>'Todos los Codigos'!E412</f>
        <v>*DGSW147-2*</v>
      </c>
    </row>
    <row r="414" spans="1:5" ht="30" customHeight="1" x14ac:dyDescent="0.25"/>
    <row r="415" spans="1:5" ht="30" customHeight="1" x14ac:dyDescent="0.25">
      <c r="A415" s="55" t="str">
        <f>'Catalogo de Codigos '!G149</f>
        <v>*DGSW148-0*</v>
      </c>
      <c r="B415" s="55" t="str">
        <f>'Todos los Codigos'!A415</f>
        <v>*DGSW148-0*</v>
      </c>
      <c r="C415" s="55" t="str">
        <f>'Todos los Codigos'!A415</f>
        <v>*DGSW148-0*</v>
      </c>
      <c r="D415" s="57" t="str">
        <f>'Catalogo de Codigos '!H149</f>
        <v>*DGSW148-1*</v>
      </c>
      <c r="E415" s="60" t="str">
        <f>'Catalogo de Codigos '!I149</f>
        <v>*DGSW148-2*</v>
      </c>
    </row>
    <row r="416" spans="1:5" ht="30" customHeight="1" x14ac:dyDescent="0.25">
      <c r="A416" s="55" t="str">
        <f>'Todos los Codigos'!A415</f>
        <v>*DGSW148-0*</v>
      </c>
      <c r="B416" s="55" t="str">
        <f>'Todos los Codigos'!A415</f>
        <v>*DGSW148-0*</v>
      </c>
      <c r="C416" s="55" t="str">
        <f>'Todos los Codigos'!A415</f>
        <v>*DGSW148-0*</v>
      </c>
      <c r="D416" s="57" t="str">
        <f>'Todos los Codigos'!D415</f>
        <v>*DGSW148-1*</v>
      </c>
      <c r="E416" s="60" t="str">
        <f>'Todos los Codigos'!E415</f>
        <v>*DGSW148-2*</v>
      </c>
    </row>
    <row r="417" spans="1:5" ht="30" customHeight="1" x14ac:dyDescent="0.25"/>
    <row r="418" spans="1:5" ht="30" customHeight="1" x14ac:dyDescent="0.25">
      <c r="A418" s="55" t="str">
        <f>'Catalogo de Codigos '!G150</f>
        <v>*DGSW149-0*</v>
      </c>
      <c r="B418" s="55" t="str">
        <f>'Todos los Codigos'!A418</f>
        <v>*DGSW149-0*</v>
      </c>
      <c r="C418" s="55" t="str">
        <f>'Todos los Codigos'!A418</f>
        <v>*DGSW149-0*</v>
      </c>
      <c r="D418" s="57" t="str">
        <f>'Catalogo de Codigos '!H150</f>
        <v>*DGSW149-1*</v>
      </c>
      <c r="E418" s="60" t="str">
        <f>'Catalogo de Codigos '!I150</f>
        <v>*DGSW149-2*</v>
      </c>
    </row>
    <row r="419" spans="1:5" ht="30" customHeight="1" x14ac:dyDescent="0.25">
      <c r="A419" s="55" t="str">
        <f>'Todos los Codigos'!A418</f>
        <v>*DGSW149-0*</v>
      </c>
      <c r="B419" s="55" t="str">
        <f>'Todos los Codigos'!A418</f>
        <v>*DGSW149-0*</v>
      </c>
      <c r="C419" s="55" t="str">
        <f>'Todos los Codigos'!A418</f>
        <v>*DGSW149-0*</v>
      </c>
      <c r="D419" s="57" t="str">
        <f>'Todos los Codigos'!D418</f>
        <v>*DGSW149-1*</v>
      </c>
      <c r="E419" s="60" t="str">
        <f>'Todos los Codigos'!E418</f>
        <v>*DGSW149-2*</v>
      </c>
    </row>
    <row r="420" spans="1:5" ht="30" customHeight="1" x14ac:dyDescent="0.25"/>
    <row r="421" spans="1:5" ht="30" customHeight="1" x14ac:dyDescent="0.25">
      <c r="A421" s="55" t="str">
        <f>'Catalogo de Codigos '!G151</f>
        <v>*DGSW150-0*</v>
      </c>
      <c r="B421" s="55" t="str">
        <f>'Todos los Codigos'!A421</f>
        <v>*DGSW150-0*</v>
      </c>
      <c r="C421" s="55" t="str">
        <f>'Todos los Codigos'!A421</f>
        <v>*DGSW150-0*</v>
      </c>
      <c r="D421" s="57" t="str">
        <f>'Catalogo de Codigos '!H151</f>
        <v>*DGSW150-1*</v>
      </c>
      <c r="E421" s="60" t="str">
        <f>'Catalogo de Codigos '!I151</f>
        <v>*DGSW150-2*</v>
      </c>
    </row>
    <row r="422" spans="1:5" ht="30" customHeight="1" x14ac:dyDescent="0.25">
      <c r="A422" s="55" t="str">
        <f>'Todos los Codigos'!A421</f>
        <v>*DGSW150-0*</v>
      </c>
      <c r="B422" s="55" t="str">
        <f>'Todos los Codigos'!A421</f>
        <v>*DGSW150-0*</v>
      </c>
      <c r="C422" s="55" t="str">
        <f>'Todos los Codigos'!A421</f>
        <v>*DGSW150-0*</v>
      </c>
      <c r="D422" s="57" t="str">
        <f>'Todos los Codigos'!D421</f>
        <v>*DGSW150-1*</v>
      </c>
      <c r="E422" s="60" t="str">
        <f>'Todos los Codigos'!E421</f>
        <v>*DGSW150-2*</v>
      </c>
    </row>
    <row r="423" spans="1:5" ht="30" customHeight="1" x14ac:dyDescent="0.25"/>
    <row r="424" spans="1:5" ht="30" customHeight="1" x14ac:dyDescent="0.25">
      <c r="A424" s="55" t="str">
        <f>'Catalogo de Codigos '!G152</f>
        <v>*DGSW151-0*</v>
      </c>
      <c r="B424" s="55" t="str">
        <f>'Todos los Codigos'!A424</f>
        <v>*DGSW151-0*</v>
      </c>
      <c r="C424" s="55" t="str">
        <f>'Todos los Codigos'!A424</f>
        <v>*DGSW151-0*</v>
      </c>
      <c r="D424" s="57" t="str">
        <f>'Catalogo de Codigos '!H152</f>
        <v>*DGSW151-1*</v>
      </c>
      <c r="E424" s="60" t="str">
        <f>'Catalogo de Codigos '!I152</f>
        <v>*DGSW151-2*</v>
      </c>
    </row>
    <row r="425" spans="1:5" ht="30" customHeight="1" x14ac:dyDescent="0.25">
      <c r="A425" s="55" t="str">
        <f>'Todos los Codigos'!A424</f>
        <v>*DGSW151-0*</v>
      </c>
      <c r="B425" s="55" t="str">
        <f>'Todos los Codigos'!A424</f>
        <v>*DGSW151-0*</v>
      </c>
      <c r="C425" s="55" t="str">
        <f>'Todos los Codigos'!A424</f>
        <v>*DGSW151-0*</v>
      </c>
      <c r="D425" s="57" t="str">
        <f>'Todos los Codigos'!D424</f>
        <v>*DGSW151-1*</v>
      </c>
      <c r="E425" s="60" t="str">
        <f>'Todos los Codigos'!E424</f>
        <v>*DGSW151-2*</v>
      </c>
    </row>
    <row r="426" spans="1:5" ht="30" customHeight="1" x14ac:dyDescent="0.25">
      <c r="A426" s="55" t="str">
        <f>'Catalogo de Codigos '!G153</f>
        <v>*DGSW152-0*</v>
      </c>
      <c r="B426" s="55" t="str">
        <f>'Todos los Codigos'!A426</f>
        <v>*DGSW152-0*</v>
      </c>
      <c r="C426" s="55" t="str">
        <f>'Todos los Codigos'!A426</f>
        <v>*DGSW152-0*</v>
      </c>
      <c r="D426" s="57" t="str">
        <f>'Catalogo de Codigos '!H153</f>
        <v>*DGSW152-1*</v>
      </c>
      <c r="E426" s="60" t="str">
        <f>'Catalogo de Codigos '!I153</f>
        <v>*DGSW152-2*</v>
      </c>
    </row>
    <row r="427" spans="1:5" ht="30" customHeight="1" x14ac:dyDescent="0.25">
      <c r="A427" s="55" t="str">
        <f>'Todos los Codigos'!A426</f>
        <v>*DGSW152-0*</v>
      </c>
      <c r="B427" s="55" t="str">
        <f>'Todos los Codigos'!A426</f>
        <v>*DGSW152-0*</v>
      </c>
      <c r="C427" s="55" t="str">
        <f>'Todos los Codigos'!A426</f>
        <v>*DGSW152-0*</v>
      </c>
      <c r="D427" s="57" t="str">
        <f>'Todos los Codigos'!D426</f>
        <v>*DGSW152-1*</v>
      </c>
      <c r="E427" s="60" t="str">
        <f>'Todos los Codigos'!E426</f>
        <v>*DGSW152-2*</v>
      </c>
    </row>
    <row r="428" spans="1:5" ht="30" customHeight="1" x14ac:dyDescent="0.25"/>
    <row r="429" spans="1:5" ht="30" customHeight="1" x14ac:dyDescent="0.25">
      <c r="A429" s="55" t="str">
        <f>'Catalogo de Codigos '!G154</f>
        <v>*DGSW153-0*</v>
      </c>
      <c r="B429" s="55" t="str">
        <f>'Todos los Codigos'!A429</f>
        <v>*DGSW153-0*</v>
      </c>
      <c r="C429" s="55" t="str">
        <f>'Todos los Codigos'!A429</f>
        <v>*DGSW153-0*</v>
      </c>
      <c r="D429" s="57" t="str">
        <f>'Catalogo de Codigos '!H154</f>
        <v>*DGSW153-1*</v>
      </c>
      <c r="E429" s="60" t="str">
        <f>'Catalogo de Codigos '!I154</f>
        <v>*DGSW153-2*</v>
      </c>
    </row>
    <row r="430" spans="1:5" ht="30" customHeight="1" x14ac:dyDescent="0.25">
      <c r="A430" s="55" t="str">
        <f>'Todos los Codigos'!A429</f>
        <v>*DGSW153-0*</v>
      </c>
      <c r="B430" s="55" t="str">
        <f>'Todos los Codigos'!A429</f>
        <v>*DGSW153-0*</v>
      </c>
      <c r="C430" s="55" t="str">
        <f>'Todos los Codigos'!A429</f>
        <v>*DGSW153-0*</v>
      </c>
      <c r="D430" s="57" t="str">
        <f>'Todos los Codigos'!D429</f>
        <v>*DGSW153-1*</v>
      </c>
      <c r="E430" s="60" t="str">
        <f>'Todos los Codigos'!E429</f>
        <v>*DGSW153-2*</v>
      </c>
    </row>
    <row r="431" spans="1:5" ht="30" customHeight="1" x14ac:dyDescent="0.25"/>
    <row r="432" spans="1:5" ht="30" customHeight="1" x14ac:dyDescent="0.25">
      <c r="A432" s="55" t="str">
        <f>'Catalogo de Codigos '!G155</f>
        <v>*DGSW154-0*</v>
      </c>
      <c r="B432" s="55" t="str">
        <f>'Todos los Codigos'!A432</f>
        <v>*DGSW154-0*</v>
      </c>
      <c r="C432" s="55" t="str">
        <f>'Todos los Codigos'!A432</f>
        <v>*DGSW154-0*</v>
      </c>
      <c r="D432" s="57" t="str">
        <f>'Catalogo de Codigos '!H155</f>
        <v>*DGSW154-1*</v>
      </c>
      <c r="E432" s="60" t="str">
        <f>'Catalogo de Codigos '!I155</f>
        <v>*DGSW154-2*</v>
      </c>
    </row>
    <row r="433" spans="1:5" ht="30" customHeight="1" x14ac:dyDescent="0.25">
      <c r="A433" s="55" t="str">
        <f>'Todos los Codigos'!A432</f>
        <v>*DGSW154-0*</v>
      </c>
      <c r="B433" s="55" t="str">
        <f>'Todos los Codigos'!A432</f>
        <v>*DGSW154-0*</v>
      </c>
      <c r="C433" s="55" t="str">
        <f>'Todos los Codigos'!A432</f>
        <v>*DGSW154-0*</v>
      </c>
      <c r="D433" s="57" t="str">
        <f>'Todos los Codigos'!D432</f>
        <v>*DGSW154-1*</v>
      </c>
      <c r="E433" s="60" t="str">
        <f>'Todos los Codigos'!E432</f>
        <v>*DGSW154-2*</v>
      </c>
    </row>
    <row r="434" spans="1:5" ht="30" customHeight="1" x14ac:dyDescent="0.25"/>
    <row r="435" spans="1:5" ht="30" customHeight="1" x14ac:dyDescent="0.25">
      <c r="A435" s="55" t="str">
        <f>'Catalogo de Codigos '!G156</f>
        <v>*DGSW155-0*</v>
      </c>
      <c r="B435" s="55" t="str">
        <f>'Todos los Codigos'!A435</f>
        <v>*DGSW155-0*</v>
      </c>
      <c r="C435" s="55" t="str">
        <f>'Todos los Codigos'!A435</f>
        <v>*DGSW155-0*</v>
      </c>
      <c r="D435" s="57" t="str">
        <f>'Catalogo de Codigos '!H156</f>
        <v>*DGSW155-1*</v>
      </c>
      <c r="E435" s="60" t="str">
        <f>'Catalogo de Codigos '!I156</f>
        <v>*DGSW155-2*</v>
      </c>
    </row>
    <row r="436" spans="1:5" ht="30" customHeight="1" x14ac:dyDescent="0.25">
      <c r="A436" s="55" t="str">
        <f>'Todos los Codigos'!A435</f>
        <v>*DGSW155-0*</v>
      </c>
      <c r="B436" s="55" t="str">
        <f>'Todos los Codigos'!A435</f>
        <v>*DGSW155-0*</v>
      </c>
      <c r="C436" s="55" t="str">
        <f>'Todos los Codigos'!A435</f>
        <v>*DGSW155-0*</v>
      </c>
      <c r="D436" s="57" t="str">
        <f>'Todos los Codigos'!D435</f>
        <v>*DGSW155-1*</v>
      </c>
      <c r="E436" s="60" t="str">
        <f>'Todos los Codigos'!E435</f>
        <v>*DGSW155-2*</v>
      </c>
    </row>
    <row r="437" spans="1:5" ht="30" customHeight="1" x14ac:dyDescent="0.25"/>
    <row r="438" spans="1:5" ht="30" customHeight="1" x14ac:dyDescent="0.25">
      <c r="A438" s="55" t="str">
        <f>'Catalogo de Codigos '!G157</f>
        <v>*DGSW156-0*</v>
      </c>
      <c r="B438" s="55" t="str">
        <f>'Todos los Codigos'!A438</f>
        <v>*DGSW156-0*</v>
      </c>
      <c r="C438" s="55" t="str">
        <f>'Todos los Codigos'!A438</f>
        <v>*DGSW156-0*</v>
      </c>
      <c r="D438" s="57" t="str">
        <f>'Catalogo de Codigos '!I157</f>
        <v>*DGSW156-2*</v>
      </c>
      <c r="E438" s="60" t="str">
        <f>'Catalogo de Codigos '!I157</f>
        <v>*DGSW156-2*</v>
      </c>
    </row>
    <row r="439" spans="1:5" ht="30" customHeight="1" x14ac:dyDescent="0.25">
      <c r="A439" s="55" t="str">
        <f>'Todos los Codigos'!A438</f>
        <v>*DGSW156-0*</v>
      </c>
      <c r="B439" s="55" t="str">
        <f>'Todos los Codigos'!A438</f>
        <v>*DGSW156-0*</v>
      </c>
      <c r="C439" s="55" t="str">
        <f>'Todos los Codigos'!A438</f>
        <v>*DGSW156-0*</v>
      </c>
      <c r="D439" s="57" t="str">
        <f>'Todos los Codigos'!D438</f>
        <v>*DGSW156-2*</v>
      </c>
      <c r="E439" s="60" t="str">
        <f>'Todos los Codigos'!E438</f>
        <v>*DGSW156-2*</v>
      </c>
    </row>
    <row r="440" spans="1:5" ht="30" customHeight="1" x14ac:dyDescent="0.25"/>
    <row r="441" spans="1:5" ht="30" customHeight="1" x14ac:dyDescent="0.25">
      <c r="A441" s="55" t="str">
        <f>'Catalogo de Codigos '!G158</f>
        <v>*DGSW157-0*</v>
      </c>
      <c r="B441" s="55" t="str">
        <f>'Todos los Codigos'!A441</f>
        <v>*DGSW157-0*</v>
      </c>
      <c r="C441" s="55" t="str">
        <f>'Todos los Codigos'!A441</f>
        <v>*DGSW157-0*</v>
      </c>
      <c r="D441" s="57" t="str">
        <f>'Catalogo de Codigos '!H158</f>
        <v>*DGSW157-1*</v>
      </c>
      <c r="E441" s="60" t="str">
        <f>'Catalogo de Codigos '!I158</f>
        <v>*DGSW157-2*</v>
      </c>
    </row>
    <row r="442" spans="1:5" ht="30" customHeight="1" x14ac:dyDescent="0.25">
      <c r="A442" s="55" t="str">
        <f>'Todos los Codigos'!A441</f>
        <v>*DGSW157-0*</v>
      </c>
      <c r="B442" s="55" t="str">
        <f>'Todos los Codigos'!A441</f>
        <v>*DGSW157-0*</v>
      </c>
      <c r="C442" s="55" t="str">
        <f>'Todos los Codigos'!A441</f>
        <v>*DGSW157-0*</v>
      </c>
      <c r="D442" s="57" t="str">
        <f>'Todos los Codigos'!D441</f>
        <v>*DGSW157-1*</v>
      </c>
      <c r="E442" s="60" t="str">
        <f>'Todos los Codigos'!E441</f>
        <v>*DGSW157-2*</v>
      </c>
    </row>
    <row r="443" spans="1:5" ht="30" customHeight="1" x14ac:dyDescent="0.25">
      <c r="A443" s="55" t="str">
        <f>'Catalogo de Codigos '!G159</f>
        <v>*DGSW158-0*</v>
      </c>
      <c r="B443" s="55" t="str">
        <f>'Todos los Codigos'!A443</f>
        <v>*DGSW158-0*</v>
      </c>
      <c r="C443" s="55" t="str">
        <f>'Todos los Codigos'!A443</f>
        <v>*DGSW158-0*</v>
      </c>
      <c r="D443" s="57" t="str">
        <f>'Catalogo de Codigos '!H159</f>
        <v>*DGSW158-1*</v>
      </c>
      <c r="E443" s="60" t="str">
        <f>'Catalogo de Codigos '!I159</f>
        <v>*DGSW158-2*</v>
      </c>
    </row>
    <row r="444" spans="1:5" ht="30" customHeight="1" x14ac:dyDescent="0.25">
      <c r="A444" s="55" t="str">
        <f>'Todos los Codigos'!A443</f>
        <v>*DGSW158-0*</v>
      </c>
      <c r="B444" s="55" t="str">
        <f>'Todos los Codigos'!A443</f>
        <v>*DGSW158-0*</v>
      </c>
      <c r="C444" s="55" t="str">
        <f>'Todos los Codigos'!A443</f>
        <v>*DGSW158-0*</v>
      </c>
      <c r="D444" s="57" t="str">
        <f>'Todos los Codigos'!D443</f>
        <v>*DGSW158-1*</v>
      </c>
      <c r="E444" s="60" t="str">
        <f>'Todos los Codigos'!E443</f>
        <v>*DGSW158-2*</v>
      </c>
    </row>
    <row r="445" spans="1:5" ht="30" customHeight="1" x14ac:dyDescent="0.25"/>
    <row r="446" spans="1:5" ht="30" customHeight="1" x14ac:dyDescent="0.25">
      <c r="A446" s="55" t="str">
        <f>'Catalogo de Codigos '!G160</f>
        <v>*DGSW159-0*</v>
      </c>
      <c r="B446" s="55" t="str">
        <f>'Todos los Codigos'!A446</f>
        <v>*DGSW159-0*</v>
      </c>
      <c r="C446" s="55" t="str">
        <f>'Todos los Codigos'!A446</f>
        <v>*DGSW159-0*</v>
      </c>
      <c r="D446" s="57" t="str">
        <f>'Catalogo de Codigos '!H160</f>
        <v>*DGSW159-1*</v>
      </c>
      <c r="E446" s="60" t="str">
        <f>'Catalogo de Codigos '!I160</f>
        <v>*DGSW159-2*</v>
      </c>
    </row>
    <row r="447" spans="1:5" ht="30" customHeight="1" x14ac:dyDescent="0.25">
      <c r="A447" s="55" t="str">
        <f>'Todos los Codigos'!A446</f>
        <v>*DGSW159-0*</v>
      </c>
      <c r="B447" s="55" t="str">
        <f>'Todos los Codigos'!A446</f>
        <v>*DGSW159-0*</v>
      </c>
      <c r="C447" s="55" t="str">
        <f>'Todos los Codigos'!A446</f>
        <v>*DGSW159-0*</v>
      </c>
      <c r="D447" s="57" t="str">
        <f>'Todos los Codigos'!D446</f>
        <v>*DGSW159-1*</v>
      </c>
      <c r="E447" s="60" t="str">
        <f>'Todos los Codigos'!E446</f>
        <v>*DGSW159-2*</v>
      </c>
    </row>
    <row r="448" spans="1:5" ht="30" customHeight="1" x14ac:dyDescent="0.25"/>
    <row r="449" spans="1:5" ht="30" customHeight="1" x14ac:dyDescent="0.25">
      <c r="A449" s="55" t="str">
        <f>'Catalogo de Codigos '!G161</f>
        <v>*DGSW160-0*</v>
      </c>
      <c r="B449" s="55" t="str">
        <f>'Todos los Codigos'!A449</f>
        <v>*DGSW160-0*</v>
      </c>
      <c r="C449" s="55" t="str">
        <f>'Todos los Codigos'!A449</f>
        <v>*DGSW160-0*</v>
      </c>
      <c r="D449" s="57" t="str">
        <f>'Catalogo de Codigos '!H161</f>
        <v>*DGSW160-1*</v>
      </c>
      <c r="E449" s="60" t="str">
        <f>'Catalogo de Codigos '!I161</f>
        <v>*DGSW160-2*</v>
      </c>
    </row>
    <row r="450" spans="1:5" ht="30" customHeight="1" x14ac:dyDescent="0.25">
      <c r="A450" s="55" t="str">
        <f>'Todos los Codigos'!A449</f>
        <v>*DGSW160-0*</v>
      </c>
      <c r="B450" s="55" t="str">
        <f>'Todos los Codigos'!A449</f>
        <v>*DGSW160-0*</v>
      </c>
      <c r="C450" s="55" t="str">
        <f>'Todos los Codigos'!A449</f>
        <v>*DGSW160-0*</v>
      </c>
      <c r="D450" s="57" t="str">
        <f>'Todos los Codigos'!D449</f>
        <v>*DGSW160-1*</v>
      </c>
      <c r="E450" s="60" t="str">
        <f>'Todos los Codigos'!E449</f>
        <v>*DGSW160-2*</v>
      </c>
    </row>
    <row r="451" spans="1:5" ht="30" customHeight="1" x14ac:dyDescent="0.25"/>
    <row r="452" spans="1:5" ht="30" customHeight="1" x14ac:dyDescent="0.25">
      <c r="A452" s="55" t="str">
        <f>'Catalogo de Codigos '!G162</f>
        <v>*DGSW161-0*</v>
      </c>
      <c r="B452" s="55" t="str">
        <f>'Todos los Codigos'!A452</f>
        <v>*DGSW161-0*</v>
      </c>
      <c r="C452" s="55" t="str">
        <f>'Todos los Codigos'!A452</f>
        <v>*DGSW161-0*</v>
      </c>
      <c r="D452" s="57" t="str">
        <f>'Catalogo de Codigos '!H162</f>
        <v>*DGSW161-1*</v>
      </c>
      <c r="E452" s="60" t="str">
        <f>'Catalogo de Codigos '!I162</f>
        <v>*DGSW161-2*</v>
      </c>
    </row>
    <row r="453" spans="1:5" ht="30" customHeight="1" x14ac:dyDescent="0.25">
      <c r="A453" s="55" t="str">
        <f>'Todos los Codigos'!A452</f>
        <v>*DGSW161-0*</v>
      </c>
      <c r="B453" s="55" t="str">
        <f>'Todos los Codigos'!A452</f>
        <v>*DGSW161-0*</v>
      </c>
      <c r="C453" s="55" t="str">
        <f>'Todos los Codigos'!A452</f>
        <v>*DGSW161-0*</v>
      </c>
      <c r="D453" s="57" t="str">
        <f>'Todos los Codigos'!D452</f>
        <v>*DGSW161-1*</v>
      </c>
      <c r="E453" s="60" t="str">
        <f>'Todos los Codigos'!E452</f>
        <v>*DGSW161-2*</v>
      </c>
    </row>
    <row r="454" spans="1:5" ht="30" customHeight="1" x14ac:dyDescent="0.25"/>
    <row r="455" spans="1:5" ht="30" customHeight="1" x14ac:dyDescent="0.25">
      <c r="A455" s="55" t="str">
        <f>'Catalogo de Codigos '!G163</f>
        <v>*DGSW162-0*</v>
      </c>
      <c r="B455" s="55" t="str">
        <f>'Todos los Codigos'!A455</f>
        <v>*DGSW162-0*</v>
      </c>
      <c r="C455" s="55" t="str">
        <f>'Todos los Codigos'!A455</f>
        <v>*DGSW162-0*</v>
      </c>
      <c r="D455" s="57" t="str">
        <f>'Catalogo de Codigos '!H163</f>
        <v>*DGSW162-1*</v>
      </c>
      <c r="E455" s="60" t="str">
        <f>'Catalogo de Codigos '!I163</f>
        <v>*DGSW162-2*</v>
      </c>
    </row>
    <row r="456" spans="1:5" ht="30" customHeight="1" x14ac:dyDescent="0.25">
      <c r="A456" s="55" t="str">
        <f>'Todos los Codigos'!A455</f>
        <v>*DGSW162-0*</v>
      </c>
      <c r="B456" s="55" t="str">
        <f>'Todos los Codigos'!A455</f>
        <v>*DGSW162-0*</v>
      </c>
      <c r="C456" s="55" t="str">
        <f>'Todos los Codigos'!A455</f>
        <v>*DGSW162-0*</v>
      </c>
      <c r="D456" s="57" t="str">
        <f>'Todos los Codigos'!D455</f>
        <v>*DGSW162-1*</v>
      </c>
      <c r="E456" s="60" t="str">
        <f>'Todos los Codigos'!E455</f>
        <v>*DGSW162-2*</v>
      </c>
    </row>
    <row r="457" spans="1:5" ht="30" customHeight="1" x14ac:dyDescent="0.25"/>
    <row r="458" spans="1:5" ht="30" customHeight="1" x14ac:dyDescent="0.25">
      <c r="A458" s="55" t="str">
        <f>'Catalogo de Codigos '!G164</f>
        <v>*DGSW163-0*</v>
      </c>
      <c r="B458" s="55" t="str">
        <f>'Todos los Codigos'!A458</f>
        <v>*DGSW163-0*</v>
      </c>
      <c r="C458" s="55" t="str">
        <f>'Todos los Codigos'!A458</f>
        <v>*DGSW163-0*</v>
      </c>
      <c r="D458" s="57" t="str">
        <f>'Catalogo de Codigos '!H164</f>
        <v>*DGSW163-1*</v>
      </c>
      <c r="E458" s="60" t="str">
        <f>'Catalogo de Codigos '!I164</f>
        <v>*DGSW163-2*</v>
      </c>
    </row>
    <row r="459" spans="1:5" ht="30" customHeight="1" x14ac:dyDescent="0.25">
      <c r="A459" s="55" t="str">
        <f>'Todos los Codigos'!A458</f>
        <v>*DGSW163-0*</v>
      </c>
      <c r="B459" s="55" t="str">
        <f>'Todos los Codigos'!A458</f>
        <v>*DGSW163-0*</v>
      </c>
      <c r="C459" s="55" t="str">
        <f>'Todos los Codigos'!A458</f>
        <v>*DGSW163-0*</v>
      </c>
      <c r="D459" s="57" t="str">
        <f>'Todos los Codigos'!D458</f>
        <v>*DGSW163-1*</v>
      </c>
      <c r="E459" s="60" t="str">
        <f>'Todos los Codigos'!E458</f>
        <v>*DGSW163-2*</v>
      </c>
    </row>
    <row r="460" spans="1:5" ht="30" customHeight="1" x14ac:dyDescent="0.25">
      <c r="A460" s="55" t="str">
        <f>'Catalogo de Codigos '!G165</f>
        <v>*DGSW164-0*</v>
      </c>
      <c r="B460" s="55" t="str">
        <f>'Todos los Codigos'!A460</f>
        <v>*DGSW164-0*</v>
      </c>
      <c r="C460" s="55" t="str">
        <f>'Todos los Codigos'!A460</f>
        <v>*DGSW164-0*</v>
      </c>
      <c r="D460" s="57" t="str">
        <f>'Catalogo de Codigos '!H165</f>
        <v>*DGSW164-1*</v>
      </c>
      <c r="E460" s="60" t="str">
        <f>'Catalogo de Codigos '!I165</f>
        <v>*DGSW164-2*</v>
      </c>
    </row>
    <row r="461" spans="1:5" ht="30" customHeight="1" x14ac:dyDescent="0.25">
      <c r="A461" s="55" t="str">
        <f>'Todos los Codigos'!A460</f>
        <v>*DGSW164-0*</v>
      </c>
      <c r="B461" s="55" t="str">
        <f>'Todos los Codigos'!A460</f>
        <v>*DGSW164-0*</v>
      </c>
      <c r="C461" s="55" t="str">
        <f>'Todos los Codigos'!A460</f>
        <v>*DGSW164-0*</v>
      </c>
      <c r="D461" s="57" t="str">
        <f>'Todos los Codigos'!D460</f>
        <v>*DGSW164-1*</v>
      </c>
      <c r="E461" s="60" t="str">
        <f>'Todos los Codigos'!E460</f>
        <v>*DGSW164-2*</v>
      </c>
    </row>
    <row r="462" spans="1:5" ht="30" customHeight="1" x14ac:dyDescent="0.25"/>
    <row r="463" spans="1:5" ht="30" customHeight="1" x14ac:dyDescent="0.25">
      <c r="A463" s="55" t="str">
        <f>'Catalogo de Codigos '!G166</f>
        <v>*DGSW165-0*</v>
      </c>
      <c r="B463" s="55" t="str">
        <f>'Todos los Codigos'!A463</f>
        <v>*DGSW165-0*</v>
      </c>
      <c r="C463" s="55" t="str">
        <f>'Todos los Codigos'!A463</f>
        <v>*DGSW165-0*</v>
      </c>
      <c r="D463" s="57" t="str">
        <f>'Catalogo de Codigos '!H166</f>
        <v>*DGSW165-1*</v>
      </c>
      <c r="E463" s="60" t="str">
        <f>'Catalogo de Codigos '!I166</f>
        <v>*DGSW165-2*</v>
      </c>
    </row>
    <row r="464" spans="1:5" ht="30" customHeight="1" x14ac:dyDescent="0.25">
      <c r="A464" s="55" t="str">
        <f>'Todos los Codigos'!A463</f>
        <v>*DGSW165-0*</v>
      </c>
      <c r="B464" s="55" t="str">
        <f>'Todos los Codigos'!A463</f>
        <v>*DGSW165-0*</v>
      </c>
      <c r="C464" s="55" t="str">
        <f>'Todos los Codigos'!A463</f>
        <v>*DGSW165-0*</v>
      </c>
      <c r="D464" s="57" t="str">
        <f>'Todos los Codigos'!D463</f>
        <v>*DGSW165-1*</v>
      </c>
      <c r="E464" s="60" t="str">
        <f>'Todos los Codigos'!E463</f>
        <v>*DGSW165-2*</v>
      </c>
    </row>
    <row r="465" spans="1:5" ht="30" customHeight="1" x14ac:dyDescent="0.25"/>
    <row r="466" spans="1:5" ht="30" customHeight="1" x14ac:dyDescent="0.25">
      <c r="A466" s="55" t="str">
        <f>'Catalogo de Codigos '!G167</f>
        <v>*DGSW166-0*</v>
      </c>
      <c r="B466" s="55" t="str">
        <f>'Todos los Codigos'!A466</f>
        <v>*DGSW166-0*</v>
      </c>
      <c r="C466" s="55" t="str">
        <f>'Todos los Codigos'!A466</f>
        <v>*DGSW166-0*</v>
      </c>
      <c r="D466" s="57" t="str">
        <f>'Catalogo de Codigos '!H167</f>
        <v>*DGSW166-1*</v>
      </c>
      <c r="E466" s="60" t="str">
        <f>'Catalogo de Codigos '!I167</f>
        <v>*DGSW166-2*</v>
      </c>
    </row>
    <row r="467" spans="1:5" ht="30" customHeight="1" x14ac:dyDescent="0.25">
      <c r="A467" s="55" t="str">
        <f>'Todos los Codigos'!A466</f>
        <v>*DGSW166-0*</v>
      </c>
      <c r="B467" s="55" t="str">
        <f>'Todos los Codigos'!A466</f>
        <v>*DGSW166-0*</v>
      </c>
      <c r="C467" s="55" t="str">
        <f>'Todos los Codigos'!A466</f>
        <v>*DGSW166-0*</v>
      </c>
      <c r="D467" s="57" t="str">
        <f>'Todos los Codigos'!D466</f>
        <v>*DGSW166-1*</v>
      </c>
      <c r="E467" s="60" t="str">
        <f>'Todos los Codigos'!E466</f>
        <v>*DGSW166-2*</v>
      </c>
    </row>
    <row r="468" spans="1:5" ht="30" customHeight="1" x14ac:dyDescent="0.25"/>
    <row r="469" spans="1:5" ht="30" customHeight="1" x14ac:dyDescent="0.25">
      <c r="A469" s="55" t="str">
        <f>'Catalogo de Codigos '!G168</f>
        <v>*DGSW167-0*</v>
      </c>
      <c r="B469" s="55" t="str">
        <f>'Todos los Codigos'!A469</f>
        <v>*DGSW167-0*</v>
      </c>
      <c r="C469" s="55" t="str">
        <f>'Todos los Codigos'!A469</f>
        <v>*DGSW167-0*</v>
      </c>
      <c r="D469" s="57" t="str">
        <f>'Catalogo de Codigos '!H168</f>
        <v>*DGSW167-1*</v>
      </c>
      <c r="E469" s="60" t="str">
        <f>'Catalogo de Codigos '!I168</f>
        <v>*DGSW167-2*</v>
      </c>
    </row>
    <row r="470" spans="1:5" ht="30" customHeight="1" x14ac:dyDescent="0.25">
      <c r="A470" s="55" t="str">
        <f>'Todos los Codigos'!A469</f>
        <v>*DGSW167-0*</v>
      </c>
      <c r="B470" s="55" t="str">
        <f>'Todos los Codigos'!A469</f>
        <v>*DGSW167-0*</v>
      </c>
      <c r="C470" s="55" t="str">
        <f>'Todos los Codigos'!A469</f>
        <v>*DGSW167-0*</v>
      </c>
      <c r="D470" s="57" t="str">
        <f>'Todos los Codigos'!D469</f>
        <v>*DGSW167-1*</v>
      </c>
      <c r="E470" s="60" t="str">
        <f>'Todos los Codigos'!E469</f>
        <v>*DGSW167-2*</v>
      </c>
    </row>
    <row r="471" spans="1:5" ht="30" customHeight="1" x14ac:dyDescent="0.25"/>
    <row r="472" spans="1:5" ht="30" customHeight="1" x14ac:dyDescent="0.25">
      <c r="A472" s="55" t="str">
        <f>'Catalogo de Codigos '!G169</f>
        <v>*DGSW168-0*</v>
      </c>
      <c r="B472" s="55" t="str">
        <f>'Todos los Codigos'!A472</f>
        <v>*DGSW168-0*</v>
      </c>
      <c r="C472" s="55" t="str">
        <f>'Todos los Codigos'!A472</f>
        <v>*DGSW168-0*</v>
      </c>
      <c r="D472" s="57" t="str">
        <f>'Catalogo de Codigos '!H169</f>
        <v>*DGSW168-1*</v>
      </c>
      <c r="E472" s="60" t="str">
        <f>'Catalogo de Codigos '!I169</f>
        <v>*DGSW168-2*</v>
      </c>
    </row>
    <row r="473" spans="1:5" ht="30" customHeight="1" x14ac:dyDescent="0.25">
      <c r="A473" s="55" t="str">
        <f>'Todos los Codigos'!A472</f>
        <v>*DGSW168-0*</v>
      </c>
      <c r="B473" s="55" t="str">
        <f>'Todos los Codigos'!A472</f>
        <v>*DGSW168-0*</v>
      </c>
      <c r="C473" s="55" t="str">
        <f>'Todos los Codigos'!A472</f>
        <v>*DGSW168-0*</v>
      </c>
      <c r="D473" s="57" t="str">
        <f>'Todos los Codigos'!D472</f>
        <v>*DGSW168-1*</v>
      </c>
      <c r="E473" s="60" t="str">
        <f>'Todos los Codigos'!E472</f>
        <v>*DGSW168-2*</v>
      </c>
    </row>
    <row r="474" spans="1:5" ht="30" customHeight="1" x14ac:dyDescent="0.25"/>
    <row r="475" spans="1:5" ht="30" customHeight="1" x14ac:dyDescent="0.25">
      <c r="A475" s="55" t="str">
        <f>'Catalogo de Codigos '!G170</f>
        <v>*DGSW169-0*</v>
      </c>
      <c r="B475" s="55" t="str">
        <f>'Todos los Codigos'!A475</f>
        <v>*DGSW169-0*</v>
      </c>
      <c r="C475" s="55" t="str">
        <f>'Todos los Codigos'!A475</f>
        <v>*DGSW169-0*</v>
      </c>
      <c r="D475" s="57" t="str">
        <f>'Catalogo de Codigos '!H170</f>
        <v>*DGSW169-1*</v>
      </c>
      <c r="E475" s="60" t="str">
        <f>'Catalogo de Codigos '!I170</f>
        <v>*DGSW169-2*</v>
      </c>
    </row>
    <row r="476" spans="1:5" ht="30" customHeight="1" x14ac:dyDescent="0.25">
      <c r="A476" s="55" t="str">
        <f>'Todos los Codigos'!A475</f>
        <v>*DGSW169-0*</v>
      </c>
      <c r="B476" s="55" t="str">
        <f>'Todos los Codigos'!A475</f>
        <v>*DGSW169-0*</v>
      </c>
      <c r="C476" s="55" t="str">
        <f>'Todos los Codigos'!A475</f>
        <v>*DGSW169-0*</v>
      </c>
      <c r="D476" s="57" t="str">
        <f>'Todos los Codigos'!D475</f>
        <v>*DGSW169-1*</v>
      </c>
      <c r="E476" s="60" t="str">
        <f>'Todos los Codigos'!E475</f>
        <v>*DGSW169-2*</v>
      </c>
    </row>
    <row r="477" spans="1:5" ht="30" customHeight="1" x14ac:dyDescent="0.25">
      <c r="A477" s="55" t="str">
        <f>'Catalogo de Codigos '!G171</f>
        <v>*DGSW170-0*</v>
      </c>
      <c r="B477" s="55" t="str">
        <f>'Todos los Codigos'!A477</f>
        <v>*DGSW170-0*</v>
      </c>
      <c r="C477" s="55" t="str">
        <f>'Todos los Codigos'!A477</f>
        <v>*DGSW170-0*</v>
      </c>
      <c r="D477" s="57" t="str">
        <f>'Catalogo de Codigos '!H171</f>
        <v>*DGSW170-1*</v>
      </c>
      <c r="E477" s="60" t="str">
        <f>'Catalogo de Codigos '!I171</f>
        <v>*DGSW170-2*</v>
      </c>
    </row>
    <row r="478" spans="1:5" ht="30" customHeight="1" x14ac:dyDescent="0.25">
      <c r="A478" s="55" t="str">
        <f>'Todos los Codigos'!A477</f>
        <v>*DGSW170-0*</v>
      </c>
      <c r="B478" s="55" t="str">
        <f>'Todos los Codigos'!A477</f>
        <v>*DGSW170-0*</v>
      </c>
      <c r="C478" s="55" t="str">
        <f>'Todos los Codigos'!A477</f>
        <v>*DGSW170-0*</v>
      </c>
      <c r="D478" s="57" t="str">
        <f>'Todos los Codigos'!D477</f>
        <v>*DGSW170-1*</v>
      </c>
      <c r="E478" s="60" t="str">
        <f>'Todos los Codigos'!E477</f>
        <v>*DGSW170-2*</v>
      </c>
    </row>
    <row r="479" spans="1:5" ht="30" customHeight="1" x14ac:dyDescent="0.25"/>
    <row r="480" spans="1:5" ht="30" customHeight="1" x14ac:dyDescent="0.25">
      <c r="A480" s="55" t="str">
        <f>'Catalogo de Codigos '!G172</f>
        <v>*DGSW171-0*</v>
      </c>
      <c r="B480" s="55" t="str">
        <f>'Todos los Codigos'!A480</f>
        <v>*DGSW171-0*</v>
      </c>
      <c r="C480" s="55" t="str">
        <f>'Todos los Codigos'!A480</f>
        <v>*DGSW171-0*</v>
      </c>
      <c r="D480" s="57" t="str">
        <f>'Catalogo de Codigos '!H172</f>
        <v>*DGSW171-1*</v>
      </c>
      <c r="E480" s="60" t="str">
        <f>'Catalogo de Codigos '!I172</f>
        <v>*DGSW171-2*</v>
      </c>
    </row>
    <row r="481" spans="1:5" ht="30" customHeight="1" x14ac:dyDescent="0.25">
      <c r="A481" s="55" t="str">
        <f>'Todos los Codigos'!A480</f>
        <v>*DGSW171-0*</v>
      </c>
      <c r="B481" s="55" t="str">
        <f>'Todos los Codigos'!A480</f>
        <v>*DGSW171-0*</v>
      </c>
      <c r="C481" s="55" t="str">
        <f>'Todos los Codigos'!A480</f>
        <v>*DGSW171-0*</v>
      </c>
      <c r="D481" s="57" t="str">
        <f>'Todos los Codigos'!D480</f>
        <v>*DGSW171-1*</v>
      </c>
      <c r="E481" s="60" t="str">
        <f>'Todos los Codigos'!E480</f>
        <v>*DGSW171-2*</v>
      </c>
    </row>
    <row r="482" spans="1:5" ht="30" customHeight="1" x14ac:dyDescent="0.25"/>
    <row r="483" spans="1:5" ht="30" customHeight="1" x14ac:dyDescent="0.25">
      <c r="A483" s="55" t="str">
        <f>'Catalogo de Codigos '!G173</f>
        <v>*DGSW172-0*</v>
      </c>
      <c r="B483" s="55" t="str">
        <f>'Todos los Codigos'!A483</f>
        <v>*DGSW172-0*</v>
      </c>
      <c r="C483" s="55" t="str">
        <f>'Todos los Codigos'!A483</f>
        <v>*DGSW172-0*</v>
      </c>
      <c r="D483" s="57" t="str">
        <f>'Catalogo de Codigos '!H173</f>
        <v>*DGSW172-1*</v>
      </c>
      <c r="E483" s="60" t="str">
        <f>'Catalogo de Codigos '!I173</f>
        <v>*DGSW172-2*</v>
      </c>
    </row>
    <row r="484" spans="1:5" ht="30" customHeight="1" x14ac:dyDescent="0.25">
      <c r="A484" s="55" t="str">
        <f>'Todos los Codigos'!A483</f>
        <v>*DGSW172-0*</v>
      </c>
      <c r="B484" s="55" t="str">
        <f>'Todos los Codigos'!A483</f>
        <v>*DGSW172-0*</v>
      </c>
      <c r="C484" s="55" t="str">
        <f>'Todos los Codigos'!A483</f>
        <v>*DGSW172-0*</v>
      </c>
      <c r="D484" s="57" t="str">
        <f>'Todos los Codigos'!D483</f>
        <v>*DGSW172-1*</v>
      </c>
      <c r="E484" s="60" t="str">
        <f>'Todos los Codigos'!E483</f>
        <v>*DGSW172-2*</v>
      </c>
    </row>
    <row r="485" spans="1:5" ht="30" customHeight="1" x14ac:dyDescent="0.25"/>
    <row r="486" spans="1:5" ht="30" customHeight="1" x14ac:dyDescent="0.25">
      <c r="A486" s="55" t="str">
        <f>'Catalogo de Codigos '!G174</f>
        <v>*DGSW173-0*</v>
      </c>
      <c r="B486" s="55" t="str">
        <f>'Todos los Codigos'!A486</f>
        <v>*DGSW173-0*</v>
      </c>
      <c r="C486" s="55" t="str">
        <f>'Todos los Codigos'!A486</f>
        <v>*DGSW173-0*</v>
      </c>
      <c r="D486" s="57" t="str">
        <f>'Catalogo de Codigos '!H174</f>
        <v>*DGSW173-1*</v>
      </c>
      <c r="E486" s="60" t="str">
        <f>'Catalogo de Codigos '!I174</f>
        <v>*DGSW173-2*</v>
      </c>
    </row>
    <row r="487" spans="1:5" ht="30" customHeight="1" x14ac:dyDescent="0.25">
      <c r="A487" s="55" t="str">
        <f>'Todos los Codigos'!A486</f>
        <v>*DGSW173-0*</v>
      </c>
      <c r="B487" s="55" t="str">
        <f>'Todos los Codigos'!A486</f>
        <v>*DGSW173-0*</v>
      </c>
      <c r="C487" s="55" t="str">
        <f>'Todos los Codigos'!A486</f>
        <v>*DGSW173-0*</v>
      </c>
      <c r="D487" s="57" t="str">
        <f>'Todos los Codigos'!D486</f>
        <v>*DGSW173-1*</v>
      </c>
      <c r="E487" s="60" t="str">
        <f>'Todos los Codigos'!E486</f>
        <v>*DGSW173-2*</v>
      </c>
    </row>
    <row r="488" spans="1:5" ht="30" customHeight="1" x14ac:dyDescent="0.25"/>
    <row r="489" spans="1:5" ht="30" customHeight="1" x14ac:dyDescent="0.25">
      <c r="A489" s="55" t="str">
        <f>'Catalogo de Codigos '!G175</f>
        <v>*DGSW174-0*</v>
      </c>
      <c r="B489" s="55" t="str">
        <f>'Todos los Codigos'!A489</f>
        <v>*DGSW174-0*</v>
      </c>
      <c r="C489" s="55" t="str">
        <f>'Todos los Codigos'!A489</f>
        <v>*DGSW174-0*</v>
      </c>
      <c r="D489" s="57" t="str">
        <f>'Catalogo de Codigos '!H175</f>
        <v>*DGSW174-1*</v>
      </c>
      <c r="E489" s="60" t="str">
        <f>'Catalogo de Codigos '!I175</f>
        <v>*DGSW174-2*</v>
      </c>
    </row>
    <row r="490" spans="1:5" ht="30" customHeight="1" x14ac:dyDescent="0.25">
      <c r="A490" s="55" t="str">
        <f>'Todos los Codigos'!A489</f>
        <v>*DGSW174-0*</v>
      </c>
      <c r="B490" s="55" t="str">
        <f>'Todos los Codigos'!A489</f>
        <v>*DGSW174-0*</v>
      </c>
      <c r="C490" s="55" t="str">
        <f>'Todos los Codigos'!A489</f>
        <v>*DGSW174-0*</v>
      </c>
      <c r="D490" s="57" t="str">
        <f>'Todos los Codigos'!D489</f>
        <v>*DGSW174-1*</v>
      </c>
      <c r="E490" s="60" t="str">
        <f>'Todos los Codigos'!E489</f>
        <v>*DGSW174-2*</v>
      </c>
    </row>
    <row r="491" spans="1:5" ht="30" customHeight="1" x14ac:dyDescent="0.25"/>
    <row r="492" spans="1:5" ht="30" customHeight="1" x14ac:dyDescent="0.25">
      <c r="A492" s="55" t="str">
        <f>'Catalogo de Codigos '!G176</f>
        <v>*DGSW175-0*</v>
      </c>
      <c r="B492" s="55" t="str">
        <f>'Todos los Codigos'!A492</f>
        <v>*DGSW175-0*</v>
      </c>
      <c r="C492" s="55" t="str">
        <f>'Todos los Codigos'!A492</f>
        <v>*DGSW175-0*</v>
      </c>
      <c r="D492" s="57" t="str">
        <f>'Catalogo de Codigos '!H176</f>
        <v>*DGSW175-1*</v>
      </c>
      <c r="E492" s="60" t="str">
        <f>'Catalogo de Codigos '!I176</f>
        <v>*DGSW175-2*</v>
      </c>
    </row>
    <row r="493" spans="1:5" ht="30" customHeight="1" x14ac:dyDescent="0.25">
      <c r="A493" s="55" t="str">
        <f>'Todos los Codigos'!A492</f>
        <v>*DGSW175-0*</v>
      </c>
      <c r="B493" s="55" t="str">
        <f>'Todos los Codigos'!A492</f>
        <v>*DGSW175-0*</v>
      </c>
      <c r="C493" s="55" t="str">
        <f>'Todos los Codigos'!A492</f>
        <v>*DGSW175-0*</v>
      </c>
      <c r="D493" s="57" t="str">
        <f>'Todos los Codigos'!D492</f>
        <v>*DGSW175-1*</v>
      </c>
      <c r="E493" s="60" t="str">
        <f>'Todos los Codigos'!E492</f>
        <v>*DGSW175-2*</v>
      </c>
    </row>
    <row r="494" spans="1:5" ht="30" customHeight="1" x14ac:dyDescent="0.25">
      <c r="A494" s="55" t="str">
        <f>'Catalogo de Codigos '!G177</f>
        <v>*DGSW176-0*</v>
      </c>
      <c r="B494" s="55" t="str">
        <f>'Todos los Codigos'!A494</f>
        <v>*DGSW176-0*</v>
      </c>
      <c r="C494" s="55" t="str">
        <f>'Todos los Codigos'!A494</f>
        <v>*DGSW176-0*</v>
      </c>
      <c r="D494" s="57" t="str">
        <f>'Catalogo de Codigos '!H177</f>
        <v>*DGSW176-1*</v>
      </c>
      <c r="E494" s="60" t="str">
        <f>'Catalogo de Codigos '!I177</f>
        <v>*DGSW176-2*</v>
      </c>
    </row>
    <row r="495" spans="1:5" ht="30" customHeight="1" x14ac:dyDescent="0.25">
      <c r="A495" s="55" t="str">
        <f>'Todos los Codigos'!A494</f>
        <v>*DGSW176-0*</v>
      </c>
      <c r="B495" s="55" t="str">
        <f>'Todos los Codigos'!A494</f>
        <v>*DGSW176-0*</v>
      </c>
      <c r="C495" s="55" t="str">
        <f>'Todos los Codigos'!A494</f>
        <v>*DGSW176-0*</v>
      </c>
      <c r="D495" s="57" t="str">
        <f>'Todos los Codigos'!D494</f>
        <v>*DGSW176-1*</v>
      </c>
      <c r="E495" s="60" t="str">
        <f>'Todos los Codigos'!E494</f>
        <v>*DGSW176-2*</v>
      </c>
    </row>
    <row r="496" spans="1:5" ht="30" customHeight="1" x14ac:dyDescent="0.25"/>
    <row r="497" spans="1:5" ht="30" customHeight="1" x14ac:dyDescent="0.25">
      <c r="A497" s="55" t="str">
        <f>'Catalogo de Codigos '!G178</f>
        <v>*DGSW177-0*</v>
      </c>
      <c r="B497" s="55" t="str">
        <f>'Todos los Codigos'!A497</f>
        <v>*DGSW177-0*</v>
      </c>
      <c r="C497" s="55" t="str">
        <f>'Todos los Codigos'!A497</f>
        <v>*DGSW177-0*</v>
      </c>
      <c r="D497" s="57" t="str">
        <f>'Catalogo de Codigos '!H178</f>
        <v>*DGSW177-1*</v>
      </c>
      <c r="E497" s="60" t="str">
        <f>'Catalogo de Codigos '!I178</f>
        <v>*DGSW177-2*</v>
      </c>
    </row>
    <row r="498" spans="1:5" ht="30" customHeight="1" x14ac:dyDescent="0.25">
      <c r="A498" s="55" t="str">
        <f>'Todos los Codigos'!A497</f>
        <v>*DGSW177-0*</v>
      </c>
      <c r="B498" s="55" t="str">
        <f>'Todos los Codigos'!A497</f>
        <v>*DGSW177-0*</v>
      </c>
      <c r="C498" s="55" t="str">
        <f>'Todos los Codigos'!A497</f>
        <v>*DGSW177-0*</v>
      </c>
      <c r="D498" s="57" t="str">
        <f>'Todos los Codigos'!D497</f>
        <v>*DGSW177-1*</v>
      </c>
      <c r="E498" s="60" t="str">
        <f>'Todos los Codigos'!E497</f>
        <v>*DGSW177-2*</v>
      </c>
    </row>
    <row r="499" spans="1:5" ht="30" customHeight="1" x14ac:dyDescent="0.25"/>
    <row r="500" spans="1:5" ht="30" customHeight="1" x14ac:dyDescent="0.25">
      <c r="A500" s="55" t="str">
        <f>'Catalogo de Codigos '!G179</f>
        <v>*DGSW178-0*</v>
      </c>
      <c r="B500" s="55" t="str">
        <f>'Todos los Codigos'!A500</f>
        <v>*DGSW178-0*</v>
      </c>
      <c r="C500" s="55" t="str">
        <f>'Todos los Codigos'!A500</f>
        <v>*DGSW178-0*</v>
      </c>
      <c r="D500" s="57" t="str">
        <f>'Catalogo de Codigos '!H179</f>
        <v>*DGSW178-1*</v>
      </c>
      <c r="E500" s="60" t="str">
        <f>'Catalogo de Codigos '!I179</f>
        <v>*DGSW178-2*</v>
      </c>
    </row>
    <row r="501" spans="1:5" ht="30" customHeight="1" x14ac:dyDescent="0.25">
      <c r="A501" s="55" t="str">
        <f>'Todos los Codigos'!A500</f>
        <v>*DGSW178-0*</v>
      </c>
      <c r="B501" s="55" t="str">
        <f>'Todos los Codigos'!A500</f>
        <v>*DGSW178-0*</v>
      </c>
      <c r="C501" s="55" t="str">
        <f>'Todos los Codigos'!A500</f>
        <v>*DGSW178-0*</v>
      </c>
      <c r="D501" s="57" t="str">
        <f>'Todos los Codigos'!D500</f>
        <v>*DGSW178-1*</v>
      </c>
      <c r="E501" s="60" t="str">
        <f>'Todos los Codigos'!E500</f>
        <v>*DGSW178-2*</v>
      </c>
    </row>
    <row r="502" spans="1:5" ht="30" customHeight="1" x14ac:dyDescent="0.25"/>
    <row r="503" spans="1:5" ht="30" customHeight="1" x14ac:dyDescent="0.25">
      <c r="A503" s="55" t="str">
        <f>'Catalogo de Codigos '!G180</f>
        <v>*DGSW179-0*</v>
      </c>
      <c r="B503" s="55" t="str">
        <f>'Todos los Codigos'!A503</f>
        <v>*DGSW179-0*</v>
      </c>
      <c r="C503" s="55" t="str">
        <f>'Todos los Codigos'!A503</f>
        <v>*DGSW179-0*</v>
      </c>
      <c r="D503" s="57" t="str">
        <f>'Catalogo de Codigos '!H180</f>
        <v>*DGSW179-1*</v>
      </c>
      <c r="E503" s="60" t="str">
        <f>'Catalogo de Codigos '!I180</f>
        <v>*DGSW179-2*</v>
      </c>
    </row>
    <row r="504" spans="1:5" ht="30" customHeight="1" x14ac:dyDescent="0.25">
      <c r="A504" s="55" t="str">
        <f>'Todos los Codigos'!A503</f>
        <v>*DGSW179-0*</v>
      </c>
      <c r="B504" s="55" t="str">
        <f>'Todos los Codigos'!A503</f>
        <v>*DGSW179-0*</v>
      </c>
      <c r="C504" s="55" t="str">
        <f>'Todos los Codigos'!A503</f>
        <v>*DGSW179-0*</v>
      </c>
      <c r="D504" s="57" t="str">
        <f>'Todos los Codigos'!D503</f>
        <v>*DGSW179-1*</v>
      </c>
      <c r="E504" s="60" t="str">
        <f>'Todos los Codigos'!E503</f>
        <v>*DGSW179-2*</v>
      </c>
    </row>
    <row r="505" spans="1:5" ht="30" customHeight="1" x14ac:dyDescent="0.25"/>
    <row r="506" spans="1:5" ht="30" customHeight="1" x14ac:dyDescent="0.25">
      <c r="A506" s="55" t="str">
        <f>'Catalogo de Codigos '!G181</f>
        <v>*DGSW180-0*</v>
      </c>
      <c r="B506" s="55" t="str">
        <f>'Todos los Codigos'!A506</f>
        <v>*DGSW180-0*</v>
      </c>
      <c r="C506" s="55" t="str">
        <f>'Todos los Codigos'!A506</f>
        <v>*DGSW180-0*</v>
      </c>
      <c r="D506" s="57" t="str">
        <f>'Catalogo de Codigos '!H181</f>
        <v>*DGSW180-1*</v>
      </c>
      <c r="E506" s="60" t="str">
        <f>'Catalogo de Codigos '!I181</f>
        <v>*DGSW180-2*</v>
      </c>
    </row>
    <row r="507" spans="1:5" ht="30" customHeight="1" x14ac:dyDescent="0.25">
      <c r="A507" s="55" t="str">
        <f>'Todos los Codigos'!A506</f>
        <v>*DGSW180-0*</v>
      </c>
      <c r="B507" s="55" t="str">
        <f>'Todos los Codigos'!A506</f>
        <v>*DGSW180-0*</v>
      </c>
      <c r="C507" s="55" t="str">
        <f>'Todos los Codigos'!A506</f>
        <v>*DGSW180-0*</v>
      </c>
      <c r="D507" s="57" t="str">
        <f>'Todos los Codigos'!D506</f>
        <v>*DGSW180-1*</v>
      </c>
      <c r="E507" s="60" t="str">
        <f>'Todos los Codigos'!E506</f>
        <v>*DGSW180-2*</v>
      </c>
    </row>
    <row r="508" spans="1:5" ht="30" customHeight="1" x14ac:dyDescent="0.25"/>
    <row r="509" spans="1:5" ht="30" customHeight="1" x14ac:dyDescent="0.25">
      <c r="A509" s="55" t="str">
        <f>'Catalogo de Codigos '!G182</f>
        <v>*DGSW181-0*</v>
      </c>
      <c r="B509" s="55" t="str">
        <f>'Todos los Codigos'!A509</f>
        <v>*DGSW181-0*</v>
      </c>
      <c r="C509" s="55" t="str">
        <f>'Todos los Codigos'!A509</f>
        <v>*DGSW181-0*</v>
      </c>
      <c r="D509" s="57" t="str">
        <f>'Catalogo de Codigos '!H182</f>
        <v>*DGSW181-1*</v>
      </c>
      <c r="E509" s="60" t="str">
        <f>'Catalogo de Codigos '!I182</f>
        <v>*DGSW181-2*</v>
      </c>
    </row>
    <row r="510" spans="1:5" ht="30" customHeight="1" x14ac:dyDescent="0.25">
      <c r="A510" s="55" t="str">
        <f>'Todos los Codigos'!A509</f>
        <v>*DGSW181-0*</v>
      </c>
      <c r="B510" s="55" t="str">
        <f>'Todos los Codigos'!A509</f>
        <v>*DGSW181-0*</v>
      </c>
      <c r="C510" s="55" t="str">
        <f>'Todos los Codigos'!A509</f>
        <v>*DGSW181-0*</v>
      </c>
      <c r="D510" s="57" t="str">
        <f>'Todos los Codigos'!D509</f>
        <v>*DGSW181-1*</v>
      </c>
      <c r="E510" s="60" t="str">
        <f>'Todos los Codigos'!E509</f>
        <v>*DGSW181-2*</v>
      </c>
    </row>
    <row r="511" spans="1:5" ht="30" customHeight="1" x14ac:dyDescent="0.25">
      <c r="A511" s="55" t="str">
        <f>'Catalogo de Codigos '!G183</f>
        <v>*DGSW182-0*</v>
      </c>
      <c r="B511" s="55" t="str">
        <f>'Todos los Codigos'!A511</f>
        <v>*DGSW182-0*</v>
      </c>
      <c r="C511" s="55" t="str">
        <f>'Todos los Codigos'!A511</f>
        <v>*DGSW182-0*</v>
      </c>
      <c r="D511" s="57" t="str">
        <f>'Catalogo de Codigos '!H183</f>
        <v>*DGSW182-1*</v>
      </c>
      <c r="E511" s="60" t="str">
        <f>'Catalogo de Codigos '!I183</f>
        <v>*DGSW182-2*</v>
      </c>
    </row>
    <row r="512" spans="1:5" ht="30" customHeight="1" x14ac:dyDescent="0.25">
      <c r="A512" s="55" t="str">
        <f>'Todos los Codigos'!A511</f>
        <v>*DGSW182-0*</v>
      </c>
      <c r="B512" s="55" t="str">
        <f>'Todos los Codigos'!A511</f>
        <v>*DGSW182-0*</v>
      </c>
      <c r="C512" s="55" t="str">
        <f>'Todos los Codigos'!A511</f>
        <v>*DGSW182-0*</v>
      </c>
      <c r="D512" s="57" t="str">
        <f>'Todos los Codigos'!D511</f>
        <v>*DGSW182-1*</v>
      </c>
      <c r="E512" s="60" t="str">
        <f>'Todos los Codigos'!E511</f>
        <v>*DGSW182-2*</v>
      </c>
    </row>
    <row r="513" spans="1:5" ht="30" customHeight="1" x14ac:dyDescent="0.25">
      <c r="A513" s="52" t="s">
        <v>495</v>
      </c>
    </row>
    <row r="514" spans="1:5" ht="30" customHeight="1" x14ac:dyDescent="0.25">
      <c r="A514" s="55" t="str">
        <f>'Catalogo de Codigos '!G184</f>
        <v>*DGSW183-0*</v>
      </c>
      <c r="B514" s="55" t="str">
        <f>'Todos los Codigos'!A514</f>
        <v>*DGSW183-0*</v>
      </c>
      <c r="C514" s="55" t="str">
        <f>'Todos los Codigos'!A514</f>
        <v>*DGSW183-0*</v>
      </c>
      <c r="D514" s="57" t="str">
        <f>'Catalogo de Codigos '!H184</f>
        <v>*DGSW183-1*</v>
      </c>
      <c r="E514" s="60" t="str">
        <f>'Catalogo de Codigos '!I184</f>
        <v>*DGSW183-2*</v>
      </c>
    </row>
    <row r="515" spans="1:5" ht="30" customHeight="1" x14ac:dyDescent="0.25">
      <c r="A515" s="55" t="str">
        <f>'Todos los Codigos'!A514</f>
        <v>*DGSW183-0*</v>
      </c>
      <c r="B515" s="55" t="str">
        <f>'Todos los Codigos'!A514</f>
        <v>*DGSW183-0*</v>
      </c>
      <c r="C515" s="55" t="str">
        <f>'Todos los Codigos'!A514</f>
        <v>*DGSW183-0*</v>
      </c>
      <c r="D515" s="57" t="str">
        <f>'Todos los Codigos'!D514</f>
        <v>*DGSW183-1*</v>
      </c>
      <c r="E515" s="60" t="str">
        <f>'Todos los Codigos'!E514</f>
        <v>*DGSW183-2*</v>
      </c>
    </row>
    <row r="516" spans="1:5" ht="30" customHeight="1" x14ac:dyDescent="0.25">
      <c r="A516" s="52" t="s">
        <v>495</v>
      </c>
    </row>
    <row r="517" spans="1:5" ht="30" customHeight="1" x14ac:dyDescent="0.25">
      <c r="A517" s="55" t="str">
        <f>'Catalogo de Codigos '!G185</f>
        <v>*DGSW184-0*</v>
      </c>
      <c r="B517" s="55" t="str">
        <f>'Todos los Codigos'!A517</f>
        <v>*DGSW184-0*</v>
      </c>
      <c r="C517" s="55" t="str">
        <f>'Todos los Codigos'!A517</f>
        <v>*DGSW184-0*</v>
      </c>
      <c r="D517" s="57" t="str">
        <f>'Catalogo de Codigos '!H185</f>
        <v>*DGSW184-1*</v>
      </c>
      <c r="E517" s="60" t="str">
        <f>'Catalogo de Codigos '!I185</f>
        <v>*DGSW184-2*</v>
      </c>
    </row>
    <row r="518" spans="1:5" ht="30" customHeight="1" x14ac:dyDescent="0.25">
      <c r="A518" s="55" t="str">
        <f>'Todos los Codigos'!A517</f>
        <v>*DGSW184-0*</v>
      </c>
      <c r="B518" s="55" t="str">
        <f>'Todos los Codigos'!A517</f>
        <v>*DGSW184-0*</v>
      </c>
      <c r="C518" s="55" t="str">
        <f>'Todos los Codigos'!A517</f>
        <v>*DGSW184-0*</v>
      </c>
      <c r="D518" s="57" t="str">
        <f>'Todos los Codigos'!D517</f>
        <v>*DGSW184-1*</v>
      </c>
      <c r="E518" s="60" t="str">
        <f>'Todos los Codigos'!E517</f>
        <v>*DGSW184-2*</v>
      </c>
    </row>
    <row r="519" spans="1:5" ht="30" customHeight="1" x14ac:dyDescent="0.25">
      <c r="A519" s="52" t="s">
        <v>495</v>
      </c>
    </row>
    <row r="520" spans="1:5" ht="30" customHeight="1" x14ac:dyDescent="0.25">
      <c r="A520" s="55" t="str">
        <f>'Catalogo de Codigos '!G186</f>
        <v>*DGSW185-0*</v>
      </c>
      <c r="B520" s="55" t="str">
        <f>'Todos los Codigos'!A520</f>
        <v>*DGSW185-0*</v>
      </c>
      <c r="C520" s="55" t="str">
        <f>'Todos los Codigos'!A520</f>
        <v>*DGSW185-0*</v>
      </c>
      <c r="D520" s="57" t="str">
        <f>'Catalogo de Codigos '!H186</f>
        <v>*DGSW185-1*</v>
      </c>
      <c r="E520" s="60" t="str">
        <f>'Catalogo de Codigos '!I186</f>
        <v>*DGSW185-2*</v>
      </c>
    </row>
    <row r="521" spans="1:5" ht="30" customHeight="1" x14ac:dyDescent="0.25">
      <c r="A521" s="55" t="str">
        <f>'Todos los Codigos'!A520</f>
        <v>*DGSW185-0*</v>
      </c>
      <c r="B521" s="55" t="str">
        <f>'Todos los Codigos'!A520</f>
        <v>*DGSW185-0*</v>
      </c>
      <c r="C521" s="55" t="str">
        <f>'Todos los Codigos'!A520</f>
        <v>*DGSW185-0*</v>
      </c>
      <c r="D521" s="57" t="str">
        <f>'Todos los Codigos'!D520</f>
        <v>*DGSW185-1*</v>
      </c>
      <c r="E521" s="60" t="str">
        <f>'Todos los Codigos'!E520</f>
        <v>*DGSW185-2*</v>
      </c>
    </row>
    <row r="522" spans="1:5" ht="30" customHeight="1" x14ac:dyDescent="0.25">
      <c r="A522" s="52" t="s">
        <v>495</v>
      </c>
    </row>
    <row r="523" spans="1:5" ht="30" customHeight="1" x14ac:dyDescent="0.25">
      <c r="A523" s="55" t="str">
        <f>'Catalogo de Codigos '!G187</f>
        <v>*DGSW186-0*</v>
      </c>
      <c r="B523" s="55" t="str">
        <f>'Todos los Codigos'!A523</f>
        <v>*DGSW186-0*</v>
      </c>
      <c r="C523" s="55" t="str">
        <f>'Todos los Codigos'!A523</f>
        <v>*DGSW186-0*</v>
      </c>
      <c r="D523" s="57" t="str">
        <f>'Catalogo de Codigos '!H187</f>
        <v>*DGSW186-1*</v>
      </c>
      <c r="E523" s="60" t="str">
        <f>'Catalogo de Codigos '!I187</f>
        <v>*DGSW186-2*</v>
      </c>
    </row>
    <row r="524" spans="1:5" ht="30" customHeight="1" x14ac:dyDescent="0.25">
      <c r="A524" s="55" t="str">
        <f>'Todos los Codigos'!A523</f>
        <v>*DGSW186-0*</v>
      </c>
      <c r="B524" s="55" t="str">
        <f>'Todos los Codigos'!A523</f>
        <v>*DGSW186-0*</v>
      </c>
      <c r="C524" s="55" t="str">
        <f>'Todos los Codigos'!A523</f>
        <v>*DGSW186-0*</v>
      </c>
      <c r="D524" s="57" t="str">
        <f>'Todos los Codigos'!D523</f>
        <v>*DGSW186-1*</v>
      </c>
      <c r="E524" s="60" t="str">
        <f>'Todos los Codigos'!E523</f>
        <v>*DGSW186-2*</v>
      </c>
    </row>
    <row r="525" spans="1:5" ht="30" customHeight="1" x14ac:dyDescent="0.25">
      <c r="A525" s="52" t="s">
        <v>495</v>
      </c>
    </row>
    <row r="526" spans="1:5" ht="30" customHeight="1" x14ac:dyDescent="0.25">
      <c r="A526" s="55" t="str">
        <f>'Catalogo de Codigos '!G188</f>
        <v>*DGSW187-0*</v>
      </c>
      <c r="B526" s="55" t="str">
        <f>'Todos los Codigos'!A526</f>
        <v>*DGSW187-0*</v>
      </c>
      <c r="C526" s="55" t="str">
        <f>'Todos los Codigos'!A526</f>
        <v>*DGSW187-0*</v>
      </c>
      <c r="D526" s="57" t="str">
        <f>'Catalogo de Codigos '!H188</f>
        <v>*DGSW187-1*</v>
      </c>
      <c r="E526" s="60" t="str">
        <f>'Catalogo de Codigos '!I188</f>
        <v>*DGSW187-2*</v>
      </c>
    </row>
    <row r="527" spans="1:5" ht="30" customHeight="1" x14ac:dyDescent="0.25">
      <c r="A527" s="55" t="str">
        <f>'Todos los Codigos'!A526</f>
        <v>*DGSW187-0*</v>
      </c>
      <c r="B527" s="55" t="str">
        <f>'Todos los Codigos'!A526</f>
        <v>*DGSW187-0*</v>
      </c>
      <c r="C527" s="55" t="str">
        <f>'Todos los Codigos'!A526</f>
        <v>*DGSW187-0*</v>
      </c>
      <c r="D527" s="57" t="str">
        <f>'Todos los Codigos'!D526</f>
        <v>*DGSW187-1*</v>
      </c>
      <c r="E527" s="60" t="str">
        <f>'Todos los Codigos'!E526</f>
        <v>*DGSW187-2*</v>
      </c>
    </row>
    <row r="528" spans="1:5" ht="30" customHeight="1" x14ac:dyDescent="0.25">
      <c r="A528" s="55" t="str">
        <f>'Catalogo de Codigos '!G189</f>
        <v>*DGSW188-0*</v>
      </c>
      <c r="B528" s="55" t="str">
        <f>'Todos los Codigos'!A528</f>
        <v>*DGSW188-0*</v>
      </c>
      <c r="C528" s="55" t="str">
        <f>'Todos los Codigos'!A528</f>
        <v>*DGSW188-0*</v>
      </c>
      <c r="D528" s="57" t="str">
        <f>'Catalogo de Codigos '!H189</f>
        <v>*DGSW188-1*</v>
      </c>
      <c r="E528" s="60" t="str">
        <f>'Catalogo de Codigos '!I189</f>
        <v>*DGSW188-2*</v>
      </c>
    </row>
    <row r="529" spans="1:5" ht="30" customHeight="1" x14ac:dyDescent="0.25">
      <c r="A529" s="55" t="str">
        <f>'Todos los Codigos'!A528</f>
        <v>*DGSW188-0*</v>
      </c>
      <c r="B529" s="55" t="str">
        <f>'Todos los Codigos'!A528</f>
        <v>*DGSW188-0*</v>
      </c>
      <c r="C529" s="55" t="str">
        <f>'Todos los Codigos'!A528</f>
        <v>*DGSW188-0*</v>
      </c>
      <c r="D529" s="57" t="str">
        <f>'Todos los Codigos'!D528</f>
        <v>*DGSW188-1*</v>
      </c>
      <c r="E529" s="60" t="str">
        <f>'Todos los Codigos'!E528</f>
        <v>*DGSW188-2*</v>
      </c>
    </row>
    <row r="530" spans="1:5" ht="30" customHeight="1" x14ac:dyDescent="0.25">
      <c r="A530" s="52" t="s">
        <v>495</v>
      </c>
    </row>
    <row r="531" spans="1:5" ht="30" customHeight="1" x14ac:dyDescent="0.25">
      <c r="A531" s="55" t="str">
        <f>'Catalogo de Codigos '!G190</f>
        <v>*DGSW189-0*</v>
      </c>
      <c r="B531" s="55" t="str">
        <f>'Todos los Codigos'!A531</f>
        <v>*DGSW189-0*</v>
      </c>
      <c r="C531" s="55" t="str">
        <f>'Todos los Codigos'!A531</f>
        <v>*DGSW189-0*</v>
      </c>
      <c r="D531" s="57" t="str">
        <f>'Catalogo de Codigos '!H190</f>
        <v>*DGSW189-1*</v>
      </c>
      <c r="E531" s="60" t="str">
        <f>'Catalogo de Codigos '!I190</f>
        <v>*DGSW189-2*</v>
      </c>
    </row>
    <row r="532" spans="1:5" ht="30" customHeight="1" x14ac:dyDescent="0.25">
      <c r="A532" s="55" t="str">
        <f>'Todos los Codigos'!A531</f>
        <v>*DGSW189-0*</v>
      </c>
      <c r="B532" s="55" t="str">
        <f>'Todos los Codigos'!A531</f>
        <v>*DGSW189-0*</v>
      </c>
      <c r="C532" s="55" t="str">
        <f>'Todos los Codigos'!A531</f>
        <v>*DGSW189-0*</v>
      </c>
      <c r="D532" s="57" t="str">
        <f>'Todos los Codigos'!D531</f>
        <v>*DGSW189-1*</v>
      </c>
      <c r="E532" s="60" t="str">
        <f>'Todos los Codigos'!E531</f>
        <v>*DGSW189-2*</v>
      </c>
    </row>
    <row r="533" spans="1:5" ht="30" customHeight="1" x14ac:dyDescent="0.25">
      <c r="A533" s="52" t="s">
        <v>495</v>
      </c>
    </row>
    <row r="534" spans="1:5" ht="30" customHeight="1" x14ac:dyDescent="0.25">
      <c r="A534" s="55" t="str">
        <f>'Catalogo de Codigos '!G191</f>
        <v>*DGSW190-0*</v>
      </c>
      <c r="B534" s="55" t="str">
        <f>'Todos los Codigos'!A534</f>
        <v>*DGSW190-0*</v>
      </c>
      <c r="C534" s="55" t="str">
        <f>'Todos los Codigos'!A534</f>
        <v>*DGSW190-0*</v>
      </c>
      <c r="D534" s="57" t="str">
        <f>'Catalogo de Codigos '!H191</f>
        <v>*DGSW190-1*</v>
      </c>
      <c r="E534" s="60" t="str">
        <f>'Catalogo de Codigos '!I191</f>
        <v>*DGSW190-2*</v>
      </c>
    </row>
    <row r="535" spans="1:5" ht="30" customHeight="1" x14ac:dyDescent="0.25">
      <c r="A535" s="55" t="str">
        <f>'Todos los Codigos'!A534</f>
        <v>*DGSW190-0*</v>
      </c>
      <c r="B535" s="55" t="str">
        <f>'Todos los Codigos'!A534</f>
        <v>*DGSW190-0*</v>
      </c>
      <c r="C535" s="55" t="str">
        <f>'Todos los Codigos'!A534</f>
        <v>*DGSW190-0*</v>
      </c>
      <c r="D535" s="57" t="str">
        <f>'Todos los Codigos'!D534</f>
        <v>*DGSW190-1*</v>
      </c>
      <c r="E535" s="60" t="str">
        <f>'Todos los Codigos'!E534</f>
        <v>*DGSW190-2*</v>
      </c>
    </row>
    <row r="536" spans="1:5" ht="30" customHeight="1" x14ac:dyDescent="0.25">
      <c r="A536" s="52" t="s">
        <v>495</v>
      </c>
    </row>
    <row r="537" spans="1:5" ht="30" customHeight="1" x14ac:dyDescent="0.25">
      <c r="A537" s="55" t="str">
        <f>'Catalogo de Codigos '!G192</f>
        <v>*DGSW191-0*</v>
      </c>
      <c r="B537" s="55" t="str">
        <f>'Todos los Codigos'!A537</f>
        <v>*DGSW191-0*</v>
      </c>
      <c r="C537" s="55" t="str">
        <f>'Todos los Codigos'!A537</f>
        <v>*DGSW191-0*</v>
      </c>
      <c r="D537" s="57" t="str">
        <f>'Catalogo de Codigos '!H192</f>
        <v>*DGSW191-1*</v>
      </c>
      <c r="E537" s="60" t="str">
        <f>'Catalogo de Codigos '!I192</f>
        <v>*DGSW191-2*</v>
      </c>
    </row>
    <row r="538" spans="1:5" ht="30" customHeight="1" x14ac:dyDescent="0.25">
      <c r="A538" s="55" t="str">
        <f>'Todos los Codigos'!A537</f>
        <v>*DGSW191-0*</v>
      </c>
      <c r="B538" s="55" t="str">
        <f>'Todos los Codigos'!A537</f>
        <v>*DGSW191-0*</v>
      </c>
      <c r="C538" s="55" t="str">
        <f>'Todos los Codigos'!A537</f>
        <v>*DGSW191-0*</v>
      </c>
      <c r="D538" s="57" t="str">
        <f>'Todos los Codigos'!D537</f>
        <v>*DGSW191-1*</v>
      </c>
      <c r="E538" s="60" t="str">
        <f>'Todos los Codigos'!E537</f>
        <v>*DGSW191-2*</v>
      </c>
    </row>
    <row r="539" spans="1:5" ht="30" customHeight="1" x14ac:dyDescent="0.25">
      <c r="A539" s="52" t="s">
        <v>495</v>
      </c>
    </row>
    <row r="540" spans="1:5" ht="30" customHeight="1" x14ac:dyDescent="0.25">
      <c r="A540" s="55" t="str">
        <f>'Catalogo de Codigos '!G193</f>
        <v>*DGSW192-0*</v>
      </c>
      <c r="B540" s="55" t="str">
        <f>'Todos los Codigos'!A540</f>
        <v>*DGSW192-0*</v>
      </c>
      <c r="C540" s="55" t="str">
        <f>'Todos los Codigos'!A540</f>
        <v>*DGSW192-0*</v>
      </c>
      <c r="D540" s="57" t="str">
        <f>'Catalogo de Codigos '!H193</f>
        <v>*DGSW192-1*</v>
      </c>
      <c r="E540" s="60" t="str">
        <f>'Catalogo de Codigos '!I193</f>
        <v>*DGSW192-2*</v>
      </c>
    </row>
    <row r="541" spans="1:5" ht="30" customHeight="1" x14ac:dyDescent="0.25">
      <c r="A541" s="55" t="str">
        <f>'Todos los Codigos'!A540</f>
        <v>*DGSW192-0*</v>
      </c>
      <c r="B541" s="55" t="str">
        <f>'Todos los Codigos'!A540</f>
        <v>*DGSW192-0*</v>
      </c>
      <c r="C541" s="55" t="str">
        <f>'Todos los Codigos'!A540</f>
        <v>*DGSW192-0*</v>
      </c>
      <c r="D541" s="57" t="str">
        <f>'Todos los Codigos'!D540</f>
        <v>*DGSW192-1*</v>
      </c>
      <c r="E541" s="60" t="str">
        <f>'Todos los Codigos'!E540</f>
        <v>*DGSW192-2*</v>
      </c>
    </row>
    <row r="542" spans="1:5" ht="30" customHeight="1" x14ac:dyDescent="0.25">
      <c r="A542" s="52" t="s">
        <v>495</v>
      </c>
    </row>
    <row r="543" spans="1:5" ht="30" customHeight="1" x14ac:dyDescent="0.25">
      <c r="A543" s="55" t="str">
        <f>'Catalogo de Codigos '!G194</f>
        <v>*DGSW193-0*</v>
      </c>
      <c r="B543" s="55" t="str">
        <f>'Todos los Codigos'!A543</f>
        <v>*DGSW193-0*</v>
      </c>
      <c r="C543" s="55" t="str">
        <f>'Todos los Codigos'!A543</f>
        <v>*DGSW193-0*</v>
      </c>
      <c r="D543" s="57" t="str">
        <f>'Catalogo de Codigos '!H194</f>
        <v>*DGSW193-1*</v>
      </c>
      <c r="E543" s="60" t="str">
        <f>'Catalogo de Codigos '!I194</f>
        <v>*DGSW193-2*</v>
      </c>
    </row>
    <row r="544" spans="1:5" ht="30" customHeight="1" x14ac:dyDescent="0.25">
      <c r="A544" s="55" t="str">
        <f>'Todos los Codigos'!A543</f>
        <v>*DGSW193-0*</v>
      </c>
      <c r="B544" s="55" t="str">
        <f>'Todos los Codigos'!A543</f>
        <v>*DGSW193-0*</v>
      </c>
      <c r="C544" s="55" t="str">
        <f>'Todos los Codigos'!A543</f>
        <v>*DGSW193-0*</v>
      </c>
      <c r="D544" s="57" t="str">
        <f>'Todos los Codigos'!D543</f>
        <v>*DGSW193-1*</v>
      </c>
      <c r="E544" s="60" t="str">
        <f>'Todos los Codigos'!E543</f>
        <v>*DGSW193-2*</v>
      </c>
    </row>
    <row r="545" spans="1:5" ht="30" customHeight="1" x14ac:dyDescent="0.25">
      <c r="A545" s="55" t="str">
        <f>'Catalogo de Codigos '!G195</f>
        <v>*DWGS194-0*</v>
      </c>
      <c r="B545" s="55" t="str">
        <f>'Todos los Codigos'!A545</f>
        <v>*DWGS194-0*</v>
      </c>
      <c r="C545" s="55" t="str">
        <f>'Todos los Codigos'!A545</f>
        <v>*DWGS194-0*</v>
      </c>
      <c r="D545" s="57" t="str">
        <f>'Catalogo de Codigos '!H195</f>
        <v>*DWGS194-1*</v>
      </c>
      <c r="E545" s="60" t="str">
        <f>'Catalogo de Codigos '!I195</f>
        <v>*DWGS194-2*</v>
      </c>
    </row>
    <row r="546" spans="1:5" ht="30" customHeight="1" x14ac:dyDescent="0.25">
      <c r="A546" s="55" t="str">
        <f>'Todos los Codigos'!A545</f>
        <v>*DWGS194-0*</v>
      </c>
      <c r="B546" s="55" t="str">
        <f>'Todos los Codigos'!A545</f>
        <v>*DWGS194-0*</v>
      </c>
      <c r="C546" s="55" t="str">
        <f>'Todos los Codigos'!A545</f>
        <v>*DWGS194-0*</v>
      </c>
      <c r="D546" s="57" t="str">
        <f>'Todos los Codigos'!D545</f>
        <v>*DWGS194-1*</v>
      </c>
      <c r="E546" s="60" t="str">
        <f>'Todos los Codigos'!E545</f>
        <v>*DWGS194-2*</v>
      </c>
    </row>
    <row r="547" spans="1:5" ht="30" customHeight="1" x14ac:dyDescent="0.25"/>
    <row r="548" spans="1:5" ht="30" customHeight="1" x14ac:dyDescent="0.25">
      <c r="A548" s="55" t="str">
        <f>'Catalogo de Codigos '!G196</f>
        <v>*DWGS195-0*</v>
      </c>
      <c r="B548" s="55" t="str">
        <f>'Todos los Codigos'!A548</f>
        <v>*DWGS195-0*</v>
      </c>
      <c r="C548" s="55" t="str">
        <f>'Todos los Codigos'!A548</f>
        <v>*DWGS195-0*</v>
      </c>
      <c r="D548" s="57" t="str">
        <f>'Catalogo de Codigos '!H196</f>
        <v>*DWGS195-1*</v>
      </c>
      <c r="E548" s="60" t="str">
        <f>'Catalogo de Codigos '!I196</f>
        <v>*DWGS195-2*</v>
      </c>
    </row>
    <row r="549" spans="1:5" ht="30" customHeight="1" x14ac:dyDescent="0.25">
      <c r="A549" s="55" t="str">
        <f>'Todos los Codigos'!A548</f>
        <v>*DWGS195-0*</v>
      </c>
      <c r="B549" s="55" t="str">
        <f>'Todos los Codigos'!A548</f>
        <v>*DWGS195-0*</v>
      </c>
      <c r="C549" s="55" t="str">
        <f>'Todos los Codigos'!A548</f>
        <v>*DWGS195-0*</v>
      </c>
      <c r="D549" s="57" t="str">
        <f>'Todos los Codigos'!D548</f>
        <v>*DWGS195-1*</v>
      </c>
      <c r="E549" s="60" t="str">
        <f>'Todos los Codigos'!E548</f>
        <v>*DWGS195-2*</v>
      </c>
    </row>
    <row r="550" spans="1:5" ht="30" customHeight="1" x14ac:dyDescent="0.25"/>
    <row r="551" spans="1:5" ht="30" customHeight="1" x14ac:dyDescent="0.25">
      <c r="A551" s="55" t="str">
        <f>'Catalogo de Codigos '!G197</f>
        <v>*DGSW196-0*</v>
      </c>
      <c r="B551" s="55" t="str">
        <f>'Todos los Codigos'!A551</f>
        <v>*DGSW196-0*</v>
      </c>
      <c r="C551" s="55" t="str">
        <f>'Todos los Codigos'!A551</f>
        <v>*DGSW196-0*</v>
      </c>
      <c r="D551" s="57" t="str">
        <f>'Catalogo de Codigos '!H197</f>
        <v>*DGSW196-1*</v>
      </c>
      <c r="E551" s="60" t="str">
        <f>'Catalogo de Codigos '!I197</f>
        <v>*DGSW196-2*</v>
      </c>
    </row>
    <row r="552" spans="1:5" ht="30" customHeight="1" x14ac:dyDescent="0.25">
      <c r="A552" s="55" t="str">
        <f>'Todos los Codigos'!A551</f>
        <v>*DGSW196-0*</v>
      </c>
      <c r="B552" s="55" t="str">
        <f>'Todos los Codigos'!A551</f>
        <v>*DGSW196-0*</v>
      </c>
      <c r="C552" s="55" t="str">
        <f>'Todos los Codigos'!A551</f>
        <v>*DGSW196-0*</v>
      </c>
      <c r="D552" s="57" t="str">
        <f>'Todos los Codigos'!D551</f>
        <v>*DGSW196-1*</v>
      </c>
      <c r="E552" s="60" t="str">
        <f>'Todos los Codigos'!E551</f>
        <v>*DGSW196-2*</v>
      </c>
    </row>
    <row r="553" spans="1:5" ht="30" customHeight="1" x14ac:dyDescent="0.25"/>
    <row r="554" spans="1:5" ht="30" customHeight="1" x14ac:dyDescent="0.25">
      <c r="A554" s="55" t="str">
        <f>'Catalogo de Codigos '!G198</f>
        <v>*DGSW197-0*</v>
      </c>
      <c r="B554" s="55" t="str">
        <f>'Todos los Codigos'!A554</f>
        <v>*DGSW197-0*</v>
      </c>
      <c r="C554" s="55" t="str">
        <f>'Todos los Codigos'!A554</f>
        <v>*DGSW197-0*</v>
      </c>
      <c r="D554" s="57" t="str">
        <f>'Catalogo de Codigos '!H198</f>
        <v>*DGSW197-1*</v>
      </c>
      <c r="E554" s="60" t="str">
        <f>'Catalogo de Codigos '!I198</f>
        <v>*DGSW197-2*</v>
      </c>
    </row>
    <row r="555" spans="1:5" ht="30" customHeight="1" x14ac:dyDescent="0.25">
      <c r="A555" s="55" t="str">
        <f>'Todos los Codigos'!A554</f>
        <v>*DGSW197-0*</v>
      </c>
      <c r="B555" s="55" t="str">
        <f>'Todos los Codigos'!A554</f>
        <v>*DGSW197-0*</v>
      </c>
      <c r="C555" s="55" t="str">
        <f>'Todos los Codigos'!A554</f>
        <v>*DGSW197-0*</v>
      </c>
      <c r="D555" s="57" t="str">
        <f>'Todos los Codigos'!D554</f>
        <v>*DGSW197-1*</v>
      </c>
      <c r="E555" s="60" t="str">
        <f>'Todos los Codigos'!E554</f>
        <v>*DGSW197-2*</v>
      </c>
    </row>
    <row r="556" spans="1:5" ht="30" customHeight="1" x14ac:dyDescent="0.25"/>
    <row r="557" spans="1:5" ht="30" customHeight="1" x14ac:dyDescent="0.25">
      <c r="A557" s="55" t="str">
        <f>'Catalogo de Codigos '!G199</f>
        <v>*0-*</v>
      </c>
      <c r="B557" s="55" t="str">
        <f>'Todos los Codigos'!A557</f>
        <v>*0-*</v>
      </c>
      <c r="C557" s="55" t="str">
        <f>'Todos los Codigos'!A557</f>
        <v>*0-*</v>
      </c>
      <c r="D557" s="57" t="str">
        <f>'Catalogo de Codigos '!H199</f>
        <v>*0-*</v>
      </c>
      <c r="E557" s="60" t="str">
        <f>'Catalogo de Codigos '!I199</f>
        <v>*0-*</v>
      </c>
    </row>
    <row r="558" spans="1:5" ht="30" customHeight="1" x14ac:dyDescent="0.25">
      <c r="A558" s="55" t="str">
        <f>'Todos los Codigos'!A557</f>
        <v>*0-*</v>
      </c>
      <c r="B558" s="55" t="str">
        <f>'Todos los Codigos'!A557</f>
        <v>*0-*</v>
      </c>
      <c r="C558" s="55" t="str">
        <f>'Todos los Codigos'!A557</f>
        <v>*0-*</v>
      </c>
      <c r="D558" s="57" t="str">
        <f>'Todos los Codigos'!D557</f>
        <v>*0-*</v>
      </c>
      <c r="E558" s="60" t="str">
        <f>'Todos los Codigos'!E557</f>
        <v>*0-*</v>
      </c>
    </row>
    <row r="559" spans="1:5" ht="30" customHeight="1" x14ac:dyDescent="0.25"/>
    <row r="560" spans="1:5" ht="30" customHeight="1" x14ac:dyDescent="0.25">
      <c r="A560" s="55" t="str">
        <f>'Catalogo de Codigos '!G200</f>
        <v>*0-*</v>
      </c>
      <c r="B560" s="55" t="str">
        <f>'Todos los Codigos'!A560</f>
        <v>*0-*</v>
      </c>
      <c r="C560" s="55" t="str">
        <f>'Todos los Codigos'!A560</f>
        <v>*0-*</v>
      </c>
      <c r="D560" s="57" t="str">
        <f>'Catalogo de Codigos '!H200</f>
        <v>*0-*</v>
      </c>
      <c r="E560" s="60" t="str">
        <f>'Catalogo de Codigos '!I200</f>
        <v>*0-*</v>
      </c>
    </row>
    <row r="561" spans="1:5" ht="30" customHeight="1" x14ac:dyDescent="0.25">
      <c r="A561" s="55" t="str">
        <f>'Todos los Codigos'!A560</f>
        <v>*0-*</v>
      </c>
      <c r="B561" s="55" t="str">
        <f>'Todos los Codigos'!A560</f>
        <v>*0-*</v>
      </c>
      <c r="C561" s="55" t="str">
        <f>'Todos los Codigos'!A560</f>
        <v>*0-*</v>
      </c>
      <c r="D561" s="57" t="str">
        <f>'Todos los Codigos'!D560</f>
        <v>*0-*</v>
      </c>
      <c r="E561" s="60" t="str">
        <f>'Todos los Codigos'!E560</f>
        <v>*0-*</v>
      </c>
    </row>
    <row r="562" spans="1:5" ht="30" customHeight="1" x14ac:dyDescent="0.25">
      <c r="A562" s="55" t="str">
        <f>'Catalogo de Codigos '!G201</f>
        <v>*0-*</v>
      </c>
      <c r="B562" s="55" t="str">
        <f>'Todos los Codigos'!A562</f>
        <v>*0-*</v>
      </c>
      <c r="C562" s="55" t="str">
        <f>'Todos los Codigos'!A562</f>
        <v>*0-*</v>
      </c>
      <c r="D562" s="57" t="str">
        <f>'Catalogo de Codigos '!H201</f>
        <v>*0-*</v>
      </c>
      <c r="E562" s="60" t="str">
        <f>'Catalogo de Codigos '!I201</f>
        <v>*0-*</v>
      </c>
    </row>
    <row r="563" spans="1:5" ht="30" customHeight="1" x14ac:dyDescent="0.25">
      <c r="A563" s="55" t="str">
        <f>'Todos los Codigos'!A562</f>
        <v>*0-*</v>
      </c>
      <c r="B563" s="55" t="str">
        <f>'Todos los Codigos'!A562</f>
        <v>*0-*</v>
      </c>
      <c r="C563" s="55" t="str">
        <f>'Todos los Codigos'!A562</f>
        <v>*0-*</v>
      </c>
      <c r="D563" s="57" t="str">
        <f>'Todos los Codigos'!D562</f>
        <v>*0-*</v>
      </c>
      <c r="E563" s="60" t="str">
        <f>'Todos los Codigos'!E562</f>
        <v>*0-*</v>
      </c>
    </row>
    <row r="564" spans="1:5" ht="30" customHeight="1" x14ac:dyDescent="0.25"/>
    <row r="565" spans="1:5" ht="30" customHeight="1" x14ac:dyDescent="0.25">
      <c r="A565" s="55" t="str">
        <f>'Catalogo de Codigos '!G202</f>
        <v>*-*</v>
      </c>
      <c r="B565" s="55" t="str">
        <f>'Todos los Codigos'!A565</f>
        <v>*-*</v>
      </c>
      <c r="C565" s="55" t="str">
        <f>'Todos los Codigos'!A565</f>
        <v>*-*</v>
      </c>
      <c r="D565" s="57" t="str">
        <f>'Catalogo de Codigos '!H202</f>
        <v>*-*</v>
      </c>
      <c r="E565" s="60" t="str">
        <f>'Catalogo de Codigos '!I202</f>
        <v>*-*</v>
      </c>
    </row>
    <row r="566" spans="1:5" ht="30" customHeight="1" x14ac:dyDescent="0.25">
      <c r="A566" s="55" t="str">
        <f>'Todos los Codigos'!A565</f>
        <v>*-*</v>
      </c>
      <c r="B566" s="55" t="str">
        <f>'Todos los Codigos'!A565</f>
        <v>*-*</v>
      </c>
      <c r="C566" s="55" t="str">
        <f>'Todos los Codigos'!A565</f>
        <v>*-*</v>
      </c>
      <c r="D566" s="57" t="str">
        <f>'Todos los Codigos'!D565</f>
        <v>*-*</v>
      </c>
      <c r="E566" s="60" t="str">
        <f>'Todos los Codigos'!E565</f>
        <v>*-*</v>
      </c>
    </row>
    <row r="567" spans="1:5" ht="30" customHeight="1" x14ac:dyDescent="0.25"/>
    <row r="568" spans="1:5" ht="30" customHeight="1" x14ac:dyDescent="0.25">
      <c r="A568" s="55">
        <f>'Catalogo de Codigos '!G203</f>
        <v>0</v>
      </c>
      <c r="B568" s="55">
        <f>'Todos los Codigos'!A568</f>
        <v>0</v>
      </c>
      <c r="C568" s="55">
        <f>'Todos los Codigos'!A568</f>
        <v>0</v>
      </c>
      <c r="D568" s="57">
        <f>'Catalogo de Codigos '!H203</f>
        <v>0</v>
      </c>
      <c r="E568" s="60">
        <f>'Catalogo de Codigos '!I203</f>
        <v>0</v>
      </c>
    </row>
    <row r="569" spans="1:5" ht="30" customHeight="1" x14ac:dyDescent="0.25">
      <c r="A569" s="55">
        <f>'Todos los Codigos'!A568</f>
        <v>0</v>
      </c>
      <c r="B569" s="55">
        <f>'Todos los Codigos'!A568</f>
        <v>0</v>
      </c>
      <c r="C569" s="55">
        <f>'Todos los Codigos'!A568</f>
        <v>0</v>
      </c>
      <c r="D569" s="57">
        <f>'Todos los Codigos'!D568</f>
        <v>0</v>
      </c>
      <c r="E569" s="60">
        <f>'Todos los Codigos'!E568</f>
        <v>0</v>
      </c>
    </row>
    <row r="570" spans="1:5" ht="30" customHeight="1" x14ac:dyDescent="0.25"/>
    <row r="571" spans="1:5" ht="30" customHeight="1" x14ac:dyDescent="0.25">
      <c r="A571" s="55">
        <f>'Catalogo de Codigos '!G204</f>
        <v>0</v>
      </c>
      <c r="B571" s="55">
        <f>'Todos los Codigos'!A571</f>
        <v>0</v>
      </c>
      <c r="C571" s="55">
        <f>'Todos los Codigos'!A571</f>
        <v>0</v>
      </c>
      <c r="D571" s="57">
        <f>'Catalogo de Codigos '!H204</f>
        <v>0</v>
      </c>
      <c r="E571" s="60">
        <f>'Catalogo de Codigos '!I204</f>
        <v>0</v>
      </c>
    </row>
    <row r="572" spans="1:5" ht="30" customHeight="1" x14ac:dyDescent="0.25">
      <c r="A572" s="55">
        <f>'Todos los Codigos'!A571</f>
        <v>0</v>
      </c>
      <c r="B572" s="55">
        <f>'Todos los Codigos'!A571</f>
        <v>0</v>
      </c>
      <c r="C572" s="55">
        <f>'Todos los Codigos'!A571</f>
        <v>0</v>
      </c>
      <c r="D572" s="57">
        <f>'Todos los Codigos'!D571</f>
        <v>0</v>
      </c>
      <c r="E572" s="60">
        <f>'Todos los Codigos'!E571</f>
        <v>0</v>
      </c>
    </row>
    <row r="573" spans="1:5" ht="30" customHeight="1" x14ac:dyDescent="0.25"/>
    <row r="574" spans="1:5" ht="30" customHeight="1" x14ac:dyDescent="0.25">
      <c r="A574" s="55">
        <f>'Catalogo de Codigos '!G205</f>
        <v>0</v>
      </c>
      <c r="B574" s="55">
        <f>'Todos los Codigos'!A574</f>
        <v>0</v>
      </c>
      <c r="C574" s="55">
        <f>'Todos los Codigos'!A574</f>
        <v>0</v>
      </c>
      <c r="D574" s="57">
        <f>'Catalogo de Codigos '!H205</f>
        <v>0</v>
      </c>
      <c r="E574" s="60">
        <f>'Catalogo de Codigos '!I205</f>
        <v>0</v>
      </c>
    </row>
    <row r="575" spans="1:5" ht="30" customHeight="1" x14ac:dyDescent="0.25">
      <c r="A575" s="55">
        <f>'Todos los Codigos'!A574</f>
        <v>0</v>
      </c>
      <c r="B575" s="55">
        <f>'Todos los Codigos'!A574</f>
        <v>0</v>
      </c>
      <c r="C575" s="55">
        <f>'Todos los Codigos'!A574</f>
        <v>0</v>
      </c>
      <c r="D575" s="57">
        <f>'Todos los Codigos'!D574</f>
        <v>0</v>
      </c>
      <c r="E575" s="60">
        <f>'Todos los Codigos'!E574</f>
        <v>0</v>
      </c>
    </row>
    <row r="576" spans="1:5" ht="30" customHeight="1" x14ac:dyDescent="0.25"/>
    <row r="577" spans="1:5" ht="30" customHeight="1" x14ac:dyDescent="0.25">
      <c r="A577" s="55">
        <f>'Catalogo de Codigos '!G206</f>
        <v>0</v>
      </c>
      <c r="B577" s="55">
        <f>'Todos los Codigos'!A577</f>
        <v>0</v>
      </c>
      <c r="C577" s="55">
        <f>'Todos los Codigos'!A577</f>
        <v>0</v>
      </c>
      <c r="D577" s="57">
        <f>'Catalogo de Codigos '!H206</f>
        <v>0</v>
      </c>
      <c r="E577" s="60">
        <f>'Catalogo de Codigos '!I206</f>
        <v>0</v>
      </c>
    </row>
    <row r="578" spans="1:5" ht="30" customHeight="1" x14ac:dyDescent="0.25">
      <c r="A578" s="55">
        <f>'Todos los Codigos'!A577</f>
        <v>0</v>
      </c>
      <c r="B578" s="55">
        <f>'Todos los Codigos'!A577</f>
        <v>0</v>
      </c>
      <c r="C578" s="55">
        <f>'Todos los Codigos'!A577</f>
        <v>0</v>
      </c>
      <c r="D578" s="57">
        <f>'Todos los Codigos'!D577</f>
        <v>0</v>
      </c>
      <c r="E578" s="60">
        <f>'Todos los Codigos'!E577</f>
        <v>0</v>
      </c>
    </row>
    <row r="579" spans="1:5" ht="30" customHeight="1" x14ac:dyDescent="0.25">
      <c r="A579" s="55">
        <f>'Catalogo de Codigos '!G207</f>
        <v>0</v>
      </c>
      <c r="B579" s="55">
        <f>'Todos los Codigos'!A579</f>
        <v>0</v>
      </c>
      <c r="C579" s="55">
        <f>'Todos los Codigos'!A579</f>
        <v>0</v>
      </c>
      <c r="D579" s="57">
        <f>'Catalogo de Codigos '!H207</f>
        <v>0</v>
      </c>
      <c r="E579" s="60">
        <f>'Catalogo de Codigos '!I207</f>
        <v>0</v>
      </c>
    </row>
    <row r="580" spans="1:5" ht="30" customHeight="1" x14ac:dyDescent="0.25">
      <c r="A580" s="55">
        <f>'Todos los Codigos'!A579</f>
        <v>0</v>
      </c>
      <c r="B580" s="55">
        <f>'Todos los Codigos'!A579</f>
        <v>0</v>
      </c>
      <c r="C580" s="55">
        <f>'Todos los Codigos'!A579</f>
        <v>0</v>
      </c>
      <c r="D580" s="57">
        <f>'Todos los Codigos'!D579</f>
        <v>0</v>
      </c>
      <c r="E580" s="60">
        <f>'Todos los Codigos'!E579</f>
        <v>0</v>
      </c>
    </row>
    <row r="581" spans="1:5" ht="30" customHeight="1" x14ac:dyDescent="0.25"/>
    <row r="582" spans="1:5" ht="30" customHeight="1" x14ac:dyDescent="0.25">
      <c r="A582" s="55">
        <f>'Catalogo de Codigos '!G208</f>
        <v>0</v>
      </c>
      <c r="B582" s="55">
        <f>'Todos los Codigos'!A582</f>
        <v>0</v>
      </c>
      <c r="C582" s="55">
        <f>'Todos los Codigos'!A582</f>
        <v>0</v>
      </c>
      <c r="D582" s="57">
        <f>'Catalogo de Codigos '!H208</f>
        <v>0</v>
      </c>
      <c r="E582" s="60">
        <f>'Catalogo de Codigos '!I208</f>
        <v>0</v>
      </c>
    </row>
    <row r="583" spans="1:5" ht="30" customHeight="1" x14ac:dyDescent="0.25">
      <c r="A583" s="55">
        <f>'Todos los Codigos'!A582</f>
        <v>0</v>
      </c>
      <c r="B583" s="55">
        <f>'Todos los Codigos'!A582</f>
        <v>0</v>
      </c>
      <c r="C583" s="55">
        <f>'Todos los Codigos'!A582</f>
        <v>0</v>
      </c>
      <c r="D583" s="57">
        <f>'Todos los Codigos'!D582</f>
        <v>0</v>
      </c>
      <c r="E583" s="60">
        <f>'Todos los Codigos'!E582</f>
        <v>0</v>
      </c>
    </row>
    <row r="584" spans="1:5" ht="30" customHeight="1" x14ac:dyDescent="0.25"/>
    <row r="585" spans="1:5" ht="30" customHeight="1" x14ac:dyDescent="0.25">
      <c r="A585" s="55">
        <f>'Catalogo de Codigos '!G209</f>
        <v>0</v>
      </c>
      <c r="B585" s="55">
        <f>'Todos los Codigos'!A585</f>
        <v>0</v>
      </c>
      <c r="C585" s="55">
        <f>'Todos los Codigos'!A585</f>
        <v>0</v>
      </c>
      <c r="D585" s="57">
        <f>'Catalogo de Codigos '!H209</f>
        <v>0</v>
      </c>
      <c r="E585" s="60">
        <f>'Catalogo de Codigos '!I209</f>
        <v>0</v>
      </c>
    </row>
    <row r="586" spans="1:5" ht="30" customHeight="1" x14ac:dyDescent="0.25">
      <c r="A586" s="55">
        <f>'Todos los Codigos'!A585</f>
        <v>0</v>
      </c>
      <c r="B586" s="55">
        <f>'Todos los Codigos'!A585</f>
        <v>0</v>
      </c>
      <c r="C586" s="55">
        <f>'Todos los Codigos'!A585</f>
        <v>0</v>
      </c>
      <c r="D586" s="57">
        <f>'Todos los Codigos'!D585</f>
        <v>0</v>
      </c>
      <c r="E586" s="60">
        <f>'Todos los Codigos'!E585</f>
        <v>0</v>
      </c>
    </row>
    <row r="587" spans="1:5" ht="30" customHeight="1" x14ac:dyDescent="0.25"/>
    <row r="588" spans="1:5" ht="30" customHeight="1" x14ac:dyDescent="0.25">
      <c r="A588" s="55">
        <f>'Catalogo de Codigos '!G210</f>
        <v>0</v>
      </c>
      <c r="B588" s="55">
        <f>'Todos los Codigos'!A588</f>
        <v>0</v>
      </c>
      <c r="C588" s="55">
        <f>'Todos los Codigos'!A588</f>
        <v>0</v>
      </c>
      <c r="D588" s="57">
        <f>'Catalogo de Codigos '!H210</f>
        <v>0</v>
      </c>
      <c r="E588" s="60">
        <f>'Catalogo de Codigos '!I210</f>
        <v>0</v>
      </c>
    </row>
    <row r="589" spans="1:5" ht="30" customHeight="1" x14ac:dyDescent="0.25">
      <c r="A589" s="55">
        <f>'Todos los Codigos'!A588</f>
        <v>0</v>
      </c>
      <c r="B589" s="55">
        <f>'Todos los Codigos'!A588</f>
        <v>0</v>
      </c>
      <c r="C589" s="55">
        <f>'Todos los Codigos'!A588</f>
        <v>0</v>
      </c>
      <c r="D589" s="57">
        <f>'Todos los Codigos'!D588</f>
        <v>0</v>
      </c>
      <c r="E589" s="60">
        <f>'Todos los Codigos'!E588</f>
        <v>0</v>
      </c>
    </row>
    <row r="590" spans="1:5" ht="30" customHeight="1" x14ac:dyDescent="0.25"/>
    <row r="591" spans="1:5" ht="30" customHeight="1" x14ac:dyDescent="0.25">
      <c r="A591" s="55">
        <f>'Catalogo de Codigos '!G211</f>
        <v>0</v>
      </c>
      <c r="B591" s="55">
        <f>'Todos los Codigos'!A591</f>
        <v>0</v>
      </c>
      <c r="C591" s="55">
        <f>'Todos los Codigos'!A591</f>
        <v>0</v>
      </c>
      <c r="D591" s="57">
        <f>'Catalogo de Codigos '!H211</f>
        <v>0</v>
      </c>
      <c r="E591" s="60">
        <f>'Catalogo de Codigos '!I211</f>
        <v>0</v>
      </c>
    </row>
    <row r="592" spans="1:5" ht="30" customHeight="1" x14ac:dyDescent="0.25">
      <c r="A592" s="55">
        <f>'Todos los Codigos'!A591</f>
        <v>0</v>
      </c>
      <c r="B592" s="55">
        <f>'Todos los Codigos'!A591</f>
        <v>0</v>
      </c>
      <c r="C592" s="55">
        <f>'Todos los Codigos'!A591</f>
        <v>0</v>
      </c>
      <c r="D592" s="57">
        <f>'Todos los Codigos'!D591</f>
        <v>0</v>
      </c>
      <c r="E592" s="60">
        <f>'Todos los Codigos'!E591</f>
        <v>0</v>
      </c>
    </row>
    <row r="593" spans="1:5" ht="30" customHeight="1" x14ac:dyDescent="0.25"/>
    <row r="594" spans="1:5" ht="30" customHeight="1" x14ac:dyDescent="0.25">
      <c r="A594" s="55">
        <f>'Catalogo de Codigos '!G212</f>
        <v>0</v>
      </c>
      <c r="B594" s="55">
        <f>'Todos los Codigos'!A594</f>
        <v>0</v>
      </c>
      <c r="C594" s="55">
        <f>'Todos los Codigos'!A594</f>
        <v>0</v>
      </c>
      <c r="D594" s="57">
        <f>'Catalogo de Codigos '!H212</f>
        <v>0</v>
      </c>
      <c r="E594" s="60">
        <f>'Catalogo de Codigos '!I212</f>
        <v>0</v>
      </c>
    </row>
    <row r="595" spans="1:5" ht="30" customHeight="1" x14ac:dyDescent="0.25">
      <c r="A595" s="55">
        <f>'Todos los Codigos'!A594</f>
        <v>0</v>
      </c>
      <c r="B595" s="55">
        <f>'Todos los Codigos'!A594</f>
        <v>0</v>
      </c>
      <c r="C595" s="55">
        <f>'Todos los Codigos'!A594</f>
        <v>0</v>
      </c>
      <c r="D595" s="57">
        <f>'Todos los Codigos'!D594</f>
        <v>0</v>
      </c>
      <c r="E595" s="60">
        <f>'Todos los Codigos'!E594</f>
        <v>0</v>
      </c>
    </row>
    <row r="596" spans="1:5" ht="15" x14ac:dyDescent="0.25">
      <c r="A596" s="56"/>
      <c r="B596" s="56"/>
      <c r="C596" s="56"/>
      <c r="D596" s="59"/>
      <c r="E596" s="51"/>
    </row>
    <row r="597" spans="1:5" ht="15" x14ac:dyDescent="0.25">
      <c r="A597" s="56"/>
      <c r="B597" s="56"/>
      <c r="C597" s="56"/>
      <c r="D597" s="59"/>
      <c r="E597" s="51"/>
    </row>
    <row r="598" spans="1:5" ht="15" x14ac:dyDescent="0.25">
      <c r="A598" s="56"/>
      <c r="B598" s="56"/>
      <c r="C598" s="56"/>
      <c r="D598" s="59"/>
      <c r="E598" s="51"/>
    </row>
    <row r="599" spans="1:5" ht="15" x14ac:dyDescent="0.25">
      <c r="A599" s="56"/>
      <c r="B599" s="56"/>
      <c r="C599" s="56"/>
      <c r="D599" s="59"/>
      <c r="E599" s="51"/>
    </row>
    <row r="600" spans="1:5" ht="15" x14ac:dyDescent="0.25">
      <c r="A600" s="56"/>
      <c r="B600" s="56"/>
      <c r="C600" s="56"/>
      <c r="D600" s="59"/>
      <c r="E600" s="51"/>
    </row>
    <row r="601" spans="1:5" ht="15" x14ac:dyDescent="0.25">
      <c r="A601" s="56"/>
      <c r="B601" s="56"/>
      <c r="C601" s="56"/>
      <c r="D601" s="59"/>
      <c r="E601" s="51"/>
    </row>
    <row r="602" spans="1:5" ht="15" x14ac:dyDescent="0.25">
      <c r="A602" s="56"/>
      <c r="B602" s="56"/>
      <c r="C602" s="56"/>
      <c r="D602" s="59"/>
      <c r="E602" s="51"/>
    </row>
    <row r="603" spans="1:5" ht="15" x14ac:dyDescent="0.25">
      <c r="A603" s="56"/>
      <c r="B603" s="56"/>
      <c r="C603" s="56"/>
      <c r="D603" s="59"/>
      <c r="E603" s="51"/>
    </row>
    <row r="604" spans="1:5" ht="15" x14ac:dyDescent="0.25">
      <c r="A604" s="56"/>
      <c r="B604" s="56"/>
      <c r="C604" s="56"/>
      <c r="D604" s="59"/>
      <c r="E604" s="51"/>
    </row>
    <row r="605" spans="1:5" ht="15" x14ac:dyDescent="0.25">
      <c r="A605" s="56"/>
      <c r="B605" s="56"/>
      <c r="C605" s="56"/>
      <c r="D605" s="59"/>
      <c r="E605" s="51"/>
    </row>
    <row r="606" spans="1:5" ht="15" x14ac:dyDescent="0.25">
      <c r="A606" s="56"/>
      <c r="B606" s="56"/>
      <c r="C606" s="56"/>
      <c r="D606" s="59"/>
      <c r="E606" s="51"/>
    </row>
    <row r="607" spans="1:5" ht="15" x14ac:dyDescent="0.25">
      <c r="A607" s="56"/>
      <c r="B607" s="56"/>
      <c r="C607" s="56"/>
      <c r="D607" s="59"/>
      <c r="E607" s="51"/>
    </row>
    <row r="608" spans="1:5" ht="15" x14ac:dyDescent="0.25">
      <c r="A608" s="56"/>
      <c r="B608" s="56"/>
      <c r="C608" s="56"/>
      <c r="D608" s="59"/>
      <c r="E608" s="51"/>
    </row>
    <row r="609" spans="1:5" ht="15" x14ac:dyDescent="0.25">
      <c r="A609" s="56"/>
      <c r="B609" s="56"/>
      <c r="C609" s="56"/>
      <c r="D609" s="59"/>
      <c r="E609" s="51"/>
    </row>
    <row r="610" spans="1:5" ht="15" x14ac:dyDescent="0.25">
      <c r="A610" s="56"/>
      <c r="B610" s="56"/>
      <c r="C610" s="56"/>
      <c r="D610" s="59"/>
      <c r="E610" s="51"/>
    </row>
    <row r="611" spans="1:5" ht="15" x14ac:dyDescent="0.25">
      <c r="A611" s="56"/>
      <c r="B611" s="56"/>
      <c r="C611" s="56"/>
      <c r="D611" s="59"/>
      <c r="E611" s="51"/>
    </row>
    <row r="612" spans="1:5" ht="15" x14ac:dyDescent="0.25">
      <c r="A612" s="56"/>
      <c r="B612" s="56"/>
      <c r="C612" s="56"/>
      <c r="D612" s="59"/>
      <c r="E612" s="51"/>
    </row>
    <row r="613" spans="1:5" ht="15" x14ac:dyDescent="0.25">
      <c r="A613" s="56"/>
      <c r="B613" s="56"/>
      <c r="C613" s="56"/>
      <c r="D613" s="59"/>
      <c r="E613" s="51"/>
    </row>
    <row r="614" spans="1:5" ht="15" x14ac:dyDescent="0.25">
      <c r="A614" s="56"/>
      <c r="B614" s="56"/>
      <c r="C614" s="56"/>
      <c r="D614" s="59"/>
      <c r="E614" s="51"/>
    </row>
    <row r="615" spans="1:5" ht="15" x14ac:dyDescent="0.25">
      <c r="A615" s="56"/>
      <c r="B615" s="56"/>
      <c r="C615" s="56"/>
      <c r="D615" s="59"/>
      <c r="E615" s="51"/>
    </row>
    <row r="616" spans="1:5" ht="15" x14ac:dyDescent="0.25">
      <c r="A616" s="56"/>
      <c r="B616" s="56"/>
      <c r="C616" s="56"/>
      <c r="D616" s="59"/>
      <c r="E616" s="51"/>
    </row>
    <row r="617" spans="1:5" ht="15" x14ac:dyDescent="0.25">
      <c r="A617" s="56"/>
      <c r="B617" s="56"/>
      <c r="C617" s="56"/>
      <c r="D617" s="59"/>
      <c r="E617" s="51"/>
    </row>
    <row r="618" spans="1:5" ht="15" x14ac:dyDescent="0.25">
      <c r="A618" s="56"/>
      <c r="B618" s="56"/>
      <c r="C618" s="56"/>
      <c r="D618" s="59"/>
      <c r="E618" s="51"/>
    </row>
    <row r="619" spans="1:5" ht="15" x14ac:dyDescent="0.25">
      <c r="A619" s="56"/>
      <c r="B619" s="56"/>
      <c r="C619" s="56"/>
      <c r="D619" s="59"/>
      <c r="E619" s="51"/>
    </row>
    <row r="620" spans="1:5" ht="15" x14ac:dyDescent="0.25">
      <c r="A620" s="56"/>
      <c r="B620" s="56"/>
      <c r="C620" s="56"/>
      <c r="D620" s="59"/>
      <c r="E620" s="51"/>
    </row>
    <row r="621" spans="1:5" ht="15" x14ac:dyDescent="0.25">
      <c r="A621" s="56"/>
      <c r="B621" s="56"/>
      <c r="C621" s="56"/>
      <c r="D621" s="59"/>
      <c r="E621" s="51"/>
    </row>
    <row r="622" spans="1:5" ht="15" x14ac:dyDescent="0.25">
      <c r="A622" s="56"/>
      <c r="B622" s="56"/>
      <c r="C622" s="56"/>
      <c r="D622" s="59"/>
      <c r="E622" s="51"/>
    </row>
    <row r="623" spans="1:5" ht="15" x14ac:dyDescent="0.25">
      <c r="A623" s="56"/>
      <c r="B623" s="56"/>
      <c r="C623" s="56"/>
      <c r="D623" s="59"/>
      <c r="E623" s="51"/>
    </row>
    <row r="624" spans="1:5" ht="15" x14ac:dyDescent="0.25">
      <c r="A624" s="56"/>
      <c r="B624" s="56"/>
      <c r="C624" s="56"/>
      <c r="D624" s="59"/>
      <c r="E624" s="51"/>
    </row>
    <row r="625" spans="1:5" ht="15" x14ac:dyDescent="0.25">
      <c r="A625" s="56"/>
      <c r="B625" s="56"/>
      <c r="C625" s="56"/>
      <c r="D625" s="59"/>
      <c r="E625" s="51"/>
    </row>
    <row r="626" spans="1:5" ht="15" x14ac:dyDescent="0.25">
      <c r="A626" s="56"/>
      <c r="B626" s="56"/>
      <c r="C626" s="56"/>
      <c r="D626" s="59"/>
      <c r="E626" s="51"/>
    </row>
    <row r="627" spans="1:5" ht="15" x14ac:dyDescent="0.25">
      <c r="A627" s="56"/>
      <c r="B627" s="56"/>
      <c r="C627" s="56"/>
      <c r="D627" s="59"/>
      <c r="E627" s="51"/>
    </row>
    <row r="628" spans="1:5" ht="15" x14ac:dyDescent="0.25">
      <c r="A628" s="56"/>
      <c r="B628" s="56"/>
      <c r="C628" s="56"/>
      <c r="D628" s="59"/>
      <c r="E628" s="51"/>
    </row>
    <row r="629" spans="1:5" ht="15" x14ac:dyDescent="0.25">
      <c r="A629" s="56"/>
      <c r="B629" s="56"/>
      <c r="C629" s="56"/>
      <c r="D629" s="59"/>
      <c r="E629" s="51"/>
    </row>
    <row r="630" spans="1:5" ht="15" x14ac:dyDescent="0.25">
      <c r="A630" s="56"/>
      <c r="B630" s="56"/>
      <c r="C630" s="56"/>
      <c r="D630" s="59"/>
      <c r="E630" s="51"/>
    </row>
    <row r="631" spans="1:5" ht="15" x14ac:dyDescent="0.25">
      <c r="A631" s="56"/>
      <c r="B631" s="56"/>
      <c r="C631" s="56"/>
      <c r="D631" s="59"/>
      <c r="E631" s="51"/>
    </row>
    <row r="632" spans="1:5" ht="15" x14ac:dyDescent="0.25">
      <c r="A632" s="56"/>
      <c r="B632" s="56"/>
      <c r="C632" s="56"/>
      <c r="D632" s="59"/>
      <c r="E632" s="51"/>
    </row>
    <row r="633" spans="1:5" ht="15" x14ac:dyDescent="0.25">
      <c r="A633" s="56"/>
      <c r="B633" s="56"/>
      <c r="C633" s="56"/>
      <c r="D633" s="59"/>
      <c r="E633" s="51"/>
    </row>
    <row r="634" spans="1:5" ht="15" x14ac:dyDescent="0.25">
      <c r="A634" s="56"/>
      <c r="B634" s="56"/>
      <c r="C634" s="56"/>
      <c r="D634" s="59"/>
      <c r="E634" s="51"/>
    </row>
    <row r="635" spans="1:5" ht="15" x14ac:dyDescent="0.25">
      <c r="A635" s="56"/>
      <c r="B635" s="56"/>
      <c r="C635" s="56"/>
      <c r="D635" s="59"/>
      <c r="E635" s="51"/>
    </row>
    <row r="636" spans="1:5" ht="15" x14ac:dyDescent="0.25">
      <c r="A636" s="56"/>
      <c r="B636" s="56"/>
      <c r="C636" s="56"/>
      <c r="D636" s="59"/>
      <c r="E636" s="51"/>
    </row>
    <row r="637" spans="1:5" ht="15" x14ac:dyDescent="0.25">
      <c r="A637" s="56"/>
      <c r="B637" s="56"/>
      <c r="C637" s="56"/>
      <c r="D637" s="59"/>
      <c r="E637" s="51"/>
    </row>
    <row r="638" spans="1:5" ht="15" x14ac:dyDescent="0.25">
      <c r="A638" s="56"/>
      <c r="B638" s="56"/>
      <c r="C638" s="56"/>
      <c r="D638" s="59"/>
      <c r="E638" s="51"/>
    </row>
    <row r="639" spans="1:5" ht="15" x14ac:dyDescent="0.25">
      <c r="A639" s="56"/>
      <c r="B639" s="56"/>
      <c r="C639" s="56"/>
      <c r="D639" s="59"/>
      <c r="E639" s="51"/>
    </row>
    <row r="640" spans="1:5" ht="15" x14ac:dyDescent="0.25">
      <c r="A640" s="56"/>
      <c r="B640" s="56"/>
      <c r="C640" s="56"/>
      <c r="D640" s="59"/>
      <c r="E640" s="51"/>
    </row>
    <row r="641" spans="1:5" ht="15" x14ac:dyDescent="0.25">
      <c r="A641" s="56"/>
      <c r="B641" s="56"/>
      <c r="C641" s="56"/>
      <c r="D641" s="59"/>
      <c r="E641" s="51"/>
    </row>
    <row r="642" spans="1:5" ht="15" x14ac:dyDescent="0.25">
      <c r="A642" s="56"/>
      <c r="B642" s="56"/>
      <c r="C642" s="56"/>
      <c r="D642" s="59"/>
      <c r="E642" s="51"/>
    </row>
    <row r="643" spans="1:5" ht="15" x14ac:dyDescent="0.25">
      <c r="A643" s="56"/>
      <c r="B643" s="56"/>
      <c r="C643" s="56"/>
      <c r="D643" s="59"/>
      <c r="E643" s="51"/>
    </row>
    <row r="644" spans="1:5" ht="15" x14ac:dyDescent="0.25">
      <c r="A644" s="56"/>
      <c r="B644" s="56"/>
      <c r="C644" s="56"/>
      <c r="D644" s="59"/>
      <c r="E644" s="51"/>
    </row>
    <row r="645" spans="1:5" ht="15" x14ac:dyDescent="0.25">
      <c r="A645" s="56"/>
      <c r="B645" s="56"/>
      <c r="C645" s="56"/>
      <c r="D645" s="59"/>
      <c r="E645" s="51"/>
    </row>
    <row r="646" spans="1:5" ht="15" x14ac:dyDescent="0.25">
      <c r="A646" s="56"/>
      <c r="B646" s="56"/>
      <c r="C646" s="56"/>
      <c r="D646" s="59"/>
      <c r="E646" s="51"/>
    </row>
    <row r="647" spans="1:5" ht="15" x14ac:dyDescent="0.25">
      <c r="A647" s="56"/>
      <c r="B647" s="56"/>
      <c r="C647" s="56"/>
      <c r="D647" s="59"/>
      <c r="E647" s="51"/>
    </row>
    <row r="648" spans="1:5" ht="15" x14ac:dyDescent="0.25">
      <c r="A648" s="56"/>
      <c r="B648" s="56"/>
      <c r="C648" s="56"/>
      <c r="D648" s="59"/>
      <c r="E648" s="51"/>
    </row>
    <row r="649" spans="1:5" ht="15" x14ac:dyDescent="0.25">
      <c r="A649" s="56"/>
      <c r="B649" s="56"/>
      <c r="C649" s="56"/>
      <c r="D649" s="59"/>
      <c r="E649" s="51"/>
    </row>
    <row r="650" spans="1:5" ht="15" x14ac:dyDescent="0.25">
      <c r="A650" s="56"/>
      <c r="B650" s="56"/>
      <c r="C650" s="56"/>
      <c r="D650" s="59"/>
      <c r="E650" s="51"/>
    </row>
    <row r="651" spans="1:5" ht="15" x14ac:dyDescent="0.25">
      <c r="A651" s="56"/>
      <c r="B651" s="56"/>
      <c r="C651" s="56"/>
      <c r="D651" s="59"/>
      <c r="E651" s="51"/>
    </row>
    <row r="652" spans="1:5" ht="15" x14ac:dyDescent="0.25">
      <c r="A652" s="56"/>
      <c r="B652" s="56"/>
      <c r="C652" s="56"/>
      <c r="D652" s="59"/>
      <c r="E652" s="51"/>
    </row>
    <row r="653" spans="1:5" ht="15" x14ac:dyDescent="0.25">
      <c r="A653" s="56"/>
      <c r="B653" s="56"/>
      <c r="C653" s="56"/>
      <c r="D653" s="59"/>
      <c r="E653" s="51"/>
    </row>
    <row r="654" spans="1:5" ht="15" x14ac:dyDescent="0.25">
      <c r="A654" s="56"/>
      <c r="B654" s="56"/>
      <c r="C654" s="56"/>
      <c r="D654" s="59"/>
      <c r="E654" s="51"/>
    </row>
    <row r="655" spans="1:5" ht="15" x14ac:dyDescent="0.25">
      <c r="A655" s="56"/>
      <c r="B655" s="56"/>
      <c r="C655" s="56"/>
      <c r="D655" s="59"/>
      <c r="E655" s="51"/>
    </row>
    <row r="656" spans="1:5" ht="15" x14ac:dyDescent="0.25">
      <c r="A656" s="56"/>
      <c r="B656" s="56"/>
      <c r="C656" s="56"/>
      <c r="D656" s="59"/>
      <c r="E656" s="51"/>
    </row>
    <row r="657" spans="1:5" ht="15" x14ac:dyDescent="0.25">
      <c r="A657" s="56"/>
      <c r="B657" s="56"/>
      <c r="C657" s="56"/>
      <c r="D657" s="59"/>
      <c r="E657" s="51"/>
    </row>
    <row r="658" spans="1:5" ht="15" x14ac:dyDescent="0.25">
      <c r="A658" s="56"/>
      <c r="B658" s="56"/>
      <c r="C658" s="56"/>
      <c r="D658" s="59"/>
      <c r="E658" s="51"/>
    </row>
    <row r="659" spans="1:5" ht="15" x14ac:dyDescent="0.25">
      <c r="A659" s="56"/>
      <c r="B659" s="56"/>
      <c r="C659" s="56"/>
      <c r="D659" s="59"/>
      <c r="E659" s="51"/>
    </row>
    <row r="660" spans="1:5" ht="15" x14ac:dyDescent="0.25">
      <c r="A660" s="56"/>
      <c r="B660" s="56"/>
      <c r="C660" s="56"/>
      <c r="D660" s="59"/>
      <c r="E660" s="51"/>
    </row>
    <row r="661" spans="1:5" ht="15" x14ac:dyDescent="0.25">
      <c r="A661" s="56"/>
      <c r="B661" s="56"/>
      <c r="C661" s="56"/>
      <c r="D661" s="59"/>
      <c r="E661" s="51"/>
    </row>
    <row r="662" spans="1:5" ht="15" x14ac:dyDescent="0.25">
      <c r="A662" s="56"/>
      <c r="B662" s="56"/>
      <c r="C662" s="56"/>
      <c r="D662" s="59"/>
      <c r="E662" s="51"/>
    </row>
    <row r="663" spans="1:5" ht="15" x14ac:dyDescent="0.25">
      <c r="A663" s="56"/>
      <c r="B663" s="56"/>
      <c r="C663" s="56"/>
      <c r="D663" s="59"/>
      <c r="E663" s="51"/>
    </row>
    <row r="664" spans="1:5" ht="15" x14ac:dyDescent="0.25">
      <c r="A664" s="56"/>
      <c r="B664" s="56"/>
      <c r="C664" s="56"/>
      <c r="D664" s="59"/>
      <c r="E664" s="51"/>
    </row>
    <row r="665" spans="1:5" ht="15" x14ac:dyDescent="0.25">
      <c r="A665" s="56"/>
      <c r="B665" s="56"/>
      <c r="C665" s="56"/>
      <c r="D665" s="59"/>
      <c r="E665" s="51"/>
    </row>
    <row r="666" spans="1:5" ht="15" x14ac:dyDescent="0.25">
      <c r="A666" s="56"/>
      <c r="B666" s="56"/>
      <c r="C666" s="56"/>
      <c r="D666" s="59"/>
      <c r="E666" s="51"/>
    </row>
    <row r="667" spans="1:5" ht="15" x14ac:dyDescent="0.25">
      <c r="A667" s="56"/>
      <c r="B667" s="56"/>
      <c r="C667" s="56"/>
      <c r="D667" s="59"/>
      <c r="E667" s="51"/>
    </row>
    <row r="668" spans="1:5" ht="15" x14ac:dyDescent="0.25">
      <c r="A668" s="56"/>
      <c r="B668" s="56"/>
      <c r="C668" s="56"/>
      <c r="D668" s="59"/>
      <c r="E668" s="51"/>
    </row>
    <row r="669" spans="1:5" ht="15" x14ac:dyDescent="0.25">
      <c r="A669" s="56"/>
      <c r="B669" s="56"/>
      <c r="C669" s="56"/>
      <c r="D669" s="59"/>
      <c r="E669" s="51"/>
    </row>
    <row r="670" spans="1:5" ht="15" x14ac:dyDescent="0.25">
      <c r="A670" s="56"/>
      <c r="B670" s="56"/>
      <c r="C670" s="56"/>
      <c r="D670" s="59"/>
      <c r="E670" s="51"/>
    </row>
    <row r="671" spans="1:5" ht="15" x14ac:dyDescent="0.25">
      <c r="A671" s="56"/>
      <c r="B671" s="56"/>
      <c r="C671" s="56"/>
      <c r="D671" s="59"/>
      <c r="E671" s="51"/>
    </row>
    <row r="672" spans="1:5" ht="15" x14ac:dyDescent="0.25">
      <c r="A672" s="56"/>
      <c r="B672" s="56"/>
      <c r="C672" s="56"/>
      <c r="D672" s="59"/>
      <c r="E672" s="51"/>
    </row>
    <row r="673" spans="1:5" ht="15" x14ac:dyDescent="0.25">
      <c r="A673" s="56"/>
      <c r="B673" s="56"/>
      <c r="C673" s="56"/>
      <c r="D673" s="59"/>
      <c r="E673" s="51"/>
    </row>
    <row r="674" spans="1:5" ht="15" x14ac:dyDescent="0.25">
      <c r="A674" s="56"/>
      <c r="B674" s="56"/>
      <c r="C674" s="56"/>
      <c r="D674" s="59"/>
      <c r="E674" s="51"/>
    </row>
    <row r="675" spans="1:5" ht="15" x14ac:dyDescent="0.25">
      <c r="A675" s="56"/>
      <c r="B675" s="56"/>
      <c r="C675" s="56"/>
      <c r="D675" s="59"/>
      <c r="E675" s="51"/>
    </row>
    <row r="676" spans="1:5" ht="15" x14ac:dyDescent="0.25">
      <c r="A676" s="56"/>
      <c r="B676" s="56"/>
      <c r="C676" s="56"/>
      <c r="D676" s="59"/>
      <c r="E676" s="51"/>
    </row>
    <row r="677" spans="1:5" ht="15" x14ac:dyDescent="0.25">
      <c r="A677" s="56"/>
      <c r="B677" s="56"/>
      <c r="C677" s="56"/>
      <c r="D677" s="59"/>
      <c r="E677" s="51"/>
    </row>
    <row r="678" spans="1:5" ht="15" x14ac:dyDescent="0.25">
      <c r="A678" s="56"/>
      <c r="B678" s="56"/>
      <c r="C678" s="56"/>
      <c r="D678" s="59"/>
      <c r="E678" s="51"/>
    </row>
    <row r="679" spans="1:5" ht="15" x14ac:dyDescent="0.25">
      <c r="A679" s="56"/>
      <c r="B679" s="56"/>
      <c r="C679" s="56"/>
      <c r="D679" s="59"/>
      <c r="E679" s="51"/>
    </row>
    <row r="680" spans="1:5" ht="15" x14ac:dyDescent="0.25">
      <c r="A680" s="56"/>
      <c r="B680" s="56"/>
      <c r="C680" s="56"/>
      <c r="D680" s="59"/>
      <c r="E680" s="51"/>
    </row>
    <row r="681" spans="1:5" ht="15" x14ac:dyDescent="0.25">
      <c r="A681" s="56"/>
      <c r="B681" s="56"/>
      <c r="C681" s="56"/>
      <c r="D681" s="59"/>
      <c r="E681" s="51"/>
    </row>
    <row r="682" spans="1:5" ht="15" x14ac:dyDescent="0.25">
      <c r="A682" s="56"/>
      <c r="B682" s="56"/>
      <c r="C682" s="56"/>
      <c r="D682" s="59"/>
      <c r="E682" s="51"/>
    </row>
    <row r="683" spans="1:5" ht="15" x14ac:dyDescent="0.25">
      <c r="A683" s="56"/>
      <c r="B683" s="56"/>
      <c r="C683" s="56"/>
      <c r="D683" s="59"/>
      <c r="E683" s="51"/>
    </row>
    <row r="684" spans="1:5" ht="15" x14ac:dyDescent="0.25">
      <c r="A684" s="56"/>
      <c r="B684" s="56"/>
      <c r="C684" s="56"/>
      <c r="D684" s="59"/>
      <c r="E684" s="51"/>
    </row>
    <row r="685" spans="1:5" ht="15" x14ac:dyDescent="0.25">
      <c r="A685" s="56"/>
      <c r="B685" s="56"/>
      <c r="C685" s="56"/>
      <c r="D685" s="59"/>
      <c r="E685" s="51"/>
    </row>
    <row r="686" spans="1:5" ht="15" x14ac:dyDescent="0.25">
      <c r="A686" s="56"/>
      <c r="B686" s="56"/>
      <c r="C686" s="56"/>
      <c r="D686" s="59"/>
      <c r="E686" s="51"/>
    </row>
    <row r="687" spans="1:5" ht="15" x14ac:dyDescent="0.25">
      <c r="A687" s="56"/>
      <c r="B687" s="56"/>
      <c r="C687" s="56"/>
      <c r="D687" s="59"/>
      <c r="E687" s="51"/>
    </row>
    <row r="688" spans="1:5" ht="15" x14ac:dyDescent="0.25">
      <c r="A688" s="56"/>
      <c r="B688" s="56"/>
      <c r="C688" s="56"/>
      <c r="D688" s="59"/>
      <c r="E688" s="51"/>
    </row>
    <row r="689" spans="1:5" ht="15" x14ac:dyDescent="0.25">
      <c r="A689" s="56"/>
      <c r="B689" s="56"/>
      <c r="C689" s="56"/>
      <c r="D689" s="59"/>
      <c r="E689" s="51"/>
    </row>
    <row r="690" spans="1:5" ht="15" x14ac:dyDescent="0.25">
      <c r="A690" s="56"/>
      <c r="B690" s="56"/>
      <c r="C690" s="56"/>
      <c r="D690" s="59"/>
      <c r="E690" s="51"/>
    </row>
    <row r="691" spans="1:5" ht="15" x14ac:dyDescent="0.25">
      <c r="A691" s="56"/>
      <c r="B691" s="56"/>
      <c r="C691" s="56"/>
      <c r="D691" s="59"/>
      <c r="E691" s="51"/>
    </row>
    <row r="692" spans="1:5" ht="15" x14ac:dyDescent="0.25">
      <c r="A692" s="56"/>
      <c r="B692" s="56"/>
      <c r="C692" s="56"/>
      <c r="D692" s="59"/>
      <c r="E692" s="51"/>
    </row>
    <row r="693" spans="1:5" ht="15" x14ac:dyDescent="0.25">
      <c r="A693" s="56"/>
      <c r="B693" s="56"/>
      <c r="C693" s="56"/>
      <c r="D693" s="59"/>
      <c r="E693" s="51"/>
    </row>
    <row r="694" spans="1:5" ht="15" x14ac:dyDescent="0.25">
      <c r="A694" s="56"/>
      <c r="B694" s="56"/>
      <c r="C694" s="56"/>
      <c r="D694" s="59"/>
      <c r="E694" s="51"/>
    </row>
    <row r="695" spans="1:5" ht="15" x14ac:dyDescent="0.25">
      <c r="A695" s="56"/>
      <c r="B695" s="56"/>
      <c r="C695" s="56"/>
      <c r="D695" s="59"/>
      <c r="E695" s="51"/>
    </row>
    <row r="696" spans="1:5" ht="15" x14ac:dyDescent="0.25">
      <c r="A696" s="56"/>
      <c r="B696" s="56"/>
      <c r="C696" s="56"/>
      <c r="D696" s="59"/>
      <c r="E696" s="51"/>
    </row>
    <row r="697" spans="1:5" ht="15" x14ac:dyDescent="0.25">
      <c r="A697" s="56"/>
      <c r="B697" s="56"/>
      <c r="C697" s="56"/>
      <c r="D697" s="59"/>
      <c r="E697" s="51"/>
    </row>
    <row r="698" spans="1:5" ht="15" x14ac:dyDescent="0.25">
      <c r="A698" s="56"/>
      <c r="B698" s="56"/>
      <c r="C698" s="56"/>
      <c r="D698" s="59"/>
      <c r="E698" s="51"/>
    </row>
    <row r="699" spans="1:5" ht="15" x14ac:dyDescent="0.25">
      <c r="A699" s="56"/>
      <c r="B699" s="56"/>
      <c r="C699" s="56"/>
      <c r="D699" s="59"/>
      <c r="E699" s="51"/>
    </row>
    <row r="700" spans="1:5" ht="15" x14ac:dyDescent="0.25">
      <c r="A700" s="56"/>
      <c r="B700" s="56"/>
      <c r="C700" s="56"/>
      <c r="D700" s="59"/>
      <c r="E700" s="51"/>
    </row>
    <row r="701" spans="1:5" ht="15" x14ac:dyDescent="0.25">
      <c r="A701" s="56"/>
      <c r="B701" s="56"/>
      <c r="C701" s="56"/>
      <c r="D701" s="59"/>
      <c r="E701" s="51"/>
    </row>
    <row r="702" spans="1:5" ht="15" x14ac:dyDescent="0.25">
      <c r="A702" s="56"/>
      <c r="B702" s="56"/>
      <c r="C702" s="56"/>
      <c r="D702" s="59"/>
      <c r="E702" s="51"/>
    </row>
    <row r="703" spans="1:5" ht="15" x14ac:dyDescent="0.25">
      <c r="A703" s="56"/>
      <c r="B703" s="56"/>
      <c r="C703" s="56"/>
      <c r="D703" s="59"/>
      <c r="E703" s="51"/>
    </row>
    <row r="704" spans="1:5" ht="15" x14ac:dyDescent="0.25">
      <c r="A704" s="56"/>
      <c r="B704" s="56"/>
      <c r="C704" s="56"/>
      <c r="D704" s="59"/>
      <c r="E704" s="51"/>
    </row>
  </sheetData>
  <pageMargins left="1.1023622047244095" right="0.70866141732283472" top="0.74803149606299213" bottom="0.74803149606299213" header="0.31496062992125984" footer="0.31496062992125984"/>
  <pageSetup orientation="landscape" horizontalDpi="0" verticalDpi="0" r:id="rId1"/>
  <ignoredErrors>
    <ignoredError sqref="D51:E51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2A397-DEA7-4D95-BEA0-7CBEC1FB064B}">
  <sheetPr codeName="Hoja5">
    <tabColor theme="7"/>
  </sheetPr>
  <dimension ref="A1:E17"/>
  <sheetViews>
    <sheetView tabSelected="1" view="pageLayout" zoomScaleNormal="100" workbookViewId="0">
      <selection activeCell="E17" sqref="A16:E17"/>
    </sheetView>
  </sheetViews>
  <sheetFormatPr baseColWidth="10" defaultRowHeight="15" x14ac:dyDescent="0.25"/>
  <cols>
    <col min="1" max="5" width="22.7109375" customWidth="1"/>
  </cols>
  <sheetData>
    <row r="1" spans="1:5" ht="30" customHeight="1" x14ac:dyDescent="0.25">
      <c r="A1" s="43" t="str">
        <f>IFERROR(IF('Codigos Espesificos'!C2=0,VLOOKUP('Codigos Espesificos'!B2,Catalogo[],7,0),IF('Codigos Espesificos'!C2=1,VLOOKUP('Codigos Espesificos'!B2,Catalogo[],8,0),IF('Codigos Espesificos'!C2=2,VLOOKUP('Codigos Espesificos'!B2,Catalogo[],9,0),"ERROR"))),"")</f>
        <v/>
      </c>
      <c r="B1" s="43" t="str">
        <f>IF('Codigos Espesificos'!D2&lt;2,"",A1)</f>
        <v/>
      </c>
      <c r="C1" s="43" t="str">
        <f>IF('Codigos Espesificos'!D2&lt;3,"",A1)</f>
        <v/>
      </c>
      <c r="D1" s="43" t="str">
        <f>IF('Codigos Espesificos'!D2&lt;4,"",A1)</f>
        <v/>
      </c>
      <c r="E1" s="43" t="str">
        <f>IF('Codigos Espesificos'!D2&lt;5,"",A1)</f>
        <v/>
      </c>
    </row>
    <row r="2" spans="1:5" ht="30" customHeight="1" x14ac:dyDescent="0.25">
      <c r="A2" s="43" t="str">
        <f>IF('Codigos Espesificos'!D2&lt;6,"",A1)</f>
        <v/>
      </c>
      <c r="B2" s="43" t="str">
        <f>IF('Codigos Espesificos'!D2&lt;7,"",A1)</f>
        <v/>
      </c>
      <c r="C2" s="43" t="str">
        <f>IF('Codigos Espesificos'!D2&lt;8,"",A1)</f>
        <v/>
      </c>
      <c r="D2" s="43" t="str">
        <f>IF('Codigos Espesificos'!D2&lt;9,"",A1)</f>
        <v/>
      </c>
      <c r="E2" s="43" t="str">
        <f>IF('Codigos Espesificos'!D2&lt;10,"",A1)</f>
        <v/>
      </c>
    </row>
    <row r="3" spans="1:5" ht="30" customHeight="1" x14ac:dyDescent="0.25">
      <c r="A3" s="9"/>
      <c r="B3" s="9"/>
      <c r="C3" s="9"/>
      <c r="D3" s="9"/>
      <c r="E3" s="9"/>
    </row>
    <row r="4" spans="1:5" ht="30" customHeight="1" x14ac:dyDescent="0.25">
      <c r="A4" s="43" t="str">
        <f>IFERROR(IF('Codigos Espesificos'!C3=0,VLOOKUP('Codigos Espesificos'!B3,Catalogo[],7,0),IF('Codigos Espesificos'!C3=1,VLOOKUP('Codigos Espesificos'!B3,Catalogo[],8,0),IF('Codigos Espesificos'!C3=2,VLOOKUP('Codigos Espesificos'!B3,Catalogo[],9,0),"ERROR"))),"")</f>
        <v/>
      </c>
      <c r="B4" s="43" t="str">
        <f>IF('Codigos Espesificos'!D3&lt;2,"",A4)</f>
        <v/>
      </c>
      <c r="C4" s="43" t="str">
        <f>IF('Codigos Espesificos'!D3&lt;3,"",A4)</f>
        <v/>
      </c>
      <c r="D4" s="43" t="str">
        <f>IF('Codigos Espesificos'!D3&lt;4,"",A4)</f>
        <v/>
      </c>
      <c r="E4" s="43" t="str">
        <f>IF('Codigos Espesificos'!D3&lt;5,"",A4)</f>
        <v/>
      </c>
    </row>
    <row r="5" spans="1:5" ht="30" customHeight="1" x14ac:dyDescent="0.25">
      <c r="A5" s="43" t="str">
        <f>IF('Codigos Espesificos'!D3&lt;6,"",A4)</f>
        <v/>
      </c>
      <c r="B5" s="43" t="str">
        <f>IF('Codigos Espesificos'!D3&lt;7,"",A4)</f>
        <v/>
      </c>
      <c r="C5" s="43" t="str">
        <f>IF('Codigos Espesificos'!D3&lt;8,"",A4)</f>
        <v/>
      </c>
      <c r="D5" s="43" t="str">
        <f>IF('Codigos Espesificos'!D3&lt;9,"",A4)</f>
        <v/>
      </c>
      <c r="E5" s="43" t="str">
        <f>IF('Codigos Espesificos'!D3&lt;10,"",A4)</f>
        <v/>
      </c>
    </row>
    <row r="6" spans="1:5" ht="30" customHeight="1" x14ac:dyDescent="0.25">
      <c r="A6" s="9"/>
      <c r="B6" s="9"/>
      <c r="C6" s="9"/>
      <c r="D6" s="9"/>
      <c r="E6" s="9"/>
    </row>
    <row r="7" spans="1:5" ht="30" customHeight="1" x14ac:dyDescent="0.25">
      <c r="A7" s="43" t="str">
        <f>IFERROR(IF('Codigos Espesificos'!C4=0,VLOOKUP('Codigos Espesificos'!B4,Catalogo[],7,0),IF('Codigos Espesificos'!C4=1,VLOOKUP('Codigos Espesificos'!B4,Catalogo[],8,0),IF('Codigos Espesificos'!C4=2,VLOOKUP('Codigos Espesificos'!B4,Catalogo[],9,0),"ERROR"))),"")</f>
        <v/>
      </c>
      <c r="B7" s="43" t="str">
        <f>IF('Codigos Espesificos'!D4&lt;2,"",A7)</f>
        <v/>
      </c>
      <c r="C7" s="43" t="str">
        <f>IF('Codigos Espesificos'!D4&lt;3,"",A7)</f>
        <v/>
      </c>
      <c r="D7" s="43" t="str">
        <f>IF('Codigos Espesificos'!D4&lt;4,"",A7)</f>
        <v/>
      </c>
      <c r="E7" s="43" t="str">
        <f>IF('Codigos Espesificos'!D4&lt;5,"",A7)</f>
        <v/>
      </c>
    </row>
    <row r="8" spans="1:5" ht="30" customHeight="1" x14ac:dyDescent="0.25">
      <c r="A8" s="43" t="str">
        <f>IF('Codigos Espesificos'!D4&lt;6,"",A7)</f>
        <v/>
      </c>
      <c r="B8" s="43" t="str">
        <f>IF('Codigos Espesificos'!D4&lt;7,"",A7)</f>
        <v/>
      </c>
      <c r="C8" s="43" t="str">
        <f>IF('Codigos Espesificos'!D4&lt;8,"",A7)</f>
        <v/>
      </c>
      <c r="D8" s="43" t="str">
        <f>IF('Codigos Espesificos'!D4&lt;9,"",A7)</f>
        <v/>
      </c>
      <c r="E8" s="43" t="str">
        <f>IF('Codigos Espesificos'!D4&lt;10,"",A7)</f>
        <v/>
      </c>
    </row>
    <row r="9" spans="1:5" ht="30" customHeight="1" x14ac:dyDescent="0.25">
      <c r="A9" s="9"/>
      <c r="B9" s="9"/>
      <c r="C9" s="9"/>
      <c r="D9" s="9"/>
      <c r="E9" s="9"/>
    </row>
    <row r="10" spans="1:5" ht="30" customHeight="1" x14ac:dyDescent="0.25">
      <c r="A10" s="43" t="str">
        <f>IFERROR(IF('Codigos Espesificos'!C5=0,VLOOKUP('Codigos Espesificos'!B5,Catalogo[],7,0),IF('Codigos Espesificos'!C5=1,VLOOKUP('Codigos Espesificos'!B5,Catalogo[],8,0),IF('Codigos Espesificos'!C5=2,VLOOKUP('Codigos Espesificos'!B5,Catalogo[],9,0),"ERROR"))),"")</f>
        <v/>
      </c>
      <c r="B10" s="43" t="str">
        <f>IF('Codigos Espesificos'!D5&lt;2,"",A10)</f>
        <v/>
      </c>
      <c r="C10" s="43" t="str">
        <f>IF('Codigos Espesificos'!D5&lt;3,"",A10)</f>
        <v/>
      </c>
      <c r="D10" s="43" t="str">
        <f>IF('Codigos Espesificos'!D5&lt;4,"",A10)</f>
        <v/>
      </c>
      <c r="E10" s="43" t="str">
        <f>IF('Codigos Espesificos'!D5&lt;5,"",A10)</f>
        <v/>
      </c>
    </row>
    <row r="11" spans="1:5" ht="30" customHeight="1" x14ac:dyDescent="0.25">
      <c r="A11" s="43" t="str">
        <f>IF('Codigos Espesificos'!D5&lt;6,"",A10)</f>
        <v/>
      </c>
      <c r="B11" s="43" t="str">
        <f>IF('Codigos Espesificos'!D5&lt;7,"",A10)</f>
        <v/>
      </c>
      <c r="C11" s="43" t="str">
        <f>IF('Codigos Espesificos'!D5&lt;8,"",A10)</f>
        <v/>
      </c>
      <c r="D11" s="43" t="str">
        <f>IF('Codigos Espesificos'!D5&lt;9,"",A10)</f>
        <v/>
      </c>
      <c r="E11" s="43" t="str">
        <f>IF('Codigos Espesificos'!D5&lt;10,"",A10)</f>
        <v/>
      </c>
    </row>
    <row r="12" spans="1:5" ht="30" customHeight="1" x14ac:dyDescent="0.25">
      <c r="A12" s="9"/>
      <c r="B12" s="9"/>
      <c r="C12" s="9"/>
      <c r="D12" s="9"/>
      <c r="E12" s="9"/>
    </row>
    <row r="13" spans="1:5" ht="30" customHeight="1" x14ac:dyDescent="0.25">
      <c r="A13" s="43" t="str">
        <f>IFERROR(IF('Codigos Espesificos'!C6=0,VLOOKUP('Codigos Espesificos'!B6,Catalogo[],7,0),IF('Codigos Espesificos'!C6=1,VLOOKUP('Codigos Espesificos'!B6,Catalogo[],8,0),IF('Codigos Espesificos'!C6=2,VLOOKUP('Codigos Espesificos'!B6,Catalogo[],9,0),"ERROR"))),"")</f>
        <v/>
      </c>
      <c r="B13" s="43" t="str">
        <f>IF('Codigos Espesificos'!D6&lt;2,"",A13)</f>
        <v/>
      </c>
      <c r="C13" s="43" t="str">
        <f>IF('Codigos Espesificos'!D6&lt;3,"",A13)</f>
        <v/>
      </c>
      <c r="D13" s="43" t="str">
        <f>IF('Codigos Espesificos'!D6&lt;4,"",A13)</f>
        <v/>
      </c>
      <c r="E13" s="43" t="str">
        <f>IF('Codigos Espesificos'!D6&lt;5,"",A13)</f>
        <v/>
      </c>
    </row>
    <row r="14" spans="1:5" ht="30" customHeight="1" x14ac:dyDescent="0.25">
      <c r="A14" s="43" t="str">
        <f>IF('Codigos Espesificos'!D6&lt;6,"",A13)</f>
        <v/>
      </c>
      <c r="B14" s="43" t="str">
        <f>IF('Codigos Espesificos'!D6&lt;7,"",A13)</f>
        <v/>
      </c>
      <c r="C14" s="43" t="str">
        <f>IF('Codigos Espesificos'!D6&lt;8,"",A13)</f>
        <v/>
      </c>
      <c r="D14" s="43" t="str">
        <f>IF('Codigos Espesificos'!D6&lt;9,"",A13)</f>
        <v/>
      </c>
      <c r="E14" s="43" t="str">
        <f>IF('Codigos Espesificos'!D6&lt;10,"",A13)</f>
        <v/>
      </c>
    </row>
    <row r="15" spans="1:5" ht="30" customHeight="1" x14ac:dyDescent="0.25">
      <c r="A15" s="9"/>
      <c r="B15" s="9"/>
      <c r="C15" s="9"/>
      <c r="D15" s="9"/>
      <c r="E15" s="9"/>
    </row>
    <row r="16" spans="1:5" ht="30" customHeight="1" x14ac:dyDescent="0.25">
      <c r="A16" s="43" t="str">
        <f>IFERROR(IF('Codigos Espesificos'!C7=0,VLOOKUP('Codigos Espesificos'!B7,Catalogo[],7,0),IF('Codigos Espesificos'!C7=1,VLOOKUP('Codigos Espesificos'!B7,Catalogo[],8,0),IF('Codigos Espesificos'!C7=2,VLOOKUP('Codigos Espesificos'!B7,Catalogo[],9,0),"ERROR"))),"")</f>
        <v/>
      </c>
      <c r="B16" s="43" t="str">
        <f>IF('Codigos Espesificos'!D7&lt;2,"",A16)</f>
        <v/>
      </c>
      <c r="C16" s="43" t="str">
        <f>IF('Codigos Espesificos'!D7&lt;3,"",A16)</f>
        <v/>
      </c>
      <c r="D16" s="43" t="str">
        <f>IF('Codigos Espesificos'!D7&lt;4,"",A16)</f>
        <v/>
      </c>
      <c r="E16" s="43" t="str">
        <f>IF('Codigos Espesificos'!D7&lt;5,"",A16)</f>
        <v/>
      </c>
    </row>
    <row r="17" spans="1:5" ht="30" customHeight="1" x14ac:dyDescent="0.25">
      <c r="A17" s="43" t="str">
        <f>IF('Codigos Espesificos'!D7&lt;6,"",A16)</f>
        <v/>
      </c>
      <c r="B17" s="43" t="str">
        <f>IF('Codigos Espesificos'!D7&lt;7,"",A16)</f>
        <v/>
      </c>
      <c r="C17" s="43" t="str">
        <f>IF('Codigos Espesificos'!D7&lt;8,"",A16)</f>
        <v/>
      </c>
      <c r="D17" s="43" t="str">
        <f>IF('Codigos Espesificos'!D7&lt;9,"",A16)</f>
        <v/>
      </c>
      <c r="E17" s="43" t="str">
        <f>IF('Codigos Espesificos'!D7&lt;10,"",A16)</f>
        <v/>
      </c>
    </row>
  </sheetData>
  <conditionalFormatting sqref="A1:E2">
    <cfRule type="containsText" dxfId="23" priority="21" operator="containsText" text="ERROR">
      <formula>NOT(ISERROR(SEARCH("ERROR",A1)))</formula>
    </cfRule>
  </conditionalFormatting>
  <conditionalFormatting sqref="A4:E5">
    <cfRule type="containsText" dxfId="22" priority="17" operator="containsText" text="ERROR">
      <formula>NOT(ISERROR(SEARCH("ERROR",A4)))</formula>
    </cfRule>
  </conditionalFormatting>
  <conditionalFormatting sqref="A7:E8">
    <cfRule type="containsText" dxfId="21" priority="13" operator="containsText" text="ERROR">
      <formula>NOT(ISERROR(SEARCH("ERROR",A7)))</formula>
    </cfRule>
  </conditionalFormatting>
  <conditionalFormatting sqref="A10:E11">
    <cfRule type="containsText" dxfId="20" priority="9" operator="containsText" text="ERROR">
      <formula>NOT(ISERROR(SEARCH("ERROR",A10)))</formula>
    </cfRule>
  </conditionalFormatting>
  <conditionalFormatting sqref="A13:E14">
    <cfRule type="containsText" dxfId="19" priority="5" operator="containsText" text="ERROR">
      <formula>NOT(ISERROR(SEARCH("ERROR",A13)))</formula>
    </cfRule>
  </conditionalFormatting>
  <conditionalFormatting sqref="A16:E17">
    <cfRule type="containsText" dxfId="18" priority="1" operator="containsText" text="ERROR">
      <formula>NOT(ISERROR(SEARCH("ERROR",A16)))</formula>
    </cfRule>
  </conditionalFormatting>
  <pageMargins left="1.1023622047244095" right="0.70866141732283461" top="0.74803149606299213" bottom="0.74803149606299213" header="0.31496062992125984" footer="0.31496062992125984"/>
  <pageSetup orientation="landscape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24D0F865-8CD1-4346-A66E-A5B16A42A6AC}">
            <xm:f>'Codigos Espesificos'!$C$2=0</xm:f>
            <x14:dxf>
              <font>
                <color theme="9" tint="-0.499984740745262"/>
              </font>
            </x14:dxf>
          </x14:cfRule>
          <x14:cfRule type="expression" priority="23" id="{097D6CA1-EF23-449D-9EBE-5610E7E3B1B4}">
            <xm:f>'Codigos Espesificos'!$C$2=1</xm:f>
            <x14:dxf>
              <font>
                <color theme="7" tint="-0.24994659260841701"/>
              </font>
            </x14:dxf>
          </x14:cfRule>
          <x14:cfRule type="expression" priority="22" id="{59727757-83BE-4537-9ABC-7CAF86086B4A}">
            <xm:f>'Codigos Espesificos'!$C$2=2</xm:f>
            <x14:dxf>
              <font>
                <color rgb="FFC00000"/>
              </font>
            </x14:dxf>
          </x14:cfRule>
          <xm:sqref>A1:E2</xm:sqref>
        </x14:conditionalFormatting>
        <x14:conditionalFormatting xmlns:xm="http://schemas.microsoft.com/office/excel/2006/main">
          <x14:cfRule type="expression" priority="18" id="{8F7CBA44-B56E-46C7-B644-967C4A43C8B7}">
            <xm:f>'Codigos Espesificos'!$C$3=2</xm:f>
            <x14:dxf>
              <font>
                <color rgb="FFC00000"/>
              </font>
            </x14:dxf>
          </x14:cfRule>
          <x14:cfRule type="expression" priority="19" id="{D6C146BA-2248-4EB0-B249-8BBF0C69AC02}">
            <xm:f>'Codigos Espesificos'!$C$3=1</xm:f>
            <x14:dxf>
              <font>
                <color theme="7" tint="-0.24994659260841701"/>
              </font>
            </x14:dxf>
          </x14:cfRule>
          <x14:cfRule type="expression" priority="20" id="{8BBB5C8B-4607-481E-A4D6-E2B8A00CC19E}">
            <xm:f>'Codigos Espesificos'!$C$3=0</xm:f>
            <x14:dxf>
              <font>
                <color theme="9" tint="-0.499984740745262"/>
              </font>
            </x14:dxf>
          </x14:cfRule>
          <xm:sqref>A4:E5</xm:sqref>
        </x14:conditionalFormatting>
        <x14:conditionalFormatting xmlns:xm="http://schemas.microsoft.com/office/excel/2006/main">
          <x14:cfRule type="expression" priority="14" id="{A8C65569-E2D2-43D9-B031-B4765454241C}">
            <xm:f>'Codigos Espesificos'!$C$4=2</xm:f>
            <x14:dxf>
              <font>
                <color rgb="FFC00000"/>
              </font>
            </x14:dxf>
          </x14:cfRule>
          <x14:cfRule type="expression" priority="15" id="{3EA769F9-AA1F-417B-B4EC-24C86DA1544D}">
            <xm:f>'Codigos Espesificos'!$C$4=1</xm:f>
            <x14:dxf>
              <font>
                <color theme="7" tint="-0.24994659260841701"/>
              </font>
            </x14:dxf>
          </x14:cfRule>
          <x14:cfRule type="expression" priority="16" id="{8F7078B3-FBFE-446B-877E-0C9635710562}">
            <xm:f>'Codigos Espesificos'!$C$4=0</xm:f>
            <x14:dxf>
              <font>
                <color theme="9" tint="-0.499984740745262"/>
              </font>
            </x14:dxf>
          </x14:cfRule>
          <xm:sqref>A7:E8</xm:sqref>
        </x14:conditionalFormatting>
        <x14:conditionalFormatting xmlns:xm="http://schemas.microsoft.com/office/excel/2006/main">
          <x14:cfRule type="expression" priority="10" id="{C336F539-5175-4CBF-81A5-CBAB0305A9E6}">
            <xm:f>'Codigos Espesificos'!$C$5=2</xm:f>
            <x14:dxf>
              <font>
                <color rgb="FFC00000"/>
              </font>
            </x14:dxf>
          </x14:cfRule>
          <x14:cfRule type="expression" priority="11" id="{5A41E439-0D94-4996-9E16-84D014DA53E7}">
            <xm:f>'Codigos Espesificos'!$C$5=1</xm:f>
            <x14:dxf>
              <font>
                <color theme="7" tint="-0.24994659260841701"/>
              </font>
            </x14:dxf>
          </x14:cfRule>
          <x14:cfRule type="expression" priority="12" id="{D8724939-9DD3-42B1-A1AA-DD73D34C4E49}">
            <xm:f>'Codigos Espesificos'!$C$5=0</xm:f>
            <x14:dxf>
              <font>
                <color theme="9" tint="-0.499984740745262"/>
              </font>
            </x14:dxf>
          </x14:cfRule>
          <xm:sqref>A10:E11</xm:sqref>
        </x14:conditionalFormatting>
        <x14:conditionalFormatting xmlns:xm="http://schemas.microsoft.com/office/excel/2006/main">
          <x14:cfRule type="expression" priority="6" id="{DDB4A9BB-91DC-4D39-87DC-C810B6F491FD}">
            <xm:f>'Codigos Espesificos'!$C$6=2</xm:f>
            <x14:dxf>
              <font>
                <color rgb="FFC00000"/>
              </font>
            </x14:dxf>
          </x14:cfRule>
          <x14:cfRule type="expression" priority="7" id="{DE9800AB-7937-40B3-841A-D4057E8E0568}">
            <xm:f>'Codigos Espesificos'!$C$6=1</xm:f>
            <x14:dxf>
              <font>
                <color theme="7" tint="-0.24994659260841701"/>
              </font>
            </x14:dxf>
          </x14:cfRule>
          <x14:cfRule type="expression" priority="8" id="{F1E44146-97D5-4DEE-843A-E1217791644B}">
            <xm:f>'Codigos Espesificos'!$C$6=0</xm:f>
            <x14:dxf>
              <font>
                <color theme="9" tint="-0.499984740745262"/>
              </font>
            </x14:dxf>
          </x14:cfRule>
          <xm:sqref>A13:E14</xm:sqref>
        </x14:conditionalFormatting>
        <x14:conditionalFormatting xmlns:xm="http://schemas.microsoft.com/office/excel/2006/main">
          <x14:cfRule type="expression" priority="2" id="{4C991D64-11FA-4927-9CF7-6287A21FBFFD}">
            <xm:f>'Codigos Espesificos'!$C$7=2</xm:f>
            <x14:dxf>
              <font>
                <color rgb="FFC00000"/>
              </font>
            </x14:dxf>
          </x14:cfRule>
          <x14:cfRule type="expression" priority="3" id="{3772BF38-53A5-40B9-89F2-EA0C386B980E}">
            <xm:f>'Codigos Espesificos'!$C$7=1</xm:f>
            <x14:dxf>
              <font>
                <color theme="7" tint="-0.24994659260841701"/>
              </font>
            </x14:dxf>
          </x14:cfRule>
          <x14:cfRule type="expression" priority="4" id="{CA103166-9ADE-4752-970B-399B00461ECA}">
            <xm:f>'Codigos Espesificos'!$C$7=0</xm:f>
            <x14:dxf>
              <font>
                <color theme="9" tint="-0.499984740745262"/>
              </font>
            </x14:dxf>
          </x14:cfRule>
          <xm:sqref>A16:E17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A40D5-4FD7-40DE-AD09-C8E8B18A5594}">
  <sheetPr codeName="Hoja2">
    <tabColor theme="8"/>
  </sheetPr>
  <dimension ref="A1:L199"/>
  <sheetViews>
    <sheetView workbookViewId="0">
      <selection activeCell="A4" sqref="A4"/>
    </sheetView>
  </sheetViews>
  <sheetFormatPr baseColWidth="10" defaultRowHeight="15" x14ac:dyDescent="0.25"/>
  <cols>
    <col min="1" max="1" width="25.28515625" style="27" customWidth="1"/>
    <col min="2" max="2" width="7.7109375" style="8" customWidth="1"/>
    <col min="3" max="3" width="13.42578125" style="8" customWidth="1"/>
    <col min="4" max="4" width="12.5703125" style="8" customWidth="1"/>
    <col min="5" max="11" width="11.42578125" style="8"/>
    <col min="12" max="12" width="95.140625" bestFit="1" customWidth="1"/>
  </cols>
  <sheetData>
    <row r="1" spans="1:12" ht="30" x14ac:dyDescent="0.25">
      <c r="A1" s="12" t="s">
        <v>12</v>
      </c>
      <c r="B1" s="13" t="s">
        <v>0</v>
      </c>
      <c r="C1" s="13" t="s">
        <v>13</v>
      </c>
      <c r="D1" s="13" t="s">
        <v>14</v>
      </c>
      <c r="E1" s="13" t="s">
        <v>15</v>
      </c>
      <c r="F1" s="13" t="s">
        <v>16</v>
      </c>
      <c r="G1" s="13" t="s">
        <v>17</v>
      </c>
      <c r="H1" s="13" t="s">
        <v>18</v>
      </c>
      <c r="I1" s="13" t="s">
        <v>19</v>
      </c>
      <c r="J1" s="13" t="s">
        <v>20</v>
      </c>
      <c r="K1" s="13" t="s">
        <v>21</v>
      </c>
      <c r="L1" s="13" t="s">
        <v>22</v>
      </c>
    </row>
    <row r="2" spans="1:12" x14ac:dyDescent="0.25">
      <c r="A2" s="28"/>
      <c r="B2" s="14">
        <f>ROW(B1)</f>
        <v>1</v>
      </c>
      <c r="C2" s="29"/>
      <c r="D2" s="29"/>
      <c r="E2" s="29"/>
      <c r="F2" s="29"/>
      <c r="G2" s="29"/>
      <c r="H2" s="29"/>
      <c r="I2" s="15"/>
      <c r="J2" s="15"/>
      <c r="K2" s="15"/>
      <c r="L2" s="15"/>
    </row>
    <row r="3" spans="1:12" x14ac:dyDescent="0.25">
      <c r="A3" s="30" t="s">
        <v>502</v>
      </c>
      <c r="B3" s="4">
        <f t="shared" ref="B3:B66" si="0">ROW(B2)</f>
        <v>2</v>
      </c>
      <c r="C3" s="31" t="s">
        <v>3</v>
      </c>
      <c r="D3" s="31" t="s">
        <v>23</v>
      </c>
      <c r="E3" s="31" t="s">
        <v>24</v>
      </c>
      <c r="F3" s="31" t="s">
        <v>25</v>
      </c>
      <c r="G3" s="31">
        <v>3</v>
      </c>
      <c r="H3" s="31" t="s">
        <v>26</v>
      </c>
      <c r="I3" s="16">
        <f>'[1]Tabla de Precios'!K2</f>
        <v>499.16666731558331</v>
      </c>
      <c r="J3" s="16">
        <f>'[1]Tabla de Precios'!L2</f>
        <v>900.26400104034326</v>
      </c>
      <c r="K3" s="16">
        <f>'[1]Tabla de Precios'!M2</f>
        <v>599.00000077870004</v>
      </c>
      <c r="L3" s="16" t="s">
        <v>27</v>
      </c>
    </row>
    <row r="4" spans="1:12" x14ac:dyDescent="0.25">
      <c r="A4" s="32" t="s">
        <v>503</v>
      </c>
      <c r="B4" s="17">
        <v>3</v>
      </c>
      <c r="C4" s="33" t="s">
        <v>4</v>
      </c>
      <c r="D4" s="33" t="s">
        <v>23</v>
      </c>
      <c r="E4" s="33" t="s">
        <v>28</v>
      </c>
      <c r="F4" s="33" t="s">
        <v>25</v>
      </c>
      <c r="G4" s="33">
        <v>1</v>
      </c>
      <c r="H4" s="33" t="s">
        <v>26</v>
      </c>
      <c r="I4" s="18">
        <f>'[1]Tabla de Precios'!K3</f>
        <v>1040.8333346864165</v>
      </c>
      <c r="J4" s="18">
        <f>'[1]Tabla de Precios'!L3</f>
        <v>1768.6640021692629</v>
      </c>
      <c r="K4" s="18">
        <f>'[1]Tabla de Precios'!M3</f>
        <v>1249.0000016236997</v>
      </c>
      <c r="L4" s="18" t="s">
        <v>29</v>
      </c>
    </row>
    <row r="5" spans="1:12" x14ac:dyDescent="0.25">
      <c r="A5" s="30" t="s">
        <v>30</v>
      </c>
      <c r="B5" s="4">
        <f t="shared" si="0"/>
        <v>4</v>
      </c>
      <c r="C5" s="31" t="s">
        <v>5</v>
      </c>
      <c r="D5" s="31" t="s">
        <v>23</v>
      </c>
      <c r="E5" s="31" t="s">
        <v>31</v>
      </c>
      <c r="F5" s="31" t="s">
        <v>25</v>
      </c>
      <c r="G5" s="31">
        <v>0</v>
      </c>
      <c r="H5" s="31" t="s">
        <v>32</v>
      </c>
      <c r="I5" s="16">
        <f>'[1]Tabla de Precios'!K4</f>
        <v>1666.6583354999852</v>
      </c>
      <c r="J5" s="16">
        <f>'[1]Tabla de Precios'!L4</f>
        <v>2771.9866434735764</v>
      </c>
      <c r="K5" s="16">
        <f>'[1]Tabla de Precios'!M4</f>
        <v>1999.9900025999823</v>
      </c>
      <c r="L5" s="16" t="s">
        <v>33</v>
      </c>
    </row>
    <row r="6" spans="1:12" x14ac:dyDescent="0.25">
      <c r="A6" s="32" t="s">
        <v>34</v>
      </c>
      <c r="B6" s="17">
        <f t="shared" si="0"/>
        <v>5</v>
      </c>
      <c r="C6" s="33" t="s">
        <v>6</v>
      </c>
      <c r="D6" s="33" t="s">
        <v>23</v>
      </c>
      <c r="E6" s="33" t="s">
        <v>35</v>
      </c>
      <c r="F6" s="33" t="s">
        <v>25</v>
      </c>
      <c r="G6" s="33">
        <v>1</v>
      </c>
      <c r="H6" s="33" t="s">
        <v>26</v>
      </c>
      <c r="I6" s="18">
        <f>'[1]Tabla de Precios'!K5</f>
        <v>1666.6583354999893</v>
      </c>
      <c r="J6" s="18">
        <f>'[1]Tabla de Precios'!L5</f>
        <v>2771.9866434735832</v>
      </c>
      <c r="K6" s="18">
        <f>'[1]Tabla de Precios'!M5</f>
        <v>1999.9900025999873</v>
      </c>
      <c r="L6" s="18" t="s">
        <v>36</v>
      </c>
    </row>
    <row r="7" spans="1:12" ht="45" x14ac:dyDescent="0.25">
      <c r="A7" s="30" t="s">
        <v>37</v>
      </c>
      <c r="B7" s="4">
        <f t="shared" si="0"/>
        <v>6</v>
      </c>
      <c r="C7" s="31" t="s">
        <v>7</v>
      </c>
      <c r="D7" s="31" t="s">
        <v>23</v>
      </c>
      <c r="E7" s="31" t="s">
        <v>24</v>
      </c>
      <c r="F7" s="31" t="s">
        <v>25</v>
      </c>
      <c r="G7" s="31">
        <v>0</v>
      </c>
      <c r="H7" s="31" t="s">
        <v>26</v>
      </c>
      <c r="I7" s="16">
        <f>'[1]Tabla de Precios'!K6</f>
        <v>458.33333392916671</v>
      </c>
      <c r="J7" s="16">
        <f>'[1]Tabla de Precios'!L6</f>
        <v>834.80000095524008</v>
      </c>
      <c r="K7" s="16">
        <f>'[1]Tabla de Precios'!M6</f>
        <v>550.00000071500006</v>
      </c>
      <c r="L7" s="16"/>
    </row>
    <row r="8" spans="1:12" ht="30" x14ac:dyDescent="0.25">
      <c r="A8" s="32" t="s">
        <v>38</v>
      </c>
      <c r="B8" s="17">
        <f t="shared" si="0"/>
        <v>7</v>
      </c>
      <c r="C8" s="33" t="s">
        <v>8</v>
      </c>
      <c r="D8" s="33" t="s">
        <v>23</v>
      </c>
      <c r="E8" s="33"/>
      <c r="F8" s="33" t="s">
        <v>25</v>
      </c>
      <c r="G8" s="33">
        <v>0</v>
      </c>
      <c r="H8" s="33" t="s">
        <v>26</v>
      </c>
      <c r="I8" s="18">
        <f>'[1]Tabla de Precios'!K7</f>
        <v>287.29000014364499</v>
      </c>
      <c r="J8" s="18">
        <f>'[1]Tabla de Precios'!L7</f>
        <v>560.58332823029161</v>
      </c>
      <c r="K8" s="18">
        <f>'[1]Tabla de Precios'!M7</f>
        <v>344.74800017237396</v>
      </c>
      <c r="L8" s="18"/>
    </row>
    <row r="9" spans="1:12" ht="30" x14ac:dyDescent="0.25">
      <c r="A9" s="30" t="s">
        <v>39</v>
      </c>
      <c r="B9" s="4">
        <f t="shared" si="0"/>
        <v>8</v>
      </c>
      <c r="C9" s="31" t="s">
        <v>9</v>
      </c>
      <c r="D9" s="31" t="s">
        <v>23</v>
      </c>
      <c r="E9" s="31" t="s">
        <v>24</v>
      </c>
      <c r="F9" s="31" t="s">
        <v>25</v>
      </c>
      <c r="G9" s="31">
        <v>0</v>
      </c>
      <c r="H9" s="31" t="s">
        <v>26</v>
      </c>
      <c r="I9" s="16">
        <f>'[1]Tabla de Precios'!K8</f>
        <v>458.33333379166675</v>
      </c>
      <c r="J9" s="16">
        <f>'[1]Tabla de Precios'!L8</f>
        <v>834.80000073480016</v>
      </c>
      <c r="K9" s="16">
        <f>'[1]Tabla de Precios'!M8</f>
        <v>550.0000005500001</v>
      </c>
      <c r="L9" s="16"/>
    </row>
    <row r="10" spans="1:12" ht="45" x14ac:dyDescent="0.25">
      <c r="A10" s="32" t="s">
        <v>40</v>
      </c>
      <c r="B10" s="17">
        <f t="shared" si="0"/>
        <v>9</v>
      </c>
      <c r="C10" s="33" t="s">
        <v>10</v>
      </c>
      <c r="D10" s="33" t="s">
        <v>23</v>
      </c>
      <c r="E10" s="33" t="s">
        <v>24</v>
      </c>
      <c r="F10" s="33" t="s">
        <v>25</v>
      </c>
      <c r="G10" s="33">
        <v>0</v>
      </c>
      <c r="H10" s="33" t="s">
        <v>26</v>
      </c>
      <c r="I10" s="18">
        <f>'[1]Tabla de Precios'!K9</f>
        <v>517.52000025876009</v>
      </c>
      <c r="J10" s="18">
        <f>'[1]Tabla de Precios'!L9</f>
        <v>929.68806441484412</v>
      </c>
      <c r="K10" s="18">
        <f>'[1]Tabla de Precios'!M9</f>
        <v>621.02400031051206</v>
      </c>
      <c r="L10" s="18"/>
    </row>
    <row r="11" spans="1:12" ht="30" x14ac:dyDescent="0.25">
      <c r="A11" s="30" t="s">
        <v>41</v>
      </c>
      <c r="B11" s="4">
        <f t="shared" si="0"/>
        <v>10</v>
      </c>
      <c r="C11" s="31" t="s">
        <v>11</v>
      </c>
      <c r="D11" s="31" t="s">
        <v>23</v>
      </c>
      <c r="E11" s="31" t="s">
        <v>24</v>
      </c>
      <c r="F11" s="31" t="s">
        <v>25</v>
      </c>
      <c r="G11" s="31">
        <v>0</v>
      </c>
      <c r="H11" s="31" t="s">
        <v>26</v>
      </c>
      <c r="I11" s="16">
        <f>'[1]Tabla de Precios'!K10</f>
        <v>517.52000025876009</v>
      </c>
      <c r="J11" s="16">
        <f>'[1]Tabla de Precios'!L10</f>
        <v>929.68806441484412</v>
      </c>
      <c r="K11" s="16">
        <f>'[1]Tabla de Precios'!M10</f>
        <v>1242.0480006210241</v>
      </c>
      <c r="L11" s="16"/>
    </row>
    <row r="12" spans="1:12" ht="60" x14ac:dyDescent="0.25">
      <c r="A12" s="32" t="s">
        <v>42</v>
      </c>
      <c r="B12" s="17">
        <f t="shared" si="0"/>
        <v>11</v>
      </c>
      <c r="C12" s="33" t="s">
        <v>43</v>
      </c>
      <c r="D12" s="33" t="s">
        <v>23</v>
      </c>
      <c r="E12" s="33" t="s">
        <v>35</v>
      </c>
      <c r="F12" s="33" t="s">
        <v>25</v>
      </c>
      <c r="G12" s="33">
        <v>4</v>
      </c>
      <c r="H12" s="33" t="s">
        <v>26</v>
      </c>
      <c r="I12" s="18">
        <f>'[1]Tabla de Precios'!K11</f>
        <v>417.11000020855499</v>
      </c>
      <c r="J12" s="18">
        <f>'[1]Tabla de Precios'!L11</f>
        <v>768.71075233435533</v>
      </c>
      <c r="K12" s="18">
        <f>'[1]Tabla de Precios'!M11</f>
        <v>500.53200025026598</v>
      </c>
      <c r="L12" s="18"/>
    </row>
    <row r="13" spans="1:12" ht="45" x14ac:dyDescent="0.25">
      <c r="A13" s="30" t="s">
        <v>44</v>
      </c>
      <c r="B13" s="4">
        <f t="shared" si="0"/>
        <v>12</v>
      </c>
      <c r="C13" s="31" t="s">
        <v>45</v>
      </c>
      <c r="D13" s="31" t="s">
        <v>23</v>
      </c>
      <c r="E13" s="31" t="s">
        <v>35</v>
      </c>
      <c r="F13" s="31" t="s">
        <v>25</v>
      </c>
      <c r="G13" s="31">
        <v>6</v>
      </c>
      <c r="H13" s="31" t="s">
        <v>26</v>
      </c>
      <c r="I13" s="16">
        <f>'[1]Tabla de Precios'!K12</f>
        <v>417.11000020855499</v>
      </c>
      <c r="J13" s="16">
        <f>'[1]Tabla de Precios'!L12</f>
        <v>768.71075233435533</v>
      </c>
      <c r="K13" s="16">
        <f>'[1]Tabla de Precios'!M12</f>
        <v>500.53200025026598</v>
      </c>
      <c r="L13" s="16"/>
    </row>
    <row r="14" spans="1:12" ht="45" x14ac:dyDescent="0.25">
      <c r="A14" s="32" t="s">
        <v>46</v>
      </c>
      <c r="B14" s="17">
        <f t="shared" si="0"/>
        <v>13</v>
      </c>
      <c r="C14" s="33" t="s">
        <v>47</v>
      </c>
      <c r="D14" s="33" t="s">
        <v>23</v>
      </c>
      <c r="E14" s="33" t="s">
        <v>24</v>
      </c>
      <c r="F14" s="33" t="s">
        <v>25</v>
      </c>
      <c r="G14" s="33">
        <v>2</v>
      </c>
      <c r="H14" s="33" t="s">
        <v>26</v>
      </c>
      <c r="I14" s="18">
        <f>'[1]Tabla de Precios'!K13</f>
        <v>417.11000020855499</v>
      </c>
      <c r="J14" s="18">
        <f>'[1]Tabla de Precios'!L13</f>
        <v>768.71075233435533</v>
      </c>
      <c r="K14" s="18">
        <f>'[1]Tabla de Precios'!M13</f>
        <v>500.53200025026598</v>
      </c>
      <c r="L14" s="18"/>
    </row>
    <row r="15" spans="1:12" ht="45" x14ac:dyDescent="0.25">
      <c r="A15" s="30" t="s">
        <v>48</v>
      </c>
      <c r="B15" s="4">
        <f t="shared" si="0"/>
        <v>14</v>
      </c>
      <c r="C15" s="31" t="s">
        <v>49</v>
      </c>
      <c r="D15" s="31" t="s">
        <v>23</v>
      </c>
      <c r="E15" s="31" t="s">
        <v>35</v>
      </c>
      <c r="F15" s="31" t="s">
        <v>25</v>
      </c>
      <c r="G15" s="31">
        <v>12</v>
      </c>
      <c r="H15" s="31" t="s">
        <v>26</v>
      </c>
      <c r="I15" s="16">
        <f>'[1]Tabla de Precios'!K14</f>
        <v>417.11000020855499</v>
      </c>
      <c r="J15" s="16">
        <f>'[1]Tabla de Precios'!L14</f>
        <v>768.71075233435533</v>
      </c>
      <c r="K15" s="16">
        <f>'[1]Tabla de Precios'!M14</f>
        <v>500.53200025026598</v>
      </c>
      <c r="L15" s="16"/>
    </row>
    <row r="16" spans="1:12" ht="45" x14ac:dyDescent="0.25">
      <c r="A16" s="32" t="s">
        <v>50</v>
      </c>
      <c r="B16" s="17">
        <f t="shared" si="0"/>
        <v>15</v>
      </c>
      <c r="C16" s="33" t="s">
        <v>51</v>
      </c>
      <c r="D16" s="33" t="s">
        <v>23</v>
      </c>
      <c r="E16" s="33" t="s">
        <v>24</v>
      </c>
      <c r="F16" s="33" t="s">
        <v>25</v>
      </c>
      <c r="G16" s="33">
        <v>2</v>
      </c>
      <c r="H16" s="33" t="s">
        <v>26</v>
      </c>
      <c r="I16" s="18">
        <f>'[1]Tabla de Precios'!K15</f>
        <v>539.51000026975498</v>
      </c>
      <c r="J16" s="18">
        <f>'[1]Tabla de Precios'!L15</f>
        <v>964.94243243247126</v>
      </c>
      <c r="K16" s="18">
        <f>'[1]Tabla de Precios'!M15</f>
        <v>647.41200032370602</v>
      </c>
      <c r="L16" s="18"/>
    </row>
    <row r="17" spans="1:12" ht="60" x14ac:dyDescent="0.25">
      <c r="A17" s="30" t="s">
        <v>52</v>
      </c>
      <c r="B17" s="4">
        <f t="shared" si="0"/>
        <v>16</v>
      </c>
      <c r="C17" s="31" t="s">
        <v>53</v>
      </c>
      <c r="D17" s="31" t="s">
        <v>23</v>
      </c>
      <c r="E17" s="31" t="s">
        <v>24</v>
      </c>
      <c r="F17" s="31" t="s">
        <v>25</v>
      </c>
      <c r="G17" s="31">
        <v>0</v>
      </c>
      <c r="H17" s="31" t="s">
        <v>26</v>
      </c>
      <c r="I17" s="16">
        <f>'[1]Tabla de Precios'!K16</f>
        <v>433.33333333896667</v>
      </c>
      <c r="J17" s="16">
        <f>'[1]Tabla de Precios'!L16</f>
        <v>794.72000000903142</v>
      </c>
      <c r="K17" s="16">
        <f>'[1]Tabla de Precios'!M16</f>
        <v>520.00000000676005</v>
      </c>
      <c r="L17" s="16"/>
    </row>
    <row r="18" spans="1:12" ht="45" x14ac:dyDescent="0.25">
      <c r="A18" s="32" t="s">
        <v>54</v>
      </c>
      <c r="B18" s="17">
        <f t="shared" si="0"/>
        <v>17</v>
      </c>
      <c r="C18" s="33" t="s">
        <v>55</v>
      </c>
      <c r="D18" s="33" t="s">
        <v>23</v>
      </c>
      <c r="E18" s="33" t="s">
        <v>35</v>
      </c>
      <c r="F18" s="33" t="s">
        <v>25</v>
      </c>
      <c r="G18" s="33">
        <v>6</v>
      </c>
      <c r="H18" s="33" t="s">
        <v>26</v>
      </c>
      <c r="I18" s="18">
        <f>'[1]Tabla de Precios'!K17</f>
        <v>433.33333333896667</v>
      </c>
      <c r="J18" s="18">
        <f>'[1]Tabla de Precios'!L17</f>
        <v>794.72000000903142</v>
      </c>
      <c r="K18" s="18">
        <f>'[1]Tabla de Precios'!M17</f>
        <v>520.00000000676005</v>
      </c>
      <c r="L18" s="18"/>
    </row>
    <row r="19" spans="1:12" ht="45" x14ac:dyDescent="0.25">
      <c r="A19" s="30" t="s">
        <v>56</v>
      </c>
      <c r="B19" s="4">
        <f t="shared" si="0"/>
        <v>18</v>
      </c>
      <c r="C19" s="31" t="s">
        <v>57</v>
      </c>
      <c r="D19" s="31" t="s">
        <v>23</v>
      </c>
      <c r="E19" s="31" t="s">
        <v>24</v>
      </c>
      <c r="F19" s="31" t="s">
        <v>25</v>
      </c>
      <c r="G19" s="31">
        <v>1</v>
      </c>
      <c r="H19" s="31" t="s">
        <v>26</v>
      </c>
      <c r="I19" s="16">
        <f>'[1]Tabla de Precios'!K18</f>
        <v>433.33333333896667</v>
      </c>
      <c r="J19" s="16">
        <f>'[1]Tabla de Precios'!L18</f>
        <v>794.72000000903142</v>
      </c>
      <c r="K19" s="16">
        <f>'[1]Tabla de Precios'!M18</f>
        <v>520.00000000676005</v>
      </c>
      <c r="L19" s="16"/>
    </row>
    <row r="20" spans="1:12" ht="45" x14ac:dyDescent="0.25">
      <c r="A20" s="32" t="s">
        <v>58</v>
      </c>
      <c r="B20" s="17">
        <f t="shared" si="0"/>
        <v>19</v>
      </c>
      <c r="C20" s="33" t="s">
        <v>59</v>
      </c>
      <c r="D20" s="33" t="s">
        <v>23</v>
      </c>
      <c r="E20" s="33" t="s">
        <v>35</v>
      </c>
      <c r="F20" s="33" t="s">
        <v>25</v>
      </c>
      <c r="G20" s="33">
        <v>6</v>
      </c>
      <c r="H20" s="33" t="s">
        <v>26</v>
      </c>
      <c r="I20" s="18">
        <f>'[1]Tabla de Precios'!K19</f>
        <v>433.33333333896667</v>
      </c>
      <c r="J20" s="18">
        <f>'[1]Tabla de Precios'!L19</f>
        <v>794.72000000903142</v>
      </c>
      <c r="K20" s="18">
        <f>'[1]Tabla de Precios'!M19</f>
        <v>520.00000000676005</v>
      </c>
      <c r="L20" s="18"/>
    </row>
    <row r="21" spans="1:12" ht="45" x14ac:dyDescent="0.25">
      <c r="A21" s="30" t="s">
        <v>60</v>
      </c>
      <c r="B21" s="4">
        <f t="shared" si="0"/>
        <v>20</v>
      </c>
      <c r="C21" s="31" t="s">
        <v>61</v>
      </c>
      <c r="D21" s="31" t="s">
        <v>23</v>
      </c>
      <c r="E21" s="31" t="s">
        <v>24</v>
      </c>
      <c r="F21" s="31" t="s">
        <v>25</v>
      </c>
      <c r="G21" s="31">
        <v>5</v>
      </c>
      <c r="H21" s="31" t="s">
        <v>26</v>
      </c>
      <c r="I21" s="16">
        <f>'[1]Tabla de Precios'!K20</f>
        <v>565.18000028258984</v>
      </c>
      <c r="J21" s="16">
        <f>'[1]Tabla de Precios'!L20</f>
        <v>1006.0965764530481</v>
      </c>
      <c r="K21" s="16">
        <f>'[1]Tabla de Precios'!M20</f>
        <v>678.21600033910784</v>
      </c>
      <c r="L21" s="16"/>
    </row>
    <row r="22" spans="1:12" ht="60" x14ac:dyDescent="0.25">
      <c r="A22" s="32" t="s">
        <v>62</v>
      </c>
      <c r="B22" s="17">
        <f t="shared" si="0"/>
        <v>21</v>
      </c>
      <c r="C22" s="33" t="s">
        <v>63</v>
      </c>
      <c r="D22" s="33" t="s">
        <v>23</v>
      </c>
      <c r="E22" s="33" t="s">
        <v>24</v>
      </c>
      <c r="F22" s="33" t="s">
        <v>25</v>
      </c>
      <c r="G22" s="33">
        <v>0</v>
      </c>
      <c r="H22" s="33" t="s">
        <v>26</v>
      </c>
      <c r="I22" s="18">
        <f>'[1]Tabla de Precios'!K21</f>
        <v>454.1666672570833</v>
      </c>
      <c r="J22" s="18">
        <f>'[1]Tabla de Precios'!L21</f>
        <v>828.12000094655605</v>
      </c>
      <c r="K22" s="18">
        <f>'[1]Tabla de Precios'!M21</f>
        <v>545.00000070850001</v>
      </c>
      <c r="L22" s="18"/>
    </row>
    <row r="23" spans="1:12" ht="45" x14ac:dyDescent="0.25">
      <c r="A23" s="30" t="s">
        <v>64</v>
      </c>
      <c r="B23" s="4">
        <f t="shared" si="0"/>
        <v>22</v>
      </c>
      <c r="C23" s="31" t="s">
        <v>65</v>
      </c>
      <c r="D23" s="31" t="s">
        <v>23</v>
      </c>
      <c r="E23" s="31" t="s">
        <v>35</v>
      </c>
      <c r="F23" s="31" t="s">
        <v>25</v>
      </c>
      <c r="G23" s="31">
        <v>2</v>
      </c>
      <c r="H23" s="31" t="s">
        <v>26</v>
      </c>
      <c r="I23" s="16">
        <f>'[1]Tabla de Precios'!K22</f>
        <v>454.16666725708353</v>
      </c>
      <c r="J23" s="16">
        <f>'[1]Tabla de Precios'!L22</f>
        <v>828.12000094655627</v>
      </c>
      <c r="K23" s="16">
        <f>'[1]Tabla de Precios'!M22</f>
        <v>545.00000070850024</v>
      </c>
      <c r="L23" s="16"/>
    </row>
    <row r="24" spans="1:12" ht="45" x14ac:dyDescent="0.25">
      <c r="A24" s="32" t="s">
        <v>66</v>
      </c>
      <c r="B24" s="17">
        <f t="shared" si="0"/>
        <v>23</v>
      </c>
      <c r="C24" s="33" t="s">
        <v>67</v>
      </c>
      <c r="D24" s="33" t="s">
        <v>23</v>
      </c>
      <c r="E24" s="33" t="s">
        <v>24</v>
      </c>
      <c r="F24" s="33" t="s">
        <v>25</v>
      </c>
      <c r="G24" s="33">
        <v>4</v>
      </c>
      <c r="H24" s="33" t="s">
        <v>26</v>
      </c>
      <c r="I24" s="18">
        <f>'[1]Tabla de Precios'!K23</f>
        <v>454.16666725708353</v>
      </c>
      <c r="J24" s="18">
        <f>'[1]Tabla de Precios'!L23</f>
        <v>828.12000094655627</v>
      </c>
      <c r="K24" s="18">
        <f>'[1]Tabla de Precios'!M23</f>
        <v>545.00000070850024</v>
      </c>
      <c r="L24" s="18"/>
    </row>
    <row r="25" spans="1:12" ht="45" x14ac:dyDescent="0.25">
      <c r="A25" s="30" t="s">
        <v>68</v>
      </c>
      <c r="B25" s="4">
        <f t="shared" si="0"/>
        <v>24</v>
      </c>
      <c r="C25" s="31" t="s">
        <v>69</v>
      </c>
      <c r="D25" s="31" t="s">
        <v>23</v>
      </c>
      <c r="E25" s="31" t="s">
        <v>35</v>
      </c>
      <c r="F25" s="31" t="s">
        <v>25</v>
      </c>
      <c r="G25" s="31">
        <v>3</v>
      </c>
      <c r="H25" s="31" t="s">
        <v>70</v>
      </c>
      <c r="I25" s="16">
        <f>'[1]Tabla de Precios'!K24</f>
        <v>454.16666725708353</v>
      </c>
      <c r="J25" s="16">
        <f>'[1]Tabla de Precios'!L24</f>
        <v>828.12000094655627</v>
      </c>
      <c r="K25" s="16">
        <f>'[1]Tabla de Precios'!M24</f>
        <v>545.00000070850024</v>
      </c>
      <c r="L25" s="16"/>
    </row>
    <row r="26" spans="1:12" ht="30" x14ac:dyDescent="0.25">
      <c r="A26" s="32" t="s">
        <v>71</v>
      </c>
      <c r="B26" s="17">
        <f t="shared" si="0"/>
        <v>25</v>
      </c>
      <c r="C26" s="33" t="s">
        <v>72</v>
      </c>
      <c r="D26" s="33" t="s">
        <v>23</v>
      </c>
      <c r="E26" s="33" t="s">
        <v>24</v>
      </c>
      <c r="F26" s="33" t="s">
        <v>25</v>
      </c>
      <c r="G26" s="33">
        <v>9</v>
      </c>
      <c r="H26" s="33" t="s">
        <v>26</v>
      </c>
      <c r="I26" s="18">
        <f>'[1]Tabla de Precios'!K25</f>
        <v>483.62500000628711</v>
      </c>
      <c r="J26" s="18">
        <f>'[1]Tabla de Precios'!L25</f>
        <v>875.34760001007953</v>
      </c>
      <c r="K26" s="18">
        <f>'[1]Tabla de Precios'!M25</f>
        <v>580.35000000754451</v>
      </c>
      <c r="L26" s="18"/>
    </row>
    <row r="27" spans="1:12" ht="30" x14ac:dyDescent="0.25">
      <c r="A27" s="30" t="s">
        <v>73</v>
      </c>
      <c r="B27" s="4">
        <f t="shared" si="0"/>
        <v>26</v>
      </c>
      <c r="C27" s="31" t="s">
        <v>74</v>
      </c>
      <c r="D27" s="31" t="s">
        <v>23</v>
      </c>
      <c r="E27" s="31" t="s">
        <v>24</v>
      </c>
      <c r="F27" s="31" t="s">
        <v>25</v>
      </c>
      <c r="G27" s="31">
        <v>9</v>
      </c>
      <c r="H27" s="31" t="s">
        <v>26</v>
      </c>
      <c r="I27" s="16">
        <f>'[1]Tabla de Precios'!K26</f>
        <v>549.90000027495</v>
      </c>
      <c r="J27" s="16">
        <f>'[1]Tabla de Precios'!L26</f>
        <v>981.59968044079983</v>
      </c>
      <c r="K27" s="16">
        <f>'[1]Tabla de Precios'!M26</f>
        <v>659.88000032994</v>
      </c>
      <c r="L27" s="16"/>
    </row>
    <row r="28" spans="1:12" ht="30" x14ac:dyDescent="0.25">
      <c r="A28" s="32" t="s">
        <v>75</v>
      </c>
      <c r="B28" s="17">
        <f t="shared" si="0"/>
        <v>27</v>
      </c>
      <c r="C28" s="33" t="s">
        <v>76</v>
      </c>
      <c r="D28" s="33" t="s">
        <v>23</v>
      </c>
      <c r="E28" s="33"/>
      <c r="F28" s="33" t="s">
        <v>25</v>
      </c>
      <c r="G28" s="33">
        <v>11</v>
      </c>
      <c r="H28" s="33" t="s">
        <v>32</v>
      </c>
      <c r="I28" s="18">
        <f>'[1]Tabla de Precios'!K27</f>
        <v>158.33333353916666</v>
      </c>
      <c r="J28" s="18">
        <f>'[1]Tabla de Precios'!L27</f>
        <v>353.84000032999199</v>
      </c>
      <c r="K28" s="18">
        <f>'[1]Tabla de Precios'!M27</f>
        <v>190.000000247</v>
      </c>
      <c r="L28" s="18" t="s">
        <v>77</v>
      </c>
    </row>
    <row r="29" spans="1:12" ht="30" x14ac:dyDescent="0.25">
      <c r="A29" s="30" t="s">
        <v>78</v>
      </c>
      <c r="B29" s="4">
        <f t="shared" si="0"/>
        <v>28</v>
      </c>
      <c r="C29" s="31" t="s">
        <v>79</v>
      </c>
      <c r="D29" s="31" t="s">
        <v>23</v>
      </c>
      <c r="E29" s="31"/>
      <c r="F29" s="31" t="s">
        <v>80</v>
      </c>
      <c r="G29" s="31">
        <v>67</v>
      </c>
      <c r="H29" s="31" t="s">
        <v>32</v>
      </c>
      <c r="I29" s="16">
        <f>'[1]Tabla de Precios'!K28</f>
        <v>91.666666785833314</v>
      </c>
      <c r="J29" s="16">
        <f>'[1]Tabla de Precios'!L28</f>
        <v>246.96000019104798</v>
      </c>
      <c r="K29" s="16">
        <f>'[1]Tabla de Precios'!M28</f>
        <v>110.00000014299998</v>
      </c>
      <c r="L29" s="16"/>
    </row>
    <row r="30" spans="1:12" x14ac:dyDescent="0.25">
      <c r="A30" s="32" t="s">
        <v>81</v>
      </c>
      <c r="B30" s="17">
        <f t="shared" si="0"/>
        <v>29</v>
      </c>
      <c r="C30" s="33" t="s">
        <v>82</v>
      </c>
      <c r="D30" s="33" t="s">
        <v>23</v>
      </c>
      <c r="E30" s="33"/>
      <c r="F30" s="33" t="s">
        <v>25</v>
      </c>
      <c r="G30" s="33">
        <v>2</v>
      </c>
      <c r="H30" s="33" t="s">
        <v>26</v>
      </c>
      <c r="I30" s="18">
        <f>'[1]Tabla de Precios'!K29</f>
        <v>625.54166747987074</v>
      </c>
      <c r="J30" s="18">
        <f>'[1]Tabla de Precios'!L29</f>
        <v>1102.8684013037289</v>
      </c>
      <c r="K30" s="18">
        <f>'[1]Tabla de Precios'!M29</f>
        <v>750.65000097584493</v>
      </c>
      <c r="L30" s="18"/>
    </row>
    <row r="31" spans="1:12" ht="30" x14ac:dyDescent="0.25">
      <c r="A31" s="30" t="s">
        <v>83</v>
      </c>
      <c r="B31" s="4">
        <f t="shared" si="0"/>
        <v>30</v>
      </c>
      <c r="C31" s="31" t="s">
        <v>84</v>
      </c>
      <c r="D31" s="31" t="s">
        <v>23</v>
      </c>
      <c r="E31" s="31"/>
      <c r="F31" s="31" t="s">
        <v>25</v>
      </c>
      <c r="G31" s="31">
        <v>3</v>
      </c>
      <c r="H31" s="31" t="s">
        <v>26</v>
      </c>
      <c r="I31" s="16">
        <f>'[1]Tabla de Precios'!K30</f>
        <v>133.83333350731667</v>
      </c>
      <c r="J31" s="16">
        <f>'[1]Tabla de Precios'!L30</f>
        <v>314.56160027893009</v>
      </c>
      <c r="K31" s="16">
        <f>'[1]Tabla de Precios'!M30</f>
        <v>160.60000020877999</v>
      </c>
      <c r="L31" s="16"/>
    </row>
    <row r="32" spans="1:12" x14ac:dyDescent="0.25">
      <c r="A32" s="32" t="s">
        <v>85</v>
      </c>
      <c r="B32" s="17">
        <f t="shared" si="0"/>
        <v>31</v>
      </c>
      <c r="C32" s="33" t="s">
        <v>86</v>
      </c>
      <c r="D32" s="33" t="s">
        <v>23</v>
      </c>
      <c r="E32" s="33"/>
      <c r="F32" s="33" t="s">
        <v>25</v>
      </c>
      <c r="G32" s="33">
        <v>0</v>
      </c>
      <c r="H32" s="33" t="s">
        <v>26</v>
      </c>
      <c r="I32" s="18">
        <f>'[1]Tabla de Precios'!K31</f>
        <v>134.34000006717</v>
      </c>
      <c r="J32" s="18">
        <f>'[1]Tabla de Precios'!L31</f>
        <v>315.37388810768692</v>
      </c>
      <c r="K32" s="18">
        <f>'[1]Tabla de Precios'!M31</f>
        <v>161.20800008060399</v>
      </c>
      <c r="L32" s="18"/>
    </row>
    <row r="33" spans="1:12" x14ac:dyDescent="0.25">
      <c r="A33" s="30" t="s">
        <v>87</v>
      </c>
      <c r="B33" s="4">
        <f t="shared" si="0"/>
        <v>32</v>
      </c>
      <c r="C33" s="31" t="s">
        <v>88</v>
      </c>
      <c r="D33" s="31" t="s">
        <v>23</v>
      </c>
      <c r="E33" s="31"/>
      <c r="F33" s="31" t="s">
        <v>25</v>
      </c>
      <c r="G33" s="31">
        <v>1</v>
      </c>
      <c r="H33" s="31" t="s">
        <v>32</v>
      </c>
      <c r="I33" s="16">
        <f>'[1]Tabla de Precios'!K32</f>
        <v>541.66666737083335</v>
      </c>
      <c r="J33" s="16">
        <f>'[1]Tabla de Precios'!L32</f>
        <v>968.40000112892005</v>
      </c>
      <c r="K33" s="16">
        <f>'[1]Tabla de Precios'!M32</f>
        <v>650.00000084500005</v>
      </c>
      <c r="L33" s="16"/>
    </row>
    <row r="34" spans="1:12" x14ac:dyDescent="0.25">
      <c r="A34" s="32" t="s">
        <v>89</v>
      </c>
      <c r="B34" s="17">
        <f t="shared" si="0"/>
        <v>33</v>
      </c>
      <c r="C34" s="33" t="s">
        <v>90</v>
      </c>
      <c r="D34" s="33" t="s">
        <v>23</v>
      </c>
      <c r="E34" s="33"/>
      <c r="F34" s="33" t="s">
        <v>25</v>
      </c>
      <c r="G34" s="33">
        <v>1</v>
      </c>
      <c r="H34" s="33" t="s">
        <v>26</v>
      </c>
      <c r="I34" s="18">
        <f>'[1]Tabla de Precios'!K33</f>
        <v>1586.2500007931249</v>
      </c>
      <c r="J34" s="18">
        <f>'[1]Tabla de Precios'!L33</f>
        <v>2643.0760012715377</v>
      </c>
      <c r="K34" s="18">
        <f>'[1]Tabla de Precios'!M33</f>
        <v>1903.5000009517498</v>
      </c>
      <c r="L34" s="18" t="s">
        <v>91</v>
      </c>
    </row>
    <row r="35" spans="1:12" x14ac:dyDescent="0.25">
      <c r="A35" s="30" t="s">
        <v>92</v>
      </c>
      <c r="B35" s="4">
        <f t="shared" si="0"/>
        <v>34</v>
      </c>
      <c r="C35" s="31" t="s">
        <v>93</v>
      </c>
      <c r="D35" s="31" t="s">
        <v>23</v>
      </c>
      <c r="E35" s="31"/>
      <c r="F35" s="31" t="s">
        <v>25</v>
      </c>
      <c r="G35" s="31">
        <v>1</v>
      </c>
      <c r="H35" s="31" t="s">
        <v>26</v>
      </c>
      <c r="I35" s="16">
        <f>'[1]Tabla de Precios'!K34</f>
        <v>275.000000003575</v>
      </c>
      <c r="J35" s="16">
        <f>'[1]Tabla de Precios'!L34</f>
        <v>540.8800000057314</v>
      </c>
      <c r="K35" s="16">
        <f>'[1]Tabla de Precios'!M34</f>
        <v>330.00000000428997</v>
      </c>
      <c r="L35" s="16" t="s">
        <v>94</v>
      </c>
    </row>
    <row r="36" spans="1:12" x14ac:dyDescent="0.25">
      <c r="A36" s="32" t="s">
        <v>95</v>
      </c>
      <c r="B36" s="17">
        <f t="shared" si="0"/>
        <v>35</v>
      </c>
      <c r="C36" s="33" t="s">
        <v>96</v>
      </c>
      <c r="D36" s="33" t="s">
        <v>23</v>
      </c>
      <c r="E36" s="33"/>
      <c r="F36" s="33" t="s">
        <v>25</v>
      </c>
      <c r="G36" s="33">
        <v>24</v>
      </c>
      <c r="H36" s="33" t="s">
        <v>26</v>
      </c>
      <c r="I36" s="18">
        <f>'[1]Tabla de Precios'!K35</f>
        <v>260.85000013042497</v>
      </c>
      <c r="J36" s="18">
        <f>'[1]Tabla de Precios'!L35</f>
        <v>518.19472020909734</v>
      </c>
      <c r="K36" s="18">
        <f>'[1]Tabla de Precios'!M35</f>
        <v>313.02000015650998</v>
      </c>
      <c r="L36" s="18" t="s">
        <v>97</v>
      </c>
    </row>
    <row r="37" spans="1:12" x14ac:dyDescent="0.25">
      <c r="A37" s="30" t="s">
        <v>98</v>
      </c>
      <c r="B37" s="4">
        <f t="shared" si="0"/>
        <v>36</v>
      </c>
      <c r="C37" s="31" t="s">
        <v>99</v>
      </c>
      <c r="D37" s="31" t="s">
        <v>23</v>
      </c>
      <c r="E37" s="31"/>
      <c r="F37" s="31" t="s">
        <v>25</v>
      </c>
      <c r="G37" s="31">
        <v>18</v>
      </c>
      <c r="H37" s="31" t="s">
        <v>26</v>
      </c>
      <c r="I37" s="16">
        <f>'[1]Tabla de Precios'!K36</f>
        <v>100.00000000130001</v>
      </c>
      <c r="J37" s="16">
        <f>'[1]Tabla de Precios'!L36</f>
        <v>260.32000000208416</v>
      </c>
      <c r="K37" s="16">
        <f>'[1]Tabla de Precios'!M36</f>
        <v>120.00000000156001</v>
      </c>
      <c r="L37" s="16" t="s">
        <v>100</v>
      </c>
    </row>
    <row r="38" spans="1:12" ht="30" x14ac:dyDescent="0.25">
      <c r="A38" s="32" t="s">
        <v>101</v>
      </c>
      <c r="B38" s="17">
        <f t="shared" si="0"/>
        <v>37</v>
      </c>
      <c r="C38" s="33" t="s">
        <v>102</v>
      </c>
      <c r="D38" s="33" t="s">
        <v>23</v>
      </c>
      <c r="E38" s="33"/>
      <c r="F38" s="33" t="s">
        <v>25</v>
      </c>
      <c r="G38" s="33">
        <v>3</v>
      </c>
      <c r="H38" s="33" t="s">
        <v>26</v>
      </c>
      <c r="I38" s="18">
        <f>'[1]Tabla de Precios'!K37</f>
        <v>583.33333409166653</v>
      </c>
      <c r="J38" s="18">
        <f>'[1]Tabla de Precios'!L37</f>
        <v>1035.2000012157598</v>
      </c>
      <c r="K38" s="18">
        <f>'[1]Tabla de Precios'!M37</f>
        <v>700.00000090999981</v>
      </c>
      <c r="L38" s="18"/>
    </row>
    <row r="39" spans="1:12" ht="60" x14ac:dyDescent="0.25">
      <c r="A39" s="30" t="s">
        <v>103</v>
      </c>
      <c r="B39" s="4">
        <f t="shared" si="0"/>
        <v>38</v>
      </c>
      <c r="C39" s="31" t="s">
        <v>104</v>
      </c>
      <c r="D39" s="31" t="s">
        <v>23</v>
      </c>
      <c r="E39" s="31"/>
      <c r="F39" s="31" t="s">
        <v>25</v>
      </c>
      <c r="G39" s="31">
        <v>20</v>
      </c>
      <c r="H39" s="31" t="s">
        <v>32</v>
      </c>
      <c r="I39" s="16">
        <f>'[1]Tabla de Precios'!K38</f>
        <v>625.00000081250005</v>
      </c>
      <c r="J39" s="16">
        <f>'[1]Tabla de Precios'!L38</f>
        <v>1102.0000013026001</v>
      </c>
      <c r="K39" s="16">
        <f>'[1]Tabla de Precios'!M38</f>
        <v>750.00000097500003</v>
      </c>
      <c r="L39" s="16"/>
    </row>
    <row r="40" spans="1:12" ht="30" x14ac:dyDescent="0.25">
      <c r="A40" s="32" t="s">
        <v>105</v>
      </c>
      <c r="B40" s="17">
        <f t="shared" si="0"/>
        <v>39</v>
      </c>
      <c r="C40" s="33" t="s">
        <v>106</v>
      </c>
      <c r="D40" s="33" t="s">
        <v>23</v>
      </c>
      <c r="E40" s="33"/>
      <c r="F40" s="33" t="s">
        <v>25</v>
      </c>
      <c r="G40" s="33">
        <v>0</v>
      </c>
      <c r="H40" s="33" t="s">
        <v>32</v>
      </c>
      <c r="I40" s="18">
        <f>'[1]Tabla de Precios'!K39</f>
        <v>1083.3333347416667</v>
      </c>
      <c r="J40" s="18">
        <f>'[1]Tabla de Precios'!L39</f>
        <v>1836.8000022578401</v>
      </c>
      <c r="K40" s="18">
        <f>'[1]Tabla de Precios'!M39</f>
        <v>1300.0000016900001</v>
      </c>
      <c r="L40" s="18"/>
    </row>
    <row r="41" spans="1:12" x14ac:dyDescent="0.25">
      <c r="A41" s="30" t="s">
        <v>107</v>
      </c>
      <c r="B41" s="4">
        <f t="shared" si="0"/>
        <v>40</v>
      </c>
      <c r="C41" s="31" t="s">
        <v>108</v>
      </c>
      <c r="D41" s="31" t="s">
        <v>23</v>
      </c>
      <c r="E41" s="31"/>
      <c r="F41" s="31" t="s">
        <v>25</v>
      </c>
      <c r="G41" s="31">
        <v>2</v>
      </c>
      <c r="H41" s="31" t="s">
        <v>26</v>
      </c>
      <c r="I41" s="16">
        <f>'[1]Tabla de Precios'!K40</f>
        <v>625.00000081250005</v>
      </c>
      <c r="J41" s="16">
        <f>'[1]Tabla de Precios'!L40</f>
        <v>1102.0000013026001</v>
      </c>
      <c r="K41" s="16">
        <f>'[1]Tabla de Precios'!M40</f>
        <v>750.00000097500003</v>
      </c>
      <c r="L41" s="16"/>
    </row>
    <row r="42" spans="1:12" ht="30" x14ac:dyDescent="0.25">
      <c r="A42" s="32" t="s">
        <v>109</v>
      </c>
      <c r="B42" s="17">
        <f t="shared" si="0"/>
        <v>41</v>
      </c>
      <c r="C42" s="33" t="s">
        <v>110</v>
      </c>
      <c r="D42" s="33" t="s">
        <v>23</v>
      </c>
      <c r="E42" s="33"/>
      <c r="F42" s="33" t="s">
        <v>25</v>
      </c>
      <c r="G42" s="33">
        <v>13</v>
      </c>
      <c r="H42" s="33" t="s">
        <v>26</v>
      </c>
      <c r="I42" s="18">
        <f>'[1]Tabla de Precios'!K41</f>
        <v>574.16666741308336</v>
      </c>
      <c r="J42" s="18">
        <f>'[1]Tabla de Precios'!L41</f>
        <v>1020.5040011966553</v>
      </c>
      <c r="K42" s="18">
        <f>'[1]Tabla de Precios'!M41</f>
        <v>689.00000089570005</v>
      </c>
      <c r="L42" s="18"/>
    </row>
    <row r="43" spans="1:12" x14ac:dyDescent="0.25">
      <c r="A43" s="30" t="s">
        <v>111</v>
      </c>
      <c r="B43" s="4">
        <f t="shared" si="0"/>
        <v>42</v>
      </c>
      <c r="C43" s="31" t="s">
        <v>112</v>
      </c>
      <c r="D43" s="31" t="s">
        <v>23</v>
      </c>
      <c r="E43" s="31"/>
      <c r="F43" s="31" t="s">
        <v>25</v>
      </c>
      <c r="G43" s="31">
        <v>0</v>
      </c>
      <c r="H43" s="31" t="s">
        <v>26</v>
      </c>
      <c r="I43" s="16">
        <f>'[1]Tabla de Precios'!K42</f>
        <v>541.66666737083335</v>
      </c>
      <c r="J43" s="16">
        <f>'[1]Tabla de Precios'!L42</f>
        <v>968.40000112892005</v>
      </c>
      <c r="K43" s="16">
        <f>'[1]Tabla de Precios'!M42</f>
        <v>650.00000084500005</v>
      </c>
      <c r="L43" s="16"/>
    </row>
    <row r="44" spans="1:12" x14ac:dyDescent="0.25">
      <c r="A44" s="32" t="s">
        <v>113</v>
      </c>
      <c r="B44" s="17">
        <f t="shared" si="0"/>
        <v>43</v>
      </c>
      <c r="C44" s="33" t="s">
        <v>114</v>
      </c>
      <c r="D44" s="33" t="s">
        <v>23</v>
      </c>
      <c r="E44" s="33"/>
      <c r="F44" s="33" t="s">
        <v>25</v>
      </c>
      <c r="G44" s="33">
        <v>0</v>
      </c>
      <c r="H44" s="33" t="s">
        <v>26</v>
      </c>
      <c r="I44" s="18">
        <f>'[1]Tabla de Precios'!K43</f>
        <v>1069.98000053499</v>
      </c>
      <c r="J44" s="18">
        <f>'[1]Tabla de Precios'!L43</f>
        <v>1815.3919368576962</v>
      </c>
      <c r="K44" s="18">
        <f>'[1]Tabla de Precios'!M43</f>
        <v>1283.9760006419881</v>
      </c>
      <c r="L44" s="18" t="s">
        <v>115</v>
      </c>
    </row>
    <row r="45" spans="1:12" x14ac:dyDescent="0.25">
      <c r="A45" s="30" t="s">
        <v>116</v>
      </c>
      <c r="B45" s="4">
        <f t="shared" si="0"/>
        <v>44</v>
      </c>
      <c r="C45" s="31" t="s">
        <v>117</v>
      </c>
      <c r="D45" s="31" t="s">
        <v>23</v>
      </c>
      <c r="E45" s="31"/>
      <c r="F45" s="31" t="s">
        <v>25</v>
      </c>
      <c r="G45" s="31">
        <v>1</v>
      </c>
      <c r="H45" s="31" t="s">
        <v>32</v>
      </c>
      <c r="I45" s="16">
        <f>'[1]Tabla de Precios'!K44</f>
        <v>20383.372035398228</v>
      </c>
      <c r="J45" s="16">
        <f>'[1]Tabla de Precios'!L44</f>
        <v>32778.622047150435</v>
      </c>
      <c r="K45" s="16">
        <f>'[1]Tabla de Precios'!M44</f>
        <v>24460.046442477873</v>
      </c>
      <c r="L45" s="16"/>
    </row>
    <row r="46" spans="1:12" x14ac:dyDescent="0.25">
      <c r="A46" s="32" t="s">
        <v>118</v>
      </c>
      <c r="B46" s="17">
        <f t="shared" si="0"/>
        <v>45</v>
      </c>
      <c r="C46" s="33" t="s">
        <v>119</v>
      </c>
      <c r="D46" s="33" t="s">
        <v>23</v>
      </c>
      <c r="E46" s="33"/>
      <c r="F46" s="33" t="s">
        <v>25</v>
      </c>
      <c r="G46" s="33">
        <v>1</v>
      </c>
      <c r="H46" s="33" t="s">
        <v>32</v>
      </c>
      <c r="I46" s="18">
        <f>'[1]Tabla de Precios'!K45</f>
        <v>0</v>
      </c>
      <c r="J46" s="18">
        <f>'[1]Tabla de Precios'!L45</f>
        <v>100</v>
      </c>
      <c r="K46" s="18">
        <f>'[1]Tabla de Precios'!M45</f>
        <v>0</v>
      </c>
      <c r="L46" s="18" t="s">
        <v>120</v>
      </c>
    </row>
    <row r="47" spans="1:12" ht="45" x14ac:dyDescent="0.25">
      <c r="A47" s="30" t="s">
        <v>121</v>
      </c>
      <c r="B47" s="4">
        <f t="shared" si="0"/>
        <v>46</v>
      </c>
      <c r="C47" s="31" t="s">
        <v>122</v>
      </c>
      <c r="D47" s="31" t="s">
        <v>23</v>
      </c>
      <c r="E47" s="31"/>
      <c r="F47" s="31" t="s">
        <v>25</v>
      </c>
      <c r="G47" s="31">
        <v>16</v>
      </c>
      <c r="H47" s="31" t="s">
        <v>26</v>
      </c>
      <c r="I47" s="16">
        <f>'[1]Tabla de Precios'!K46</f>
        <v>341.87000017093499</v>
      </c>
      <c r="J47" s="16">
        <f>'[1]Tabla de Precios'!L46</f>
        <v>648.08598427404297</v>
      </c>
      <c r="K47" s="16">
        <f>'[1]Tabla de Precios'!M46</f>
        <v>410.24400020512201</v>
      </c>
      <c r="L47" s="16" t="s">
        <v>123</v>
      </c>
    </row>
    <row r="48" spans="1:12" x14ac:dyDescent="0.25">
      <c r="A48" s="32" t="s">
        <v>124</v>
      </c>
      <c r="B48" s="17">
        <f t="shared" si="0"/>
        <v>47</v>
      </c>
      <c r="C48" s="33" t="s">
        <v>125</v>
      </c>
      <c r="D48" s="33" t="s">
        <v>23</v>
      </c>
      <c r="E48" s="33"/>
      <c r="F48" s="33" t="s">
        <v>25</v>
      </c>
      <c r="G48" s="33">
        <v>0</v>
      </c>
      <c r="H48" s="33" t="s">
        <v>26</v>
      </c>
      <c r="I48" s="18">
        <f>'[1]Tabla de Precios'!K47</f>
        <v>78.210000000000008</v>
      </c>
      <c r="J48" s="18">
        <f>'[1]Tabla de Precios'!L47</f>
        <v>225.38627200000002</v>
      </c>
      <c r="K48" s="18">
        <f>'[1]Tabla de Precios'!M47</f>
        <v>93.852000000000004</v>
      </c>
      <c r="L48" s="18"/>
    </row>
    <row r="49" spans="1:12" ht="30" x14ac:dyDescent="0.25">
      <c r="A49" s="30" t="s">
        <v>126</v>
      </c>
      <c r="B49" s="4">
        <f t="shared" si="0"/>
        <v>48</v>
      </c>
      <c r="C49" s="31" t="s">
        <v>127</v>
      </c>
      <c r="D49" s="31" t="s">
        <v>23</v>
      </c>
      <c r="E49" s="31"/>
      <c r="F49" s="31" t="s">
        <v>25</v>
      </c>
      <c r="G49" s="31">
        <v>4</v>
      </c>
      <c r="H49" s="31" t="s">
        <v>70</v>
      </c>
      <c r="I49" s="16">
        <f>'[1]Tabla de Precios'!K48</f>
        <v>587.27000029363501</v>
      </c>
      <c r="J49" s="16">
        <f>'[1]Tabla de Precios'!L48</f>
        <v>1041.5112644707556</v>
      </c>
      <c r="K49" s="16">
        <f>'[1]Tabla de Precios'!M48</f>
        <v>704.72400035236205</v>
      </c>
      <c r="L49" s="16"/>
    </row>
    <row r="50" spans="1:12" ht="30" x14ac:dyDescent="0.25">
      <c r="A50" s="32" t="s">
        <v>128</v>
      </c>
      <c r="B50" s="17">
        <f t="shared" si="0"/>
        <v>49</v>
      </c>
      <c r="C50" s="33" t="s">
        <v>129</v>
      </c>
      <c r="D50" s="33" t="s">
        <v>23</v>
      </c>
      <c r="E50" s="33"/>
      <c r="F50" s="33" t="s">
        <v>25</v>
      </c>
      <c r="G50" s="33">
        <v>44</v>
      </c>
      <c r="H50" s="33" t="s">
        <v>32</v>
      </c>
      <c r="I50" s="18">
        <f>'[1]Tabla de Precios'!K49</f>
        <v>151.785</v>
      </c>
      <c r="J50" s="18">
        <f>'[1]Tabla de Precios'!L49</f>
        <v>343.34171200000003</v>
      </c>
      <c r="K50" s="18">
        <f>'[1]Tabla de Precios'!M49</f>
        <v>182.142</v>
      </c>
      <c r="L50" s="18"/>
    </row>
    <row r="51" spans="1:12" x14ac:dyDescent="0.25">
      <c r="A51" s="30" t="s">
        <v>130</v>
      </c>
      <c r="B51" s="4">
        <f t="shared" si="0"/>
        <v>50</v>
      </c>
      <c r="C51" s="31" t="s">
        <v>131</v>
      </c>
      <c r="D51" s="31" t="s">
        <v>23</v>
      </c>
      <c r="E51" s="31"/>
      <c r="F51" s="31" t="s">
        <v>25</v>
      </c>
      <c r="G51" s="31">
        <v>0</v>
      </c>
      <c r="H51" s="31" t="s">
        <v>26</v>
      </c>
      <c r="I51" s="16">
        <f>'[1]Tabla de Precios'!K50</f>
        <v>1083.3250014083224</v>
      </c>
      <c r="J51" s="16">
        <f>'[1]Tabla de Precios'!L50</f>
        <v>1836.7866422578227</v>
      </c>
      <c r="K51" s="16">
        <f>'[1]Tabla de Precios'!M50</f>
        <v>1299.9900016899869</v>
      </c>
      <c r="L51" s="16" t="s">
        <v>132</v>
      </c>
    </row>
    <row r="52" spans="1:12" x14ac:dyDescent="0.25">
      <c r="A52" s="32" t="s">
        <v>133</v>
      </c>
      <c r="B52" s="17">
        <f t="shared" si="0"/>
        <v>51</v>
      </c>
      <c r="C52" s="33" t="s">
        <v>134</v>
      </c>
      <c r="D52" s="33" t="s">
        <v>23</v>
      </c>
      <c r="E52" s="33"/>
      <c r="F52" s="33" t="s">
        <v>25</v>
      </c>
      <c r="G52" s="33">
        <v>1</v>
      </c>
      <c r="H52" s="33" t="s">
        <v>26</v>
      </c>
      <c r="I52" s="18">
        <f>'[1]Tabla de Precios'!K51</f>
        <v>306.95999999999998</v>
      </c>
      <c r="J52" s="18">
        <f>'[1]Tabla de Precios'!L51</f>
        <v>592.11827199999993</v>
      </c>
      <c r="K52" s="18">
        <f>'[1]Tabla de Precios'!M51</f>
        <v>368.35199999999998</v>
      </c>
      <c r="L52" s="18"/>
    </row>
    <row r="53" spans="1:12" ht="30" x14ac:dyDescent="0.25">
      <c r="A53" s="30" t="s">
        <v>135</v>
      </c>
      <c r="B53" s="4">
        <f t="shared" si="0"/>
        <v>52</v>
      </c>
      <c r="C53" s="31" t="s">
        <v>136</v>
      </c>
      <c r="D53" s="31" t="s">
        <v>23</v>
      </c>
      <c r="E53" s="31"/>
      <c r="F53" s="31" t="s">
        <v>25</v>
      </c>
      <c r="G53" s="31">
        <v>4</v>
      </c>
      <c r="H53" s="31" t="s">
        <v>26</v>
      </c>
      <c r="I53" s="16">
        <f>'[1]Tabla de Precios'!K52</f>
        <v>600.00000078000005</v>
      </c>
      <c r="J53" s="16">
        <f>'[1]Tabla de Precios'!L52</f>
        <v>1061.9200012504962</v>
      </c>
      <c r="K53" s="16">
        <f>'[1]Tabla de Precios'!M52</f>
        <v>720.00000093600011</v>
      </c>
      <c r="L53" s="16" t="s">
        <v>137</v>
      </c>
    </row>
    <row r="54" spans="1:12" ht="30" x14ac:dyDescent="0.25">
      <c r="A54" s="32" t="s">
        <v>138</v>
      </c>
      <c r="B54" s="17">
        <f t="shared" si="0"/>
        <v>53</v>
      </c>
      <c r="C54" s="33" t="s">
        <v>139</v>
      </c>
      <c r="D54" s="33" t="s">
        <v>23</v>
      </c>
      <c r="E54" s="33"/>
      <c r="F54" s="33" t="s">
        <v>25</v>
      </c>
      <c r="G54" s="33">
        <v>3</v>
      </c>
      <c r="H54" s="33" t="s">
        <v>26</v>
      </c>
      <c r="I54" s="18">
        <f>'[1]Tabla de Precios'!K53</f>
        <v>432.46500000000003</v>
      </c>
      <c r="J54" s="18">
        <f>'[1]Tabla de Precios'!L53</f>
        <v>793.32788800000014</v>
      </c>
      <c r="K54" s="18">
        <f>'[1]Tabla de Precios'!M53</f>
        <v>518.95800000000008</v>
      </c>
      <c r="L54" s="18" t="s">
        <v>137</v>
      </c>
    </row>
    <row r="55" spans="1:12" ht="30" x14ac:dyDescent="0.25">
      <c r="A55" s="30" t="s">
        <v>140</v>
      </c>
      <c r="B55" s="4">
        <f t="shared" si="0"/>
        <v>54</v>
      </c>
      <c r="C55" s="31" t="s">
        <v>141</v>
      </c>
      <c r="D55" s="31" t="s">
        <v>23</v>
      </c>
      <c r="E55" s="31"/>
      <c r="F55" s="31" t="s">
        <v>25</v>
      </c>
      <c r="G55" s="31">
        <v>3</v>
      </c>
      <c r="H55" s="31" t="s">
        <v>32</v>
      </c>
      <c r="I55" s="16">
        <f>'[1]Tabla de Precios'!K54</f>
        <v>2358.3333363991669</v>
      </c>
      <c r="J55" s="16">
        <f>'[1]Tabla de Precios'!L54</f>
        <v>3880.8800049151441</v>
      </c>
      <c r="K55" s="16">
        <f>'[1]Tabla de Precios'!M54</f>
        <v>2830.0000036790002</v>
      </c>
      <c r="L55" s="16" t="s">
        <v>142</v>
      </c>
    </row>
    <row r="56" spans="1:12" ht="30" x14ac:dyDescent="0.25">
      <c r="A56" s="32" t="s">
        <v>143</v>
      </c>
      <c r="B56" s="17">
        <f t="shared" si="0"/>
        <v>55</v>
      </c>
      <c r="C56" s="33" t="s">
        <v>144</v>
      </c>
      <c r="D56" s="33" t="s">
        <v>23</v>
      </c>
      <c r="E56" s="33"/>
      <c r="F56" s="33" t="s">
        <v>25</v>
      </c>
      <c r="G56" s="33">
        <v>1</v>
      </c>
      <c r="H56" s="33" t="s">
        <v>32</v>
      </c>
      <c r="I56" s="18">
        <f>'[1]Tabla de Precios'!K55</f>
        <v>2583.3333366916668</v>
      </c>
      <c r="J56" s="18">
        <f>'[1]Tabla de Precios'!L55</f>
        <v>4241.6000053840799</v>
      </c>
      <c r="K56" s="18">
        <f>'[1]Tabla de Precios'!M55</f>
        <v>3100.0000040300001</v>
      </c>
      <c r="L56" s="18" t="s">
        <v>142</v>
      </c>
    </row>
    <row r="57" spans="1:12" ht="30" x14ac:dyDescent="0.25">
      <c r="A57" s="30" t="s">
        <v>145</v>
      </c>
      <c r="B57" s="4">
        <f t="shared" si="0"/>
        <v>56</v>
      </c>
      <c r="C57" s="31" t="s">
        <v>146</v>
      </c>
      <c r="D57" s="31" t="s">
        <v>23</v>
      </c>
      <c r="E57" s="31"/>
      <c r="F57" s="31" t="s">
        <v>25</v>
      </c>
      <c r="G57" s="31">
        <v>4</v>
      </c>
      <c r="H57" s="31" t="s">
        <v>26</v>
      </c>
      <c r="I57" s="16">
        <f>'[1]Tabla de Precios'!K56</f>
        <v>676.80000033839997</v>
      </c>
      <c r="J57" s="16">
        <f>'[1]Tabla de Precios'!L56</f>
        <v>1185.0457605425227</v>
      </c>
      <c r="K57" s="16">
        <f>'[1]Tabla de Precios'!M56</f>
        <v>812.16000040607992</v>
      </c>
      <c r="L57" s="16" t="s">
        <v>147</v>
      </c>
    </row>
    <row r="58" spans="1:12" ht="45" x14ac:dyDescent="0.25">
      <c r="A58" s="32" t="s">
        <v>148</v>
      </c>
      <c r="B58" s="17">
        <f t="shared" si="0"/>
        <v>57</v>
      </c>
      <c r="C58" s="33" t="s">
        <v>149</v>
      </c>
      <c r="D58" s="33" t="s">
        <v>23</v>
      </c>
      <c r="E58" s="33"/>
      <c r="F58" s="33" t="s">
        <v>25</v>
      </c>
      <c r="G58" s="33">
        <v>1</v>
      </c>
      <c r="H58" s="33" t="s">
        <v>26</v>
      </c>
      <c r="I58" s="18">
        <f>'[1]Tabla de Precios'!K57</f>
        <v>676.80000033839997</v>
      </c>
      <c r="J58" s="18">
        <f>'[1]Tabla de Precios'!L57</f>
        <v>1185.0457605425227</v>
      </c>
      <c r="K58" s="18">
        <f>'[1]Tabla de Precios'!M57</f>
        <v>812.16000040607992</v>
      </c>
      <c r="L58" s="18" t="s">
        <v>150</v>
      </c>
    </row>
    <row r="59" spans="1:12" ht="30" x14ac:dyDescent="0.25">
      <c r="A59" s="30" t="s">
        <v>151</v>
      </c>
      <c r="B59" s="4">
        <f t="shared" si="0"/>
        <v>58</v>
      </c>
      <c r="C59" s="31" t="s">
        <v>152</v>
      </c>
      <c r="D59" s="31" t="s">
        <v>23</v>
      </c>
      <c r="E59" s="31"/>
      <c r="F59" s="31" t="s">
        <v>25</v>
      </c>
      <c r="G59" s="31">
        <v>0</v>
      </c>
      <c r="H59" s="31" t="s">
        <v>26</v>
      </c>
      <c r="I59" s="16">
        <f>'[1]Tabla de Precios'!K58</f>
        <v>3300.0000016500003</v>
      </c>
      <c r="J59" s="16">
        <f>'[1]Tabla de Precios'!L58</f>
        <v>5390.5600026452812</v>
      </c>
      <c r="K59" s="16">
        <f>'[1]Tabla de Precios'!M58</f>
        <v>3960.0000019800004</v>
      </c>
      <c r="L59" s="16" t="s">
        <v>153</v>
      </c>
    </row>
    <row r="60" spans="1:12" ht="45" x14ac:dyDescent="0.25">
      <c r="A60" s="32" t="s">
        <v>154</v>
      </c>
      <c r="B60" s="17">
        <f t="shared" si="0"/>
        <v>59</v>
      </c>
      <c r="C60" s="33" t="s">
        <v>155</v>
      </c>
      <c r="D60" s="33" t="s">
        <v>23</v>
      </c>
      <c r="E60" s="33"/>
      <c r="F60" s="33" t="s">
        <v>25</v>
      </c>
      <c r="G60" s="33">
        <v>0</v>
      </c>
      <c r="H60" s="33" t="s">
        <v>26</v>
      </c>
      <c r="I60" s="18">
        <f>'[1]Tabla de Precios'!K59</f>
        <v>564.56999999999994</v>
      </c>
      <c r="J60" s="18">
        <f>'[1]Tabla de Precios'!L59</f>
        <v>1005.118624</v>
      </c>
      <c r="K60" s="18">
        <f>'[1]Tabla de Precios'!M59</f>
        <v>677.48399999999992</v>
      </c>
      <c r="L60" s="18" t="s">
        <v>156</v>
      </c>
    </row>
    <row r="61" spans="1:12" x14ac:dyDescent="0.25">
      <c r="A61" s="30" t="s">
        <v>157</v>
      </c>
      <c r="B61" s="4">
        <f t="shared" si="0"/>
        <v>60</v>
      </c>
      <c r="C61" s="31" t="s">
        <v>158</v>
      </c>
      <c r="D61" s="31" t="s">
        <v>23</v>
      </c>
      <c r="E61" s="31"/>
      <c r="F61" s="31" t="s">
        <v>25</v>
      </c>
      <c r="G61" s="31">
        <v>0</v>
      </c>
      <c r="H61" s="31" t="s">
        <v>26</v>
      </c>
      <c r="I61" s="16">
        <f>'[1]Tabla de Precios'!K60</f>
        <v>410.25641066666662</v>
      </c>
      <c r="J61" s="16">
        <f>'[1]Tabla de Precios'!L60</f>
        <v>757.7230775807999</v>
      </c>
      <c r="K61" s="16">
        <f>'[1]Tabla de Precios'!M60</f>
        <v>492.30769279999993</v>
      </c>
      <c r="L61" s="16"/>
    </row>
    <row r="62" spans="1:12" x14ac:dyDescent="0.25">
      <c r="A62" s="32" t="s">
        <v>159</v>
      </c>
      <c r="B62" s="17">
        <f t="shared" si="0"/>
        <v>61</v>
      </c>
      <c r="C62" s="33" t="s">
        <v>160</v>
      </c>
      <c r="D62" s="33" t="s">
        <v>23</v>
      </c>
      <c r="E62" s="33"/>
      <c r="F62" s="33" t="s">
        <v>25</v>
      </c>
      <c r="G62" s="33">
        <v>4</v>
      </c>
      <c r="H62" s="33" t="s">
        <v>26</v>
      </c>
      <c r="I62" s="18">
        <f>'[1]Tabla de Precios'!K61</f>
        <v>141.27000000000001</v>
      </c>
      <c r="J62" s="18">
        <f>'[1]Tabla de Precios'!L61</f>
        <v>326.48406399999999</v>
      </c>
      <c r="K62" s="18">
        <f>'[1]Tabla de Precios'!M61</f>
        <v>169.524</v>
      </c>
      <c r="L62" s="18"/>
    </row>
    <row r="63" spans="1:12" ht="45" x14ac:dyDescent="0.25">
      <c r="A63" s="30" t="s">
        <v>161</v>
      </c>
      <c r="B63" s="4">
        <f t="shared" si="0"/>
        <v>62</v>
      </c>
      <c r="C63" s="31" t="s">
        <v>162</v>
      </c>
      <c r="D63" s="31" t="s">
        <v>23</v>
      </c>
      <c r="E63" s="31"/>
      <c r="F63" s="31" t="s">
        <v>25</v>
      </c>
      <c r="G63" s="31">
        <v>2</v>
      </c>
      <c r="H63" s="31" t="s">
        <v>70</v>
      </c>
      <c r="I63" s="16">
        <f>'[1]Tabla de Precios'!K62</f>
        <v>719.45000035972498</v>
      </c>
      <c r="J63" s="16">
        <f>'[1]Tabla de Precios'!L62</f>
        <v>1253.4222405767111</v>
      </c>
      <c r="K63" s="16">
        <f>'[1]Tabla de Precios'!M62</f>
        <v>863.34000043166998</v>
      </c>
      <c r="L63" s="16" t="s">
        <v>163</v>
      </c>
    </row>
    <row r="64" spans="1:12" x14ac:dyDescent="0.25">
      <c r="A64" s="32" t="s">
        <v>164</v>
      </c>
      <c r="B64" s="17">
        <f t="shared" si="0"/>
        <v>63</v>
      </c>
      <c r="C64" s="33" t="s">
        <v>165</v>
      </c>
      <c r="D64" s="33" t="s">
        <v>23</v>
      </c>
      <c r="E64" s="33"/>
      <c r="F64" s="33" t="s">
        <v>25</v>
      </c>
      <c r="G64" s="33">
        <v>1</v>
      </c>
      <c r="H64" s="33" t="s">
        <v>26</v>
      </c>
      <c r="I64" s="18">
        <f>'[1]Tabla de Precios'!K63</f>
        <v>476.98500000000001</v>
      </c>
      <c r="J64" s="18">
        <f>'[1]Tabla de Precios'!L63</f>
        <v>864.70235200000013</v>
      </c>
      <c r="K64" s="18">
        <f>'[1]Tabla de Precios'!M63</f>
        <v>572.38200000000006</v>
      </c>
      <c r="L64" s="18"/>
    </row>
    <row r="65" spans="1:12" ht="30" x14ac:dyDescent="0.25">
      <c r="A65" s="30" t="s">
        <v>166</v>
      </c>
      <c r="B65" s="4">
        <f t="shared" si="0"/>
        <v>64</v>
      </c>
      <c r="C65" s="31" t="s">
        <v>167</v>
      </c>
      <c r="D65" s="31" t="s">
        <v>23</v>
      </c>
      <c r="E65" s="31"/>
      <c r="F65" s="31" t="s">
        <v>25</v>
      </c>
      <c r="G65" s="31">
        <v>0</v>
      </c>
      <c r="H65" s="31" t="s">
        <v>32</v>
      </c>
      <c r="I65" s="16">
        <f>'[1]Tabla de Precios'!K64</f>
        <v>0</v>
      </c>
      <c r="J65" s="16">
        <f>'[1]Tabla de Precios'!L64</f>
        <v>100</v>
      </c>
      <c r="K65" s="16">
        <f>'[1]Tabla de Precios'!M64</f>
        <v>0</v>
      </c>
      <c r="L65" s="16"/>
    </row>
    <row r="66" spans="1:12" ht="30" x14ac:dyDescent="0.25">
      <c r="A66" s="32" t="s">
        <v>168</v>
      </c>
      <c r="B66" s="17">
        <f t="shared" si="0"/>
        <v>65</v>
      </c>
      <c r="C66" s="33" t="s">
        <v>169</v>
      </c>
      <c r="D66" s="33" t="s">
        <v>23</v>
      </c>
      <c r="E66" s="33"/>
      <c r="F66" s="33" t="s">
        <v>25</v>
      </c>
      <c r="G66" s="33">
        <v>0</v>
      </c>
      <c r="H66" s="33" t="s">
        <v>32</v>
      </c>
      <c r="I66" s="18">
        <f>'[1]Tabla de Precios'!K65</f>
        <v>0</v>
      </c>
      <c r="J66" s="18">
        <f>'[1]Tabla de Precios'!L65</f>
        <v>100</v>
      </c>
      <c r="K66" s="18">
        <f>'[1]Tabla de Precios'!M65</f>
        <v>0</v>
      </c>
      <c r="L66" s="18"/>
    </row>
    <row r="67" spans="1:12" ht="30" x14ac:dyDescent="0.25">
      <c r="A67" s="30" t="s">
        <v>170</v>
      </c>
      <c r="B67" s="4">
        <f t="shared" ref="B67:B130" si="1">ROW(B66)</f>
        <v>66</v>
      </c>
      <c r="C67" s="31" t="s">
        <v>171</v>
      </c>
      <c r="D67" s="31" t="s">
        <v>23</v>
      </c>
      <c r="E67" s="31"/>
      <c r="F67" s="31" t="s">
        <v>25</v>
      </c>
      <c r="G67" s="31">
        <v>3</v>
      </c>
      <c r="H67" s="31" t="s">
        <v>26</v>
      </c>
      <c r="I67" s="16">
        <f>'[1]Tabla de Precios'!K66</f>
        <v>408.33333333864169</v>
      </c>
      <c r="J67" s="16">
        <f>'[1]Tabla de Precios'!L66</f>
        <v>754.64000000851036</v>
      </c>
      <c r="K67" s="16">
        <f>'[1]Tabla de Precios'!M66</f>
        <v>490.00000000637004</v>
      </c>
      <c r="L67" s="16" t="s">
        <v>172</v>
      </c>
    </row>
    <row r="68" spans="1:12" ht="30" x14ac:dyDescent="0.25">
      <c r="A68" s="32" t="s">
        <v>173</v>
      </c>
      <c r="B68" s="17">
        <f t="shared" si="1"/>
        <v>67</v>
      </c>
      <c r="C68" s="33" t="s">
        <v>174</v>
      </c>
      <c r="D68" s="33" t="s">
        <v>23</v>
      </c>
      <c r="E68" s="33"/>
      <c r="F68" s="33" t="s">
        <v>25</v>
      </c>
      <c r="G68" s="33">
        <v>0</v>
      </c>
      <c r="H68" s="33" t="s">
        <v>26</v>
      </c>
      <c r="I68" s="18">
        <f>'[1]Tabla de Precios'!K67</f>
        <v>879.4900004397449</v>
      </c>
      <c r="J68" s="18">
        <f>'[1]Tabla de Precios'!L67</f>
        <v>1509.9983687049992</v>
      </c>
      <c r="K68" s="18">
        <f>'[1]Tabla de Precios'!M67</f>
        <v>1055.388000527694</v>
      </c>
      <c r="L68" s="18" t="s">
        <v>175</v>
      </c>
    </row>
    <row r="69" spans="1:12" ht="30" x14ac:dyDescent="0.25">
      <c r="A69" s="30" t="s">
        <v>176</v>
      </c>
      <c r="B69" s="4">
        <f t="shared" si="1"/>
        <v>68</v>
      </c>
      <c r="C69" s="31" t="s">
        <v>177</v>
      </c>
      <c r="D69" s="31" t="s">
        <v>23</v>
      </c>
      <c r="E69" s="31"/>
      <c r="F69" s="31" t="s">
        <v>25</v>
      </c>
      <c r="G69" s="31">
        <v>14</v>
      </c>
      <c r="H69" s="31" t="s">
        <v>26</v>
      </c>
      <c r="I69" s="16">
        <f>'[1]Tabla de Precios'!K68</f>
        <v>421.65668663023553</v>
      </c>
      <c r="J69" s="16">
        <f>'[1]Tabla de Precios'!L68</f>
        <v>776.00000000559362</v>
      </c>
      <c r="K69" s="16">
        <f>'[1]Tabla de Precios'!M68</f>
        <v>505.98802395628263</v>
      </c>
      <c r="L69" s="16" t="s">
        <v>178</v>
      </c>
    </row>
    <row r="70" spans="1:12" ht="45" x14ac:dyDescent="0.25">
      <c r="A70" s="32" t="s">
        <v>179</v>
      </c>
      <c r="B70" s="17">
        <f t="shared" si="1"/>
        <v>69</v>
      </c>
      <c r="C70" s="33" t="s">
        <v>180</v>
      </c>
      <c r="D70" s="33" t="s">
        <v>23</v>
      </c>
      <c r="E70" s="33"/>
      <c r="F70" s="33" t="s">
        <v>25</v>
      </c>
      <c r="G70" s="33">
        <v>12</v>
      </c>
      <c r="H70" s="33" t="s">
        <v>26</v>
      </c>
      <c r="I70" s="18">
        <f>'[1]Tabla de Precios'!K69</f>
        <v>598.78499999999997</v>
      </c>
      <c r="J70" s="18">
        <f>'[1]Tabla de Precios'!L69</f>
        <v>1059.9721119999999</v>
      </c>
      <c r="K70" s="18">
        <f>'[1]Tabla de Precios'!M69</f>
        <v>718.54199999999992</v>
      </c>
      <c r="L70" s="18"/>
    </row>
    <row r="71" spans="1:12" ht="30" x14ac:dyDescent="0.25">
      <c r="A71" s="30" t="s">
        <v>181</v>
      </c>
      <c r="B71" s="4">
        <f t="shared" si="1"/>
        <v>70</v>
      </c>
      <c r="C71" s="31" t="s">
        <v>182</v>
      </c>
      <c r="D71" s="31" t="s">
        <v>23</v>
      </c>
      <c r="E71" s="31"/>
      <c r="F71" s="31" t="s">
        <v>25</v>
      </c>
      <c r="G71" s="31">
        <v>0</v>
      </c>
      <c r="H71" s="31" t="s">
        <v>70</v>
      </c>
      <c r="I71" s="16">
        <f>'[1]Tabla de Precios'!K70</f>
        <v>208.33333333604165</v>
      </c>
      <c r="J71" s="16">
        <f>'[1]Tabla de Precios'!L70</f>
        <v>434.00000000434193</v>
      </c>
      <c r="K71" s="16">
        <f>'[1]Tabla de Precios'!M70</f>
        <v>250.00000000324997</v>
      </c>
      <c r="L71" s="16" t="s">
        <v>183</v>
      </c>
    </row>
    <row r="72" spans="1:12" ht="30" x14ac:dyDescent="0.25">
      <c r="A72" s="32" t="s">
        <v>184</v>
      </c>
      <c r="B72" s="17">
        <f t="shared" si="1"/>
        <v>71</v>
      </c>
      <c r="C72" s="33" t="s">
        <v>185</v>
      </c>
      <c r="D72" s="33" t="s">
        <v>23</v>
      </c>
      <c r="E72" s="33"/>
      <c r="F72" s="33" t="s">
        <v>25</v>
      </c>
      <c r="G72" s="33">
        <v>14</v>
      </c>
      <c r="H72" s="33" t="s">
        <v>26</v>
      </c>
      <c r="I72" s="18">
        <f>'[1]Tabla de Precios'!K71</f>
        <v>208.33333333604165</v>
      </c>
      <c r="J72" s="18">
        <f>'[1]Tabla de Precios'!L71</f>
        <v>434.00000000434193</v>
      </c>
      <c r="K72" s="18">
        <f>'[1]Tabla de Precios'!M71</f>
        <v>250.00000000324997</v>
      </c>
      <c r="L72" s="18"/>
    </row>
    <row r="73" spans="1:12" ht="30" x14ac:dyDescent="0.25">
      <c r="A73" s="30" t="s">
        <v>186</v>
      </c>
      <c r="B73" s="4">
        <f t="shared" si="1"/>
        <v>72</v>
      </c>
      <c r="C73" s="31" t="s">
        <v>187</v>
      </c>
      <c r="D73" s="31" t="s">
        <v>23</v>
      </c>
      <c r="E73" s="31"/>
      <c r="F73" s="31" t="s">
        <v>25</v>
      </c>
      <c r="G73" s="31">
        <v>2</v>
      </c>
      <c r="H73" s="31" t="s">
        <v>26</v>
      </c>
      <c r="I73" s="16">
        <f>'[1]Tabla de Precios'!K72</f>
        <v>533.530000266765</v>
      </c>
      <c r="J73" s="16">
        <f>'[1]Tabla de Precios'!L72</f>
        <v>955.35529642767767</v>
      </c>
      <c r="K73" s="16">
        <f>'[1]Tabla de Precios'!M72</f>
        <v>640.23600032011802</v>
      </c>
      <c r="L73" s="16"/>
    </row>
    <row r="74" spans="1:12" x14ac:dyDescent="0.25">
      <c r="A74" s="32" t="s">
        <v>188</v>
      </c>
      <c r="B74" s="17">
        <f t="shared" si="1"/>
        <v>73</v>
      </c>
      <c r="C74" s="33" t="s">
        <v>189</v>
      </c>
      <c r="D74" s="33" t="s">
        <v>23</v>
      </c>
      <c r="E74" s="33"/>
      <c r="F74" s="33" t="s">
        <v>25</v>
      </c>
      <c r="G74" s="33">
        <v>2</v>
      </c>
      <c r="H74" s="33" t="s">
        <v>26</v>
      </c>
      <c r="I74" s="18">
        <f>'[1]Tabla de Precios'!K73</f>
        <v>192</v>
      </c>
      <c r="J74" s="18">
        <f>'[1]Tabla de Precios'!L73</f>
        <v>407.81439999999998</v>
      </c>
      <c r="K74" s="18">
        <f>'[1]Tabla de Precios'!M73</f>
        <v>230.4</v>
      </c>
      <c r="L74" s="18" t="s">
        <v>190</v>
      </c>
    </row>
    <row r="75" spans="1:12" ht="30" x14ac:dyDescent="0.25">
      <c r="A75" s="30" t="s">
        <v>191</v>
      </c>
      <c r="B75" s="4">
        <f t="shared" si="1"/>
        <v>74</v>
      </c>
      <c r="C75" s="31" t="s">
        <v>192</v>
      </c>
      <c r="D75" s="31" t="s">
        <v>23</v>
      </c>
      <c r="E75" s="31"/>
      <c r="F75" s="31" t="s">
        <v>25</v>
      </c>
      <c r="G75" s="31">
        <v>1</v>
      </c>
      <c r="H75" s="31" t="s">
        <v>26</v>
      </c>
      <c r="I75" s="16">
        <f>'[1]Tabla de Precios'!K74</f>
        <v>227.52</v>
      </c>
      <c r="J75" s="16">
        <f>'[1]Tabla de Precios'!L74</f>
        <v>464.760064</v>
      </c>
      <c r="K75" s="16">
        <f>'[1]Tabla de Precios'!M74</f>
        <v>273.024</v>
      </c>
      <c r="L75" s="16"/>
    </row>
    <row r="76" spans="1:12" x14ac:dyDescent="0.25">
      <c r="A76" s="32" t="s">
        <v>193</v>
      </c>
      <c r="B76" s="17">
        <f t="shared" si="1"/>
        <v>75</v>
      </c>
      <c r="C76" s="33" t="s">
        <v>194</v>
      </c>
      <c r="D76" s="33" t="s">
        <v>23</v>
      </c>
      <c r="E76" s="33"/>
      <c r="F76" s="33" t="s">
        <v>25</v>
      </c>
      <c r="G76" s="33">
        <v>0</v>
      </c>
      <c r="H76" s="33" t="s">
        <v>26</v>
      </c>
      <c r="I76" s="18">
        <f>'[1]Tabla de Precios'!K75</f>
        <v>173.73</v>
      </c>
      <c r="J76" s="18">
        <f>'[1]Tabla de Precios'!L75</f>
        <v>378.52393599999999</v>
      </c>
      <c r="K76" s="18">
        <f>'[1]Tabla de Precios'!M75</f>
        <v>208.476</v>
      </c>
      <c r="L76" s="18"/>
    </row>
    <row r="77" spans="1:12" ht="30" x14ac:dyDescent="0.25">
      <c r="A77" s="30" t="s">
        <v>195</v>
      </c>
      <c r="B77" s="4">
        <f t="shared" si="1"/>
        <v>76</v>
      </c>
      <c r="C77" s="31" t="s">
        <v>196</v>
      </c>
      <c r="D77" s="31" t="s">
        <v>23</v>
      </c>
      <c r="E77" s="31"/>
      <c r="F77" s="31" t="s">
        <v>25</v>
      </c>
      <c r="G77" s="31">
        <v>0</v>
      </c>
      <c r="H77" s="31" t="s">
        <v>26</v>
      </c>
      <c r="I77" s="16">
        <f>'[1]Tabla de Precios'!K76</f>
        <v>500.00000065</v>
      </c>
      <c r="J77" s="16">
        <f>'[1]Tabla de Precios'!L76</f>
        <v>901.60000104208007</v>
      </c>
      <c r="K77" s="16">
        <f>'[1]Tabla de Precios'!M76</f>
        <v>600.00000078000005</v>
      </c>
      <c r="L77" s="16"/>
    </row>
    <row r="78" spans="1:12" ht="30" x14ac:dyDescent="0.25">
      <c r="A78" s="32" t="s">
        <v>197</v>
      </c>
      <c r="B78" s="17">
        <f t="shared" si="1"/>
        <v>77</v>
      </c>
      <c r="C78" s="33" t="s">
        <v>198</v>
      </c>
      <c r="D78" s="33" t="s">
        <v>23</v>
      </c>
      <c r="E78" s="33"/>
      <c r="F78" s="33" t="s">
        <v>25</v>
      </c>
      <c r="G78" s="33">
        <v>3</v>
      </c>
      <c r="H78" s="33" t="s">
        <v>26</v>
      </c>
      <c r="I78" s="18">
        <f>'[1]Tabla de Precios'!K77</f>
        <v>541.66666737083335</v>
      </c>
      <c r="J78" s="18">
        <f>'[1]Tabla de Precios'!L77</f>
        <v>968.40000112892005</v>
      </c>
      <c r="K78" s="18">
        <f>'[1]Tabla de Precios'!M77</f>
        <v>650.00000084500005</v>
      </c>
      <c r="L78" s="18"/>
    </row>
    <row r="79" spans="1:12" ht="60" x14ac:dyDescent="0.25">
      <c r="A79" s="30" t="s">
        <v>199</v>
      </c>
      <c r="B79" s="4">
        <f t="shared" si="1"/>
        <v>78</v>
      </c>
      <c r="C79" s="31" t="s">
        <v>200</v>
      </c>
      <c r="D79" s="31" t="s">
        <v>23</v>
      </c>
      <c r="E79" s="31"/>
      <c r="F79" s="31" t="s">
        <v>25</v>
      </c>
      <c r="G79" s="31">
        <v>0</v>
      </c>
      <c r="H79" s="31" t="s">
        <v>26</v>
      </c>
      <c r="I79" s="16">
        <f>'[1]Tabla de Precios'!K78</f>
        <v>678.84615452499997</v>
      </c>
      <c r="J79" s="16">
        <f>'[1]Tabla de Precios'!L78</f>
        <v>1188.32615493448</v>
      </c>
      <c r="K79" s="16">
        <f>'[1]Tabla de Precios'!M78</f>
        <v>814.61538542999995</v>
      </c>
      <c r="L79" s="16"/>
    </row>
    <row r="80" spans="1:12" x14ac:dyDescent="0.25">
      <c r="A80" s="32" t="s">
        <v>201</v>
      </c>
      <c r="B80" s="17">
        <f t="shared" si="1"/>
        <v>79</v>
      </c>
      <c r="C80" s="33" t="s">
        <v>202</v>
      </c>
      <c r="D80" s="33" t="s">
        <v>23</v>
      </c>
      <c r="E80" s="33"/>
      <c r="F80" s="33" t="s">
        <v>25</v>
      </c>
      <c r="G80" s="33">
        <v>8</v>
      </c>
      <c r="H80" s="33" t="s">
        <v>26</v>
      </c>
      <c r="I80" s="18">
        <f>'[1]Tabla de Precios'!K79</f>
        <v>875.61000043780507</v>
      </c>
      <c r="J80" s="18">
        <f>'[1]Tabla de Precios'!L79</f>
        <v>1503.7779527018893</v>
      </c>
      <c r="K80" s="18">
        <f>'[1]Tabla de Precios'!M79</f>
        <v>1050.7320005253662</v>
      </c>
      <c r="L80" s="18"/>
    </row>
    <row r="81" spans="1:12" x14ac:dyDescent="0.25">
      <c r="A81" s="30" t="s">
        <v>203</v>
      </c>
      <c r="B81" s="4">
        <f t="shared" si="1"/>
        <v>80</v>
      </c>
      <c r="C81" s="31" t="s">
        <v>204</v>
      </c>
      <c r="D81" s="31" t="s">
        <v>23</v>
      </c>
      <c r="E81" s="31"/>
      <c r="F81" s="31" t="s">
        <v>25</v>
      </c>
      <c r="G81" s="31">
        <v>0</v>
      </c>
      <c r="H81" s="31" t="s">
        <v>26</v>
      </c>
      <c r="I81" s="16">
        <f>'[1]Tabla de Precios'!K80</f>
        <v>243.58974383333398</v>
      </c>
      <c r="J81" s="16">
        <f>'[1]Tabla de Precios'!L80</f>
        <v>490.52307731360105</v>
      </c>
      <c r="K81" s="16">
        <f>'[1]Tabla de Precios'!M80</f>
        <v>292.30769260000079</v>
      </c>
      <c r="L81" s="16"/>
    </row>
    <row r="82" spans="1:12" x14ac:dyDescent="0.25">
      <c r="A82" s="32" t="s">
        <v>205</v>
      </c>
      <c r="B82" s="17">
        <f t="shared" si="1"/>
        <v>81</v>
      </c>
      <c r="C82" s="33" t="s">
        <v>206</v>
      </c>
      <c r="D82" s="33" t="s">
        <v>23</v>
      </c>
      <c r="E82" s="33"/>
      <c r="F82" s="33" t="s">
        <v>25</v>
      </c>
      <c r="G82" s="33">
        <v>0</v>
      </c>
      <c r="H82" s="33" t="s">
        <v>26</v>
      </c>
      <c r="I82" s="18">
        <f>'[1]Tabla de Precios'!K81</f>
        <v>256.4102566666665</v>
      </c>
      <c r="J82" s="18">
        <f>'[1]Tabla de Precios'!L81</f>
        <v>511.07692348799975</v>
      </c>
      <c r="K82" s="18">
        <f>'[1]Tabla de Precios'!M81</f>
        <v>307.6923079999998</v>
      </c>
      <c r="L82" s="18"/>
    </row>
    <row r="83" spans="1:12" ht="30" x14ac:dyDescent="0.25">
      <c r="A83" s="30" t="s">
        <v>207</v>
      </c>
      <c r="B83" s="4">
        <f t="shared" si="1"/>
        <v>82</v>
      </c>
      <c r="C83" s="31" t="s">
        <v>208</v>
      </c>
      <c r="D83" s="31" t="s">
        <v>23</v>
      </c>
      <c r="E83" s="31" t="s">
        <v>35</v>
      </c>
      <c r="F83" s="31" t="s">
        <v>25</v>
      </c>
      <c r="G83" s="31">
        <v>0</v>
      </c>
      <c r="H83" s="31" t="s">
        <v>26</v>
      </c>
      <c r="I83" s="16">
        <f>'[1]Tabla de Precios'!K82</f>
        <v>605.09999999999991</v>
      </c>
      <c r="J83" s="16">
        <f>'[1]Tabla de Precios'!L82</f>
        <v>1070.0963199999999</v>
      </c>
      <c r="K83" s="16">
        <f>'[1]Tabla de Precios'!M82</f>
        <v>726.11999999999989</v>
      </c>
      <c r="L83" s="16"/>
    </row>
    <row r="84" spans="1:12" ht="30" x14ac:dyDescent="0.25">
      <c r="A84" s="32" t="s">
        <v>209</v>
      </c>
      <c r="B84" s="17">
        <f t="shared" si="1"/>
        <v>83</v>
      </c>
      <c r="C84" s="33" t="s">
        <v>210</v>
      </c>
      <c r="D84" s="33" t="s">
        <v>23</v>
      </c>
      <c r="E84" s="33"/>
      <c r="F84" s="33" t="s">
        <v>25</v>
      </c>
      <c r="G84" s="33">
        <v>1</v>
      </c>
      <c r="H84" s="33" t="s">
        <v>26</v>
      </c>
      <c r="I84" s="18">
        <f>'[1]Tabla de Precios'!K83</f>
        <v>605.10000030254992</v>
      </c>
      <c r="J84" s="18">
        <f>'[1]Tabla de Precios'!L83</f>
        <v>1070.0963204850482</v>
      </c>
      <c r="K84" s="18">
        <f>'[1]Tabla de Precios'!M83</f>
        <v>726.12000036305994</v>
      </c>
      <c r="L84" s="18" t="s">
        <v>211</v>
      </c>
    </row>
    <row r="85" spans="1:12" x14ac:dyDescent="0.25">
      <c r="A85" s="30" t="s">
        <v>212</v>
      </c>
      <c r="B85" s="4">
        <f t="shared" si="1"/>
        <v>84</v>
      </c>
      <c r="C85" s="31" t="s">
        <v>213</v>
      </c>
      <c r="D85" s="31" t="s">
        <v>23</v>
      </c>
      <c r="E85" s="31"/>
      <c r="F85" s="31" t="s">
        <v>25</v>
      </c>
      <c r="G85" s="31">
        <v>38</v>
      </c>
      <c r="H85" s="31" t="s">
        <v>26</v>
      </c>
      <c r="I85" s="16">
        <f>'[1]Tabla de Precios'!K84</f>
        <v>240</v>
      </c>
      <c r="J85" s="16">
        <f>'[1]Tabla de Precios'!L84</f>
        <v>484.76800000000003</v>
      </c>
      <c r="K85" s="16">
        <f>'[1]Tabla de Precios'!M84</f>
        <v>288</v>
      </c>
      <c r="L85" s="16" t="s">
        <v>214</v>
      </c>
    </row>
    <row r="86" spans="1:12" x14ac:dyDescent="0.25">
      <c r="A86" s="32" t="s">
        <v>215</v>
      </c>
      <c r="B86" s="17">
        <f t="shared" si="1"/>
        <v>85</v>
      </c>
      <c r="C86" s="33" t="s">
        <v>216</v>
      </c>
      <c r="D86" s="33" t="s">
        <v>23</v>
      </c>
      <c r="E86" s="33"/>
      <c r="F86" s="33" t="s">
        <v>25</v>
      </c>
      <c r="G86" s="33">
        <v>20</v>
      </c>
      <c r="H86" s="33" t="s">
        <v>26</v>
      </c>
      <c r="I86" s="18">
        <f>'[1]Tabla de Precios'!K85</f>
        <v>133.33333350666666</v>
      </c>
      <c r="J86" s="18">
        <f>'[1]Tabla de Precios'!L85</f>
        <v>313.76000027788803</v>
      </c>
      <c r="K86" s="18">
        <f>'[1]Tabla de Precios'!M85</f>
        <v>160.00000020799999</v>
      </c>
      <c r="L86" s="18" t="s">
        <v>217</v>
      </c>
    </row>
    <row r="87" spans="1:12" ht="30" x14ac:dyDescent="0.25">
      <c r="A87" s="30" t="s">
        <v>218</v>
      </c>
      <c r="B87" s="4">
        <f t="shared" si="1"/>
        <v>86</v>
      </c>
      <c r="C87" s="31" t="s">
        <v>219</v>
      </c>
      <c r="D87" s="31" t="s">
        <v>23</v>
      </c>
      <c r="E87" s="31"/>
      <c r="F87" s="31" t="s">
        <v>25</v>
      </c>
      <c r="G87" s="31">
        <v>0</v>
      </c>
      <c r="H87" s="31" t="s">
        <v>26</v>
      </c>
      <c r="I87" s="16">
        <f>'[1]Tabla de Precios'!K86</f>
        <v>96.076923172999983</v>
      </c>
      <c r="J87" s="16">
        <f>'[1]Tabla de Precios'!L86</f>
        <v>254.03052323095358</v>
      </c>
      <c r="K87" s="16">
        <f>'[1]Tabla de Precios'!M86</f>
        <v>115.29230780759998</v>
      </c>
      <c r="L87" s="16"/>
    </row>
    <row r="88" spans="1:12" ht="30" x14ac:dyDescent="0.25">
      <c r="A88" s="32" t="s">
        <v>220</v>
      </c>
      <c r="B88" s="17">
        <f t="shared" si="1"/>
        <v>87</v>
      </c>
      <c r="C88" s="33" t="s">
        <v>221</v>
      </c>
      <c r="D88" s="33" t="s">
        <v>23</v>
      </c>
      <c r="E88" s="33"/>
      <c r="F88" s="33" t="s">
        <v>25</v>
      </c>
      <c r="G88" s="33">
        <v>1</v>
      </c>
      <c r="H88" s="33" t="s">
        <v>26</v>
      </c>
      <c r="I88" s="18">
        <f>'[1]Tabla de Precios'!K87</f>
        <v>407.69166719666589</v>
      </c>
      <c r="J88" s="18">
        <f>'[1]Tabla de Precios'!L87</f>
        <v>753.61128084969482</v>
      </c>
      <c r="K88" s="18">
        <f>'[1]Tabla de Precios'!M87</f>
        <v>489.23000063599909</v>
      </c>
      <c r="L88" s="18" t="s">
        <v>222</v>
      </c>
    </row>
    <row r="89" spans="1:12" ht="30" x14ac:dyDescent="0.25">
      <c r="A89" s="30" t="s">
        <v>223</v>
      </c>
      <c r="B89" s="4">
        <f t="shared" si="1"/>
        <v>88</v>
      </c>
      <c r="C89" s="31" t="s">
        <v>224</v>
      </c>
      <c r="D89" s="31" t="s">
        <v>23</v>
      </c>
      <c r="E89" s="31"/>
      <c r="F89" s="31" t="s">
        <v>25</v>
      </c>
      <c r="G89" s="31">
        <v>0</v>
      </c>
      <c r="H89" s="31" t="s">
        <v>26</v>
      </c>
      <c r="I89" s="16">
        <f>'[1]Tabla de Precios'!K88</f>
        <v>336.53846187500005</v>
      </c>
      <c r="J89" s="16">
        <f>'[1]Tabla de Precios'!L88</f>
        <v>639.53846207800007</v>
      </c>
      <c r="K89" s="16">
        <f>'[1]Tabla de Precios'!M88</f>
        <v>403.84615425000004</v>
      </c>
      <c r="L89" s="16"/>
    </row>
    <row r="90" spans="1:12" ht="30" x14ac:dyDescent="0.25">
      <c r="A90" s="32" t="s">
        <v>225</v>
      </c>
      <c r="B90" s="17">
        <f t="shared" si="1"/>
        <v>89</v>
      </c>
      <c r="C90" s="33" t="s">
        <v>226</v>
      </c>
      <c r="D90" s="33" t="s">
        <v>23</v>
      </c>
      <c r="E90" s="33"/>
      <c r="F90" s="33" t="s">
        <v>25</v>
      </c>
      <c r="G90" s="33">
        <v>0</v>
      </c>
      <c r="H90" s="33" t="s">
        <v>26</v>
      </c>
      <c r="I90" s="18">
        <f>'[1]Tabla de Precios'!K89</f>
        <v>527.34000026366994</v>
      </c>
      <c r="J90" s="18">
        <f>'[1]Tabla de Precios'!L89</f>
        <v>945.43148842271557</v>
      </c>
      <c r="K90" s="18">
        <f>'[1]Tabla de Precios'!M89</f>
        <v>632.80800031640388</v>
      </c>
      <c r="L90" s="18"/>
    </row>
    <row r="91" spans="1:12" ht="30" x14ac:dyDescent="0.25">
      <c r="A91" s="30" t="s">
        <v>227</v>
      </c>
      <c r="B91" s="4">
        <f t="shared" si="1"/>
        <v>90</v>
      </c>
      <c r="C91" s="31" t="s">
        <v>228</v>
      </c>
      <c r="D91" s="31" t="s">
        <v>23</v>
      </c>
      <c r="E91" s="31"/>
      <c r="F91" s="31" t="s">
        <v>25</v>
      </c>
      <c r="G91" s="31">
        <v>0</v>
      </c>
      <c r="H91" s="31" t="s">
        <v>26</v>
      </c>
      <c r="I91" s="16">
        <f>'[1]Tabla de Precios'!K90</f>
        <v>650.00000084499993</v>
      </c>
      <c r="J91" s="16">
        <f>'[1]Tabla de Precios'!L90</f>
        <v>1142.0800013547041</v>
      </c>
      <c r="K91" s="16">
        <f>'[1]Tabla de Precios'!M90</f>
        <v>780.00000101399996</v>
      </c>
      <c r="L91" s="16" t="s">
        <v>229</v>
      </c>
    </row>
    <row r="92" spans="1:12" x14ac:dyDescent="0.25">
      <c r="A92" s="32" t="s">
        <v>230</v>
      </c>
      <c r="B92" s="17">
        <f t="shared" si="1"/>
        <v>91</v>
      </c>
      <c r="C92" s="33" t="s">
        <v>231</v>
      </c>
      <c r="D92" s="33" t="s">
        <v>23</v>
      </c>
      <c r="E92" s="33"/>
      <c r="F92" s="33" t="s">
        <v>25</v>
      </c>
      <c r="G92" s="33">
        <v>24</v>
      </c>
      <c r="H92" s="33" t="s">
        <v>26</v>
      </c>
      <c r="I92" s="18">
        <f>'[1]Tabla de Precios'!K91</f>
        <v>263.25</v>
      </c>
      <c r="J92" s="18">
        <f>'[1]Tabla de Precios'!L91</f>
        <v>522.04240000000004</v>
      </c>
      <c r="K92" s="18">
        <f>'[1]Tabla de Precios'!M91</f>
        <v>315.89999999999998</v>
      </c>
      <c r="L92" s="18"/>
    </row>
    <row r="93" spans="1:12" x14ac:dyDescent="0.25">
      <c r="A93" s="30" t="s">
        <v>232</v>
      </c>
      <c r="B93" s="4">
        <f t="shared" si="1"/>
        <v>92</v>
      </c>
      <c r="C93" s="31" t="s">
        <v>233</v>
      </c>
      <c r="D93" s="31" t="s">
        <v>23</v>
      </c>
      <c r="E93" s="31"/>
      <c r="F93" s="31" t="s">
        <v>25</v>
      </c>
      <c r="G93" s="31">
        <v>8</v>
      </c>
      <c r="H93" s="31" t="s">
        <v>26</v>
      </c>
      <c r="I93" s="16">
        <f>'[1]Tabla de Precios'!K92</f>
        <v>1083.3333347416667</v>
      </c>
      <c r="J93" s="16">
        <f>'[1]Tabla de Precios'!L92</f>
        <v>1836.8000022578401</v>
      </c>
      <c r="K93" s="16">
        <f>'[1]Tabla de Precios'!M92</f>
        <v>1300.0000016900001</v>
      </c>
      <c r="L93" s="16" t="s">
        <v>234</v>
      </c>
    </row>
    <row r="94" spans="1:12" ht="30" x14ac:dyDescent="0.25">
      <c r="A94" s="32" t="s">
        <v>235</v>
      </c>
      <c r="B94" s="17">
        <f t="shared" si="1"/>
        <v>93</v>
      </c>
      <c r="C94" s="33" t="s">
        <v>236</v>
      </c>
      <c r="D94" s="33" t="s">
        <v>23</v>
      </c>
      <c r="E94" s="33"/>
      <c r="F94" s="33" t="s">
        <v>25</v>
      </c>
      <c r="G94" s="33">
        <v>0</v>
      </c>
      <c r="H94" s="33" t="s">
        <v>26</v>
      </c>
      <c r="I94" s="18">
        <f>'[1]Tabla de Precios'!K93</f>
        <v>990.13000049506491</v>
      </c>
      <c r="J94" s="18">
        <f>'[1]Tabla de Precios'!L93</f>
        <v>1687.3764167936879</v>
      </c>
      <c r="K94" s="18">
        <f>'[1]Tabla de Precios'!M93</f>
        <v>1188.1560005940778</v>
      </c>
      <c r="L94" s="18" t="s">
        <v>237</v>
      </c>
    </row>
    <row r="95" spans="1:12" x14ac:dyDescent="0.25">
      <c r="A95" s="30" t="s">
        <v>238</v>
      </c>
      <c r="B95" s="4">
        <f t="shared" si="1"/>
        <v>94</v>
      </c>
      <c r="C95" s="31" t="s">
        <v>239</v>
      </c>
      <c r="D95" s="31" t="s">
        <v>23</v>
      </c>
      <c r="E95" s="31"/>
      <c r="F95" s="31" t="s">
        <v>25</v>
      </c>
      <c r="G95" s="31">
        <v>3</v>
      </c>
      <c r="H95" s="31" t="s">
        <v>26</v>
      </c>
      <c r="I95" s="16">
        <f>'[1]Tabla de Precios'!K94</f>
        <v>658.33333418916675</v>
      </c>
      <c r="J95" s="16">
        <f>'[1]Tabla de Precios'!L94</f>
        <v>1155.4400013720719</v>
      </c>
      <c r="K95" s="16">
        <f>'[1]Tabla de Precios'!M94</f>
        <v>790.00000102700005</v>
      </c>
      <c r="L95" s="16"/>
    </row>
    <row r="96" spans="1:12" x14ac:dyDescent="0.25">
      <c r="A96" s="32" t="s">
        <v>240</v>
      </c>
      <c r="B96" s="17">
        <f t="shared" si="1"/>
        <v>95</v>
      </c>
      <c r="C96" s="33" t="s">
        <v>241</v>
      </c>
      <c r="D96" s="33" t="s">
        <v>23</v>
      </c>
      <c r="E96" s="33" t="s">
        <v>35</v>
      </c>
      <c r="F96" s="33" t="s">
        <v>25</v>
      </c>
      <c r="G96" s="33">
        <v>2</v>
      </c>
      <c r="H96" s="33" t="s">
        <v>26</v>
      </c>
      <c r="I96" s="18">
        <f>'[1]Tabla de Precios'!K95</f>
        <v>428.76</v>
      </c>
      <c r="J96" s="18">
        <f>'[1]Tabla de Precios'!L95</f>
        <v>787.38803199999995</v>
      </c>
      <c r="K96" s="18">
        <f>'[1]Tabla de Precios'!M95</f>
        <v>514.51199999999994</v>
      </c>
      <c r="L96" s="18"/>
    </row>
    <row r="97" spans="1:12" x14ac:dyDescent="0.25">
      <c r="A97" s="30" t="s">
        <v>242</v>
      </c>
      <c r="B97" s="4">
        <f t="shared" si="1"/>
        <v>96</v>
      </c>
      <c r="C97" s="31" t="s">
        <v>243</v>
      </c>
      <c r="D97" s="31" t="s">
        <v>23</v>
      </c>
      <c r="E97" s="31"/>
      <c r="F97" s="31" t="s">
        <v>25</v>
      </c>
      <c r="G97" s="31">
        <v>7</v>
      </c>
      <c r="H97" s="31" t="s">
        <v>26</v>
      </c>
      <c r="I97" s="16">
        <f>'[1]Tabla de Precios'!K96</f>
        <v>746.33000037316492</v>
      </c>
      <c r="J97" s="16">
        <f>'[1]Tabla de Precios'!L96</f>
        <v>1296.516256598258</v>
      </c>
      <c r="K97" s="16">
        <f>'[1]Tabla de Precios'!M96</f>
        <v>895.59600044779791</v>
      </c>
      <c r="L97" s="16"/>
    </row>
    <row r="98" spans="1:12" ht="30" x14ac:dyDescent="0.25">
      <c r="A98" s="32" t="s">
        <v>244</v>
      </c>
      <c r="B98" s="17">
        <f t="shared" si="1"/>
        <v>97</v>
      </c>
      <c r="C98" s="33" t="s">
        <v>245</v>
      </c>
      <c r="D98" s="33" t="s">
        <v>23</v>
      </c>
      <c r="E98" s="33"/>
      <c r="F98" s="33" t="s">
        <v>25</v>
      </c>
      <c r="G98" s="33">
        <v>1</v>
      </c>
      <c r="H98" s="33" t="s">
        <v>26</v>
      </c>
      <c r="I98" s="18">
        <f>'[1]Tabla de Precios'!K97</f>
        <v>379.16666715958331</v>
      </c>
      <c r="J98" s="18">
        <f>'[1]Tabla de Precios'!L97</f>
        <v>707.88000079024403</v>
      </c>
      <c r="K98" s="18">
        <f>'[1]Tabla de Precios'!M97</f>
        <v>455.0000005915</v>
      </c>
      <c r="L98" s="18" t="s">
        <v>246</v>
      </c>
    </row>
    <row r="99" spans="1:12" ht="30" x14ac:dyDescent="0.25">
      <c r="A99" s="30" t="s">
        <v>247</v>
      </c>
      <c r="B99" s="4">
        <f t="shared" si="1"/>
        <v>98</v>
      </c>
      <c r="C99" s="31" t="s">
        <v>248</v>
      </c>
      <c r="D99" s="31" t="s">
        <v>23</v>
      </c>
      <c r="E99" s="31"/>
      <c r="F99" s="31" t="s">
        <v>25</v>
      </c>
      <c r="G99" s="31">
        <v>0</v>
      </c>
      <c r="H99" s="31" t="s">
        <v>26</v>
      </c>
      <c r="I99" s="16">
        <f>'[1]Tabla de Precios'!K98</f>
        <v>375.06000018753002</v>
      </c>
      <c r="J99" s="16">
        <f>'[1]Tabla de Precios'!L98</f>
        <v>701.29619230064816</v>
      </c>
      <c r="K99" s="16">
        <f>'[1]Tabla de Precios'!M98</f>
        <v>450.07200022503605</v>
      </c>
      <c r="L99" s="16"/>
    </row>
    <row r="100" spans="1:12" ht="30" x14ac:dyDescent="0.25">
      <c r="A100" s="32" t="s">
        <v>249</v>
      </c>
      <c r="B100" s="17">
        <f t="shared" si="1"/>
        <v>99</v>
      </c>
      <c r="C100" s="33" t="s">
        <v>250</v>
      </c>
      <c r="D100" s="33" t="s">
        <v>23</v>
      </c>
      <c r="E100" s="33"/>
      <c r="F100" s="33" t="s">
        <v>25</v>
      </c>
      <c r="G100" s="33">
        <v>0</v>
      </c>
      <c r="H100" s="33" t="s">
        <v>26</v>
      </c>
      <c r="I100" s="18">
        <f>'[1]Tabla de Precios'!K99</f>
        <v>419.48000020974007</v>
      </c>
      <c r="J100" s="18">
        <f>'[1]Tabla de Precios'!L99</f>
        <v>772.51033633625525</v>
      </c>
      <c r="K100" s="18">
        <f>'[1]Tabla de Precios'!M99</f>
        <v>503.37600025168808</v>
      </c>
      <c r="L100" s="18"/>
    </row>
    <row r="101" spans="1:12" ht="30" x14ac:dyDescent="0.25">
      <c r="A101" s="30" t="s">
        <v>251</v>
      </c>
      <c r="B101" s="4">
        <f t="shared" si="1"/>
        <v>100</v>
      </c>
      <c r="C101" s="31" t="s">
        <v>252</v>
      </c>
      <c r="D101" s="31" t="s">
        <v>23</v>
      </c>
      <c r="E101" s="31"/>
      <c r="F101" s="31" t="s">
        <v>25</v>
      </c>
      <c r="G101" s="31">
        <v>7</v>
      </c>
      <c r="H101" s="31" t="s">
        <v>26</v>
      </c>
      <c r="I101" s="16">
        <f>'[1]Tabla de Precios'!K100</f>
        <v>201.18000010059001</v>
      </c>
      <c r="J101" s="16">
        <f>'[1]Tabla de Precios'!L100</f>
        <v>422.53177616126595</v>
      </c>
      <c r="K101" s="16">
        <f>'[1]Tabla de Precios'!M100</f>
        <v>241.41600012070802</v>
      </c>
      <c r="L101" s="16"/>
    </row>
    <row r="102" spans="1:12" ht="30" x14ac:dyDescent="0.25">
      <c r="A102" s="32" t="s">
        <v>253</v>
      </c>
      <c r="B102" s="17">
        <f t="shared" si="1"/>
        <v>101</v>
      </c>
      <c r="C102" s="33" t="s">
        <v>254</v>
      </c>
      <c r="D102" s="33" t="s">
        <v>23</v>
      </c>
      <c r="E102" s="33"/>
      <c r="F102" s="33" t="s">
        <v>25</v>
      </c>
      <c r="G102" s="33">
        <v>0</v>
      </c>
      <c r="H102" s="33" t="s">
        <v>26</v>
      </c>
      <c r="I102" s="18">
        <f>'[1]Tabla de Precios'!K101</f>
        <v>0</v>
      </c>
      <c r="J102" s="18">
        <f>'[1]Tabla de Precios'!L101</f>
        <v>100</v>
      </c>
      <c r="K102" s="18">
        <f>'[1]Tabla de Precios'!M101</f>
        <v>0</v>
      </c>
      <c r="L102" s="18"/>
    </row>
    <row r="103" spans="1:12" ht="45" x14ac:dyDescent="0.25">
      <c r="A103" s="30" t="s">
        <v>255</v>
      </c>
      <c r="B103" s="4">
        <f t="shared" si="1"/>
        <v>102</v>
      </c>
      <c r="C103" s="31" t="s">
        <v>256</v>
      </c>
      <c r="D103" s="31" t="s">
        <v>23</v>
      </c>
      <c r="E103" s="31"/>
      <c r="F103" s="31" t="s">
        <v>25</v>
      </c>
      <c r="G103" s="31">
        <v>4</v>
      </c>
      <c r="H103" s="31" t="s">
        <v>26</v>
      </c>
      <c r="I103" s="16">
        <f>'[1]Tabla de Precios'!K102</f>
        <v>0</v>
      </c>
      <c r="J103" s="16">
        <f>'[1]Tabla de Precios'!L102</f>
        <v>100</v>
      </c>
      <c r="K103" s="16">
        <f>'[1]Tabla de Precios'!M102</f>
        <v>0</v>
      </c>
      <c r="L103" s="16"/>
    </row>
    <row r="104" spans="1:12" ht="30" x14ac:dyDescent="0.25">
      <c r="A104" s="32" t="s">
        <v>257</v>
      </c>
      <c r="B104" s="17">
        <f t="shared" si="1"/>
        <v>103</v>
      </c>
      <c r="C104" s="33" t="s">
        <v>258</v>
      </c>
      <c r="D104" s="33" t="s">
        <v>23</v>
      </c>
      <c r="E104" s="33"/>
      <c r="F104" s="33" t="s">
        <v>25</v>
      </c>
      <c r="G104" s="33">
        <v>2</v>
      </c>
      <c r="H104" s="33" t="s">
        <v>26</v>
      </c>
      <c r="I104" s="18">
        <f>'[1]Tabla de Precios'!K103</f>
        <v>1985.28000099264</v>
      </c>
      <c r="J104" s="18">
        <f>'[1]Tabla de Precios'!L103</f>
        <v>3282.8008975914008</v>
      </c>
      <c r="K104" s="18">
        <f>'[1]Tabla de Precios'!M103</f>
        <v>2382.3360011911682</v>
      </c>
      <c r="L104" s="18" t="s">
        <v>259</v>
      </c>
    </row>
    <row r="105" spans="1:12" ht="30" x14ac:dyDescent="0.25">
      <c r="A105" s="30" t="s">
        <v>260</v>
      </c>
      <c r="B105" s="4">
        <f t="shared" si="1"/>
        <v>104</v>
      </c>
      <c r="C105" s="31" t="s">
        <v>261</v>
      </c>
      <c r="D105" s="31" t="s">
        <v>23</v>
      </c>
      <c r="E105" s="31"/>
      <c r="F105" s="31" t="s">
        <v>25</v>
      </c>
      <c r="G105" s="31">
        <v>0</v>
      </c>
      <c r="H105" s="31" t="s">
        <v>26</v>
      </c>
      <c r="I105" s="16">
        <f>'[1]Tabla de Precios'!K104</f>
        <v>0</v>
      </c>
      <c r="J105" s="16">
        <f>'[1]Tabla de Precios'!L104</f>
        <v>100</v>
      </c>
      <c r="K105" s="16">
        <f>'[1]Tabla de Precios'!M104</f>
        <v>0</v>
      </c>
      <c r="L105" s="16"/>
    </row>
    <row r="106" spans="1:12" ht="30" x14ac:dyDescent="0.25">
      <c r="A106" s="32" t="s">
        <v>262</v>
      </c>
      <c r="B106" s="17">
        <f t="shared" si="1"/>
        <v>105</v>
      </c>
      <c r="C106" s="33" t="s">
        <v>263</v>
      </c>
      <c r="D106" s="33" t="s">
        <v>23</v>
      </c>
      <c r="E106" s="33"/>
      <c r="F106" s="33" t="s">
        <v>25</v>
      </c>
      <c r="G106" s="33">
        <v>0</v>
      </c>
      <c r="H106" s="33" t="s">
        <v>26</v>
      </c>
      <c r="I106" s="18">
        <f>'[1]Tabla de Precios'!K105</f>
        <v>0</v>
      </c>
      <c r="J106" s="18">
        <f>'[1]Tabla de Precios'!L105</f>
        <v>100</v>
      </c>
      <c r="K106" s="18">
        <f>'[1]Tabla de Precios'!M105</f>
        <v>0</v>
      </c>
      <c r="L106" s="18"/>
    </row>
    <row r="107" spans="1:12" ht="30" x14ac:dyDescent="0.25">
      <c r="A107" s="30" t="s">
        <v>264</v>
      </c>
      <c r="B107" s="4">
        <f t="shared" si="1"/>
        <v>106</v>
      </c>
      <c r="C107" s="31" t="s">
        <v>265</v>
      </c>
      <c r="D107" s="31" t="s">
        <v>23</v>
      </c>
      <c r="E107" s="31"/>
      <c r="F107" s="31" t="s">
        <v>25</v>
      </c>
      <c r="G107" s="31">
        <v>1</v>
      </c>
      <c r="H107" s="31" t="s">
        <v>26</v>
      </c>
      <c r="I107" s="16">
        <f>'[1]Tabla de Precios'!K106</f>
        <v>144.06</v>
      </c>
      <c r="J107" s="16">
        <f>'[1]Tabla de Precios'!L106</f>
        <v>330.95699200000001</v>
      </c>
      <c r="K107" s="16">
        <f>'[1]Tabla de Precios'!M106</f>
        <v>172.87200000000001</v>
      </c>
      <c r="L107" s="16"/>
    </row>
    <row r="108" spans="1:12" ht="30" x14ac:dyDescent="0.25">
      <c r="A108" s="32" t="s">
        <v>266</v>
      </c>
      <c r="B108" s="17">
        <f t="shared" si="1"/>
        <v>107</v>
      </c>
      <c r="C108" s="33" t="s">
        <v>267</v>
      </c>
      <c r="D108" s="33" t="s">
        <v>23</v>
      </c>
      <c r="E108" s="33"/>
      <c r="F108" s="33" t="s">
        <v>25</v>
      </c>
      <c r="G108" s="33">
        <v>9</v>
      </c>
      <c r="H108" s="33" t="s">
        <v>26</v>
      </c>
      <c r="I108" s="18">
        <f>'[1]Tabla de Precios'!K107</f>
        <v>117.2250001523925</v>
      </c>
      <c r="J108" s="18">
        <f>'[1]Tabla de Precios'!L107</f>
        <v>287.93512024431567</v>
      </c>
      <c r="K108" s="18">
        <f>'[1]Tabla de Precios'!M107</f>
        <v>140.67000018287101</v>
      </c>
      <c r="L108" s="18"/>
    </row>
    <row r="109" spans="1:12" x14ac:dyDescent="0.25">
      <c r="A109" s="30" t="s">
        <v>268</v>
      </c>
      <c r="B109" s="4">
        <f t="shared" si="1"/>
        <v>108</v>
      </c>
      <c r="C109" s="31" t="s">
        <v>269</v>
      </c>
      <c r="D109" s="31" t="s">
        <v>23</v>
      </c>
      <c r="E109" s="31"/>
      <c r="F109" s="31" t="s">
        <v>25</v>
      </c>
      <c r="G109" s="31">
        <v>0</v>
      </c>
      <c r="H109" s="31" t="s">
        <v>26</v>
      </c>
      <c r="I109" s="16">
        <f>'[1]Tabla de Precios'!K108</f>
        <v>437.66000021883002</v>
      </c>
      <c r="J109" s="16">
        <f>'[1]Tabla de Precios'!L108</f>
        <v>801.65651235082828</v>
      </c>
      <c r="K109" s="16">
        <f>'[1]Tabla de Precios'!M108</f>
        <v>525.19200026259603</v>
      </c>
      <c r="L109" s="16" t="s">
        <v>270</v>
      </c>
    </row>
    <row r="110" spans="1:12" ht="30" x14ac:dyDescent="0.25">
      <c r="A110" s="32" t="s">
        <v>271</v>
      </c>
      <c r="B110" s="17">
        <f t="shared" si="1"/>
        <v>109</v>
      </c>
      <c r="C110" s="33" t="s">
        <v>272</v>
      </c>
      <c r="D110" s="33" t="s">
        <v>23</v>
      </c>
      <c r="E110" s="33"/>
      <c r="F110" s="33" t="s">
        <v>25</v>
      </c>
      <c r="G110" s="33">
        <v>0</v>
      </c>
      <c r="H110" s="33" t="s">
        <v>26</v>
      </c>
      <c r="I110" s="18">
        <f>'[1]Tabla de Precios'!K109</f>
        <v>309.85000015492506</v>
      </c>
      <c r="J110" s="18">
        <f>'[1]Tabla de Precios'!L109</f>
        <v>596.75152024837587</v>
      </c>
      <c r="K110" s="18">
        <f>'[1]Tabla de Precios'!M109</f>
        <v>371.82000018591009</v>
      </c>
      <c r="L110" s="18" t="s">
        <v>273</v>
      </c>
    </row>
    <row r="111" spans="1:12" ht="30" x14ac:dyDescent="0.25">
      <c r="A111" s="30" t="s">
        <v>274</v>
      </c>
      <c r="B111" s="4">
        <f t="shared" si="1"/>
        <v>110</v>
      </c>
      <c r="C111" s="31" t="s">
        <v>275</v>
      </c>
      <c r="D111" s="31" t="s">
        <v>23</v>
      </c>
      <c r="E111" s="31"/>
      <c r="F111" s="31" t="s">
        <v>25</v>
      </c>
      <c r="G111" s="31">
        <v>19</v>
      </c>
      <c r="H111" s="31" t="s">
        <v>26</v>
      </c>
      <c r="I111" s="16">
        <f>'[1]Tabla de Precios'!K110</f>
        <v>358.630000179315</v>
      </c>
      <c r="J111" s="16">
        <f>'[1]Tabla de Precios'!L110</f>
        <v>674.95561628747782</v>
      </c>
      <c r="K111" s="16">
        <f>'[1]Tabla de Precios'!M110</f>
        <v>430.35600021517803</v>
      </c>
      <c r="L111" s="16" t="s">
        <v>276</v>
      </c>
    </row>
    <row r="112" spans="1:12" ht="30" x14ac:dyDescent="0.25">
      <c r="A112" s="32" t="s">
        <v>277</v>
      </c>
      <c r="B112" s="17">
        <f t="shared" si="1"/>
        <v>111</v>
      </c>
      <c r="C112" s="33" t="s">
        <v>278</v>
      </c>
      <c r="D112" s="33" t="s">
        <v>23</v>
      </c>
      <c r="E112" s="33"/>
      <c r="F112" s="33" t="s">
        <v>25</v>
      </c>
      <c r="G112" s="33">
        <v>19</v>
      </c>
      <c r="H112" s="33" t="s">
        <v>26</v>
      </c>
      <c r="I112" s="18">
        <f>'[1]Tabla de Precios'!K111</f>
        <v>416.66666720833337</v>
      </c>
      <c r="J112" s="18">
        <f>'[1]Tabla de Precios'!L111</f>
        <v>768.00000086840009</v>
      </c>
      <c r="K112" s="18">
        <f>'[1]Tabla de Precios'!M111</f>
        <v>500.00000065000006</v>
      </c>
      <c r="L112" s="18"/>
    </row>
    <row r="113" spans="1:12" x14ac:dyDescent="0.25">
      <c r="A113" s="30" t="s">
        <v>279</v>
      </c>
      <c r="B113" s="4">
        <f t="shared" si="1"/>
        <v>112</v>
      </c>
      <c r="C113" s="31" t="s">
        <v>280</v>
      </c>
      <c r="D113" s="31" t="s">
        <v>23</v>
      </c>
      <c r="E113" s="31"/>
      <c r="F113" s="31" t="s">
        <v>25</v>
      </c>
      <c r="G113" s="31">
        <v>3</v>
      </c>
      <c r="H113" s="31" t="s">
        <v>26</v>
      </c>
      <c r="I113" s="16">
        <f>'[1]Tabla de Precios'!K112</f>
        <v>375.00000048750002</v>
      </c>
      <c r="J113" s="16">
        <f>'[1]Tabla de Precios'!L112</f>
        <v>701.20000078155999</v>
      </c>
      <c r="K113" s="16">
        <f>'[1]Tabla de Precios'!M112</f>
        <v>450.00000058500001</v>
      </c>
      <c r="L113" s="16"/>
    </row>
    <row r="114" spans="1:12" x14ac:dyDescent="0.25">
      <c r="A114" s="32" t="s">
        <v>281</v>
      </c>
      <c r="B114" s="17">
        <f t="shared" si="1"/>
        <v>113</v>
      </c>
      <c r="C114" s="33" t="s">
        <v>282</v>
      </c>
      <c r="D114" s="33" t="s">
        <v>23</v>
      </c>
      <c r="E114" s="33"/>
      <c r="F114" s="33" t="s">
        <v>25</v>
      </c>
      <c r="G114" s="33">
        <v>4</v>
      </c>
      <c r="H114" s="33" t="s">
        <v>26</v>
      </c>
      <c r="I114" s="18">
        <f>'[1]Tabla de Precios'!K113</f>
        <v>375.00000048750002</v>
      </c>
      <c r="J114" s="18">
        <f>'[1]Tabla de Precios'!L113</f>
        <v>701.20000078155999</v>
      </c>
      <c r="K114" s="18">
        <f>'[1]Tabla de Precios'!M113</f>
        <v>450.00000058500001</v>
      </c>
      <c r="L114" s="18"/>
    </row>
    <row r="115" spans="1:12" x14ac:dyDescent="0.25">
      <c r="A115" s="30" t="s">
        <v>283</v>
      </c>
      <c r="B115" s="4">
        <f t="shared" si="1"/>
        <v>114</v>
      </c>
      <c r="C115" s="31" t="s">
        <v>284</v>
      </c>
      <c r="D115" s="31" t="s">
        <v>23</v>
      </c>
      <c r="E115" s="31"/>
      <c r="F115" s="31" t="s">
        <v>25</v>
      </c>
      <c r="G115" s="31">
        <v>1</v>
      </c>
      <c r="H115" s="31" t="s">
        <v>32</v>
      </c>
      <c r="I115" s="16">
        <f>'[1]Tabla de Precios'!K114</f>
        <v>1749.1666689405836</v>
      </c>
      <c r="J115" s="16">
        <f>'[1]Tabla de Precios'!L114</f>
        <v>2904.2640036455441</v>
      </c>
      <c r="K115" s="16">
        <f>'[1]Tabla de Precios'!M114</f>
        <v>2099.0000027287006</v>
      </c>
      <c r="L115" s="16"/>
    </row>
    <row r="116" spans="1:12" ht="30" x14ac:dyDescent="0.25">
      <c r="A116" s="32" t="s">
        <v>285</v>
      </c>
      <c r="B116" s="17">
        <f t="shared" si="1"/>
        <v>115</v>
      </c>
      <c r="C116" s="33" t="s">
        <v>286</v>
      </c>
      <c r="D116" s="33" t="s">
        <v>23</v>
      </c>
      <c r="E116" s="33"/>
      <c r="F116" s="33" t="s">
        <v>25</v>
      </c>
      <c r="G116" s="33">
        <v>1</v>
      </c>
      <c r="H116" s="33" t="s">
        <v>32</v>
      </c>
      <c r="I116" s="18">
        <f>'[1]Tabla de Precios'!K115</f>
        <v>2004.6700010023351</v>
      </c>
      <c r="J116" s="18">
        <f>'[1]Tabla de Precios'!L115</f>
        <v>3313.8869456069433</v>
      </c>
      <c r="K116" s="18">
        <f>'[1]Tabla de Precios'!M115</f>
        <v>2405.604001202802</v>
      </c>
      <c r="L116" s="18" t="s">
        <v>287</v>
      </c>
    </row>
    <row r="117" spans="1:12" ht="30" x14ac:dyDescent="0.25">
      <c r="A117" s="30" t="s">
        <v>288</v>
      </c>
      <c r="B117" s="4">
        <f t="shared" si="1"/>
        <v>116</v>
      </c>
      <c r="C117" s="31" t="s">
        <v>289</v>
      </c>
      <c r="D117" s="31" t="s">
        <v>23</v>
      </c>
      <c r="E117" s="31"/>
      <c r="F117" s="31" t="s">
        <v>25</v>
      </c>
      <c r="G117" s="31">
        <v>3</v>
      </c>
      <c r="H117" s="31" t="s">
        <v>32</v>
      </c>
      <c r="I117" s="16">
        <f>'[1]Tabla de Precios'!K116</f>
        <v>2004.6700010023351</v>
      </c>
      <c r="J117" s="16">
        <f>'[1]Tabla de Precios'!L116</f>
        <v>3313.8869456069433</v>
      </c>
      <c r="K117" s="16">
        <f>'[1]Tabla de Precios'!M116</f>
        <v>2405.604001202802</v>
      </c>
      <c r="L117" s="16" t="s">
        <v>287</v>
      </c>
    </row>
    <row r="118" spans="1:12" ht="30" x14ac:dyDescent="0.25">
      <c r="A118" s="32" t="s">
        <v>290</v>
      </c>
      <c r="B118" s="17">
        <f t="shared" si="1"/>
        <v>117</v>
      </c>
      <c r="C118" s="33" t="s">
        <v>291</v>
      </c>
      <c r="D118" s="33" t="s">
        <v>23</v>
      </c>
      <c r="E118" s="33"/>
      <c r="F118" s="33" t="s">
        <v>25</v>
      </c>
      <c r="G118" s="33">
        <v>11</v>
      </c>
      <c r="H118" s="33" t="s">
        <v>32</v>
      </c>
      <c r="I118" s="18">
        <f>'[1]Tabla de Precios'!K117</f>
        <v>2004.6700010023351</v>
      </c>
      <c r="J118" s="18">
        <f>'[1]Tabla de Precios'!L117</f>
        <v>3313.8869456069433</v>
      </c>
      <c r="K118" s="18">
        <f>'[1]Tabla de Precios'!M117</f>
        <v>2405.604001202802</v>
      </c>
      <c r="L118" s="18" t="s">
        <v>287</v>
      </c>
    </row>
    <row r="119" spans="1:12" ht="45" x14ac:dyDescent="0.25">
      <c r="A119" s="30" t="s">
        <v>292</v>
      </c>
      <c r="B119" s="4">
        <f t="shared" si="1"/>
        <v>118</v>
      </c>
      <c r="C119" s="31" t="s">
        <v>293</v>
      </c>
      <c r="D119" s="31" t="s">
        <v>23</v>
      </c>
      <c r="E119" s="31"/>
      <c r="F119" s="31" t="s">
        <v>25</v>
      </c>
      <c r="G119" s="31">
        <v>4</v>
      </c>
      <c r="H119" s="31" t="s">
        <v>32</v>
      </c>
      <c r="I119" s="16">
        <f>'[1]Tabla de Precios'!K118</f>
        <v>10416.670005208336</v>
      </c>
      <c r="J119" s="16">
        <f>'[1]Tabla de Precios'!L118</f>
        <v>16800.005352350003</v>
      </c>
      <c r="K119" s="16">
        <f>'[1]Tabla de Precios'!M118</f>
        <v>12500.004006250003</v>
      </c>
      <c r="L119" s="16" t="s">
        <v>294</v>
      </c>
    </row>
    <row r="120" spans="1:12" ht="30" x14ac:dyDescent="0.25">
      <c r="A120" s="32" t="s">
        <v>295</v>
      </c>
      <c r="B120" s="17">
        <f t="shared" si="1"/>
        <v>119</v>
      </c>
      <c r="C120" s="33" t="s">
        <v>296</v>
      </c>
      <c r="D120" s="33" t="s">
        <v>23</v>
      </c>
      <c r="E120" s="33"/>
      <c r="F120" s="33" t="s">
        <v>25</v>
      </c>
      <c r="G120" s="33">
        <v>2</v>
      </c>
      <c r="H120" s="33" t="s">
        <v>32</v>
      </c>
      <c r="I120" s="18">
        <f>'[1]Tabla de Precios'!K119</f>
        <v>4000.0000052</v>
      </c>
      <c r="J120" s="18">
        <f>'[1]Tabla de Precios'!L119</f>
        <v>6512.8000083366405</v>
      </c>
      <c r="K120" s="18">
        <f>'[1]Tabla de Precios'!M119</f>
        <v>4800.0000062400004</v>
      </c>
      <c r="L120" s="18"/>
    </row>
    <row r="121" spans="1:12" ht="30" x14ac:dyDescent="0.25">
      <c r="A121" s="30" t="s">
        <v>297</v>
      </c>
      <c r="B121" s="4">
        <f t="shared" si="1"/>
        <v>120</v>
      </c>
      <c r="C121" s="31" t="s">
        <v>298</v>
      </c>
      <c r="D121" s="31" t="s">
        <v>23</v>
      </c>
      <c r="E121" s="31"/>
      <c r="F121" s="31" t="s">
        <v>25</v>
      </c>
      <c r="G121" s="31">
        <v>10</v>
      </c>
      <c r="H121" s="31" t="s">
        <v>26</v>
      </c>
      <c r="I121" s="16">
        <f>'[1]Tabla de Precios'!K120</f>
        <v>183.87500023903749</v>
      </c>
      <c r="J121" s="16">
        <f>'[1]Tabla de Precios'!L120</f>
        <v>394.78840038322494</v>
      </c>
      <c r="K121" s="16">
        <f>'[1]Tabla de Precios'!M120</f>
        <v>220.650000286845</v>
      </c>
      <c r="L121" s="16" t="s">
        <v>299</v>
      </c>
    </row>
    <row r="122" spans="1:12" ht="30" x14ac:dyDescent="0.25">
      <c r="A122" s="32" t="s">
        <v>300</v>
      </c>
      <c r="B122" s="17">
        <f t="shared" si="1"/>
        <v>121</v>
      </c>
      <c r="C122" s="33" t="s">
        <v>301</v>
      </c>
      <c r="D122" s="33" t="s">
        <v>23</v>
      </c>
      <c r="E122" s="33"/>
      <c r="F122" s="33" t="s">
        <v>25</v>
      </c>
      <c r="G122" s="33">
        <v>3</v>
      </c>
      <c r="H122" s="33" t="s">
        <v>26</v>
      </c>
      <c r="I122" s="18">
        <f>'[1]Tabla de Precios'!K121</f>
        <v>283.33333370166667</v>
      </c>
      <c r="J122" s="18">
        <f>'[1]Tabla de Precios'!L121</f>
        <v>554.24000059051195</v>
      </c>
      <c r="K122" s="18">
        <f>'[1]Tabla de Precios'!M121</f>
        <v>340.00000044199999</v>
      </c>
      <c r="L122" s="18" t="s">
        <v>302</v>
      </c>
    </row>
    <row r="123" spans="1:12" x14ac:dyDescent="0.25">
      <c r="A123" s="30" t="s">
        <v>303</v>
      </c>
      <c r="B123" s="4">
        <f t="shared" si="1"/>
        <v>122</v>
      </c>
      <c r="C123" s="31" t="s">
        <v>304</v>
      </c>
      <c r="D123" s="31" t="s">
        <v>23</v>
      </c>
      <c r="E123" s="31"/>
      <c r="F123" s="31" t="s">
        <v>25</v>
      </c>
      <c r="G123" s="31">
        <v>0</v>
      </c>
      <c r="H123" s="31" t="s">
        <v>26</v>
      </c>
      <c r="I123" s="16">
        <f>'[1]Tabla de Precios'!K122</f>
        <v>399.77000019988498</v>
      </c>
      <c r="J123" s="16">
        <f>'[1]Tabla de Precios'!L122</f>
        <v>740.91126432045564</v>
      </c>
      <c r="K123" s="16">
        <f>'[1]Tabla de Precios'!M122</f>
        <v>479.72400023986199</v>
      </c>
      <c r="L123" s="16" t="s">
        <v>305</v>
      </c>
    </row>
    <row r="124" spans="1:12" ht="45" x14ac:dyDescent="0.25">
      <c r="A124" s="32" t="s">
        <v>306</v>
      </c>
      <c r="B124" s="17">
        <f t="shared" si="1"/>
        <v>123</v>
      </c>
      <c r="C124" s="33" t="s">
        <v>307</v>
      </c>
      <c r="D124" s="33" t="s">
        <v>23</v>
      </c>
      <c r="E124" s="33"/>
      <c r="F124" s="33" t="s">
        <v>25</v>
      </c>
      <c r="G124" s="33">
        <v>6</v>
      </c>
      <c r="H124" s="33" t="s">
        <v>26</v>
      </c>
      <c r="I124" s="18">
        <f>'[1]Tabla de Precios'!K123</f>
        <v>162.50000008124999</v>
      </c>
      <c r="J124" s="18">
        <f>'[1]Tabla de Precios'!L123</f>
        <v>360.52000013025997</v>
      </c>
      <c r="K124" s="18">
        <f>'[1]Tabla de Precios'!M123</f>
        <v>195.00000009749999</v>
      </c>
      <c r="L124" s="18"/>
    </row>
    <row r="125" spans="1:12" ht="30" x14ac:dyDescent="0.25">
      <c r="A125" s="30" t="s">
        <v>308</v>
      </c>
      <c r="B125" s="4">
        <f t="shared" si="1"/>
        <v>124</v>
      </c>
      <c r="C125" s="31" t="s">
        <v>309</v>
      </c>
      <c r="D125" s="31" t="s">
        <v>23</v>
      </c>
      <c r="E125" s="31"/>
      <c r="F125" s="31" t="s">
        <v>25</v>
      </c>
      <c r="G125" s="31">
        <v>0</v>
      </c>
      <c r="H125" s="31" t="s">
        <v>26</v>
      </c>
      <c r="I125" s="16">
        <f>'[1]Tabla de Precios'!K124</f>
        <v>306.17000015308503</v>
      </c>
      <c r="J125" s="16">
        <f>'[1]Tabla de Precios'!L124</f>
        <v>590.85174424542583</v>
      </c>
      <c r="K125" s="16">
        <f>'[1]Tabla de Precios'!M124</f>
        <v>367.40400018370201</v>
      </c>
      <c r="L125" s="16"/>
    </row>
    <row r="126" spans="1:12" ht="30" x14ac:dyDescent="0.25">
      <c r="A126" s="32" t="s">
        <v>310</v>
      </c>
      <c r="B126" s="17">
        <f t="shared" si="1"/>
        <v>125</v>
      </c>
      <c r="C126" s="33" t="s">
        <v>311</v>
      </c>
      <c r="D126" s="33" t="s">
        <v>23</v>
      </c>
      <c r="E126" s="33"/>
      <c r="F126" s="33" t="s">
        <v>25</v>
      </c>
      <c r="G126" s="33">
        <v>9</v>
      </c>
      <c r="H126" s="33" t="s">
        <v>26</v>
      </c>
      <c r="I126" s="18">
        <f>'[1]Tabla de Precios'!K125</f>
        <v>408.33333386416666</v>
      </c>
      <c r="J126" s="18">
        <f>'[1]Tabla de Precios'!L125</f>
        <v>754.64000085103203</v>
      </c>
      <c r="K126" s="18">
        <f>'[1]Tabla de Precios'!M125</f>
        <v>490.00000063699997</v>
      </c>
      <c r="L126" s="18" t="s">
        <v>312</v>
      </c>
    </row>
    <row r="127" spans="1:12" x14ac:dyDescent="0.25">
      <c r="A127" s="30" t="s">
        <v>313</v>
      </c>
      <c r="B127" s="4">
        <f t="shared" si="1"/>
        <v>126</v>
      </c>
      <c r="C127" s="31" t="s">
        <v>314</v>
      </c>
      <c r="D127" s="31" t="s">
        <v>23</v>
      </c>
      <c r="E127" s="31"/>
      <c r="F127" s="31" t="s">
        <v>25</v>
      </c>
      <c r="G127" s="31">
        <v>0</v>
      </c>
      <c r="H127" s="31" t="s">
        <v>26</v>
      </c>
      <c r="I127" s="16">
        <f>'[1]Tabla de Precios'!K126</f>
        <v>161.64000000000001</v>
      </c>
      <c r="J127" s="16">
        <f>'[1]Tabla de Precios'!L126</f>
        <v>359.14124800000002</v>
      </c>
      <c r="K127" s="16">
        <f>'[1]Tabla de Precios'!M126</f>
        <v>193.96800000000002</v>
      </c>
      <c r="L127" s="16"/>
    </row>
    <row r="128" spans="1:12" x14ac:dyDescent="0.25">
      <c r="A128" s="32" t="s">
        <v>315</v>
      </c>
      <c r="B128" s="17">
        <f t="shared" si="1"/>
        <v>127</v>
      </c>
      <c r="C128" s="33" t="s">
        <v>316</v>
      </c>
      <c r="D128" s="33" t="s">
        <v>23</v>
      </c>
      <c r="E128" s="33"/>
      <c r="F128" s="33" t="s">
        <v>25</v>
      </c>
      <c r="G128" s="33">
        <v>0</v>
      </c>
      <c r="H128" s="33" t="s">
        <v>26</v>
      </c>
      <c r="I128" s="18">
        <f>'[1]Tabla de Precios'!K127</f>
        <v>375.00000048750002</v>
      </c>
      <c r="J128" s="18">
        <f>'[1]Tabla de Precios'!L127</f>
        <v>701.20000078155999</v>
      </c>
      <c r="K128" s="18">
        <f>'[1]Tabla de Precios'!M127</f>
        <v>450.00000058500001</v>
      </c>
      <c r="L128" s="18"/>
    </row>
    <row r="129" spans="1:12" ht="45" x14ac:dyDescent="0.25">
      <c r="A129" s="30" t="s">
        <v>317</v>
      </c>
      <c r="B129" s="4">
        <f t="shared" si="1"/>
        <v>128</v>
      </c>
      <c r="C129" s="31" t="s">
        <v>318</v>
      </c>
      <c r="D129" s="31" t="s">
        <v>23</v>
      </c>
      <c r="E129" s="31"/>
      <c r="F129" s="31" t="s">
        <v>25</v>
      </c>
      <c r="G129" s="31">
        <v>3</v>
      </c>
      <c r="H129" s="31" t="s">
        <v>26</v>
      </c>
      <c r="I129" s="16">
        <f>'[1]Tabla de Precios'!K128</f>
        <v>104.17500000000001</v>
      </c>
      <c r="J129" s="16">
        <f>'[1]Tabla de Precios'!L128</f>
        <v>267.01336000000003</v>
      </c>
      <c r="K129" s="16">
        <f>'[1]Tabla de Precios'!M128</f>
        <v>125.01000000000002</v>
      </c>
      <c r="L129" s="16"/>
    </row>
    <row r="130" spans="1:12" x14ac:dyDescent="0.25">
      <c r="A130" s="32" t="s">
        <v>319</v>
      </c>
      <c r="B130" s="17">
        <f t="shared" si="1"/>
        <v>129</v>
      </c>
      <c r="C130" s="33" t="s">
        <v>320</v>
      </c>
      <c r="D130" s="33" t="s">
        <v>23</v>
      </c>
      <c r="E130" s="33"/>
      <c r="F130" s="33" t="s">
        <v>25</v>
      </c>
      <c r="G130" s="33">
        <v>0</v>
      </c>
      <c r="H130" s="33" t="s">
        <v>26</v>
      </c>
      <c r="I130" s="18">
        <f>'[1]Tabla de Precios'!K129</f>
        <v>601.875</v>
      </c>
      <c r="J130" s="18">
        <f>'[1]Tabla de Precios'!L129</f>
        <v>1064.9259999999999</v>
      </c>
      <c r="K130" s="18">
        <f>'[1]Tabla de Precios'!M129</f>
        <v>722.25</v>
      </c>
      <c r="L130" s="18" t="s">
        <v>27</v>
      </c>
    </row>
    <row r="131" spans="1:12" x14ac:dyDescent="0.25">
      <c r="A131" s="30" t="s">
        <v>321</v>
      </c>
      <c r="B131" s="4">
        <f t="shared" ref="B131:B181" si="2">ROW(B130)</f>
        <v>130</v>
      </c>
      <c r="C131" s="31" t="s">
        <v>322</v>
      </c>
      <c r="D131" s="31" t="s">
        <v>23</v>
      </c>
      <c r="E131" s="31"/>
      <c r="F131" s="31" t="s">
        <v>25</v>
      </c>
      <c r="G131" s="31">
        <v>0</v>
      </c>
      <c r="H131" s="31" t="s">
        <v>26</v>
      </c>
      <c r="I131" s="16">
        <f>'[1]Tabla de Precios'!K130</f>
        <v>549</v>
      </c>
      <c r="J131" s="16">
        <f>'[1]Tabla de Precios'!L130</f>
        <v>980.15679999999998</v>
      </c>
      <c r="K131" s="16">
        <f>'[1]Tabla de Precios'!M130</f>
        <v>658.8</v>
      </c>
      <c r="L131" s="16" t="s">
        <v>323</v>
      </c>
    </row>
    <row r="132" spans="1:12" ht="30" x14ac:dyDescent="0.25">
      <c r="A132" s="32" t="s">
        <v>324</v>
      </c>
      <c r="B132" s="17">
        <f t="shared" si="2"/>
        <v>131</v>
      </c>
      <c r="C132" s="33" t="s">
        <v>325</v>
      </c>
      <c r="D132" s="33" t="s">
        <v>23</v>
      </c>
      <c r="E132" s="33"/>
      <c r="F132" s="33" t="s">
        <v>25</v>
      </c>
      <c r="G132" s="33">
        <v>2</v>
      </c>
      <c r="H132" s="33" t="s">
        <v>26</v>
      </c>
      <c r="I132" s="18">
        <f>'[1]Tabla de Precios'!K131</f>
        <v>291.66666704583326</v>
      </c>
      <c r="J132" s="18">
        <f>'[1]Tabla de Precios'!L131</f>
        <v>567.60000060787991</v>
      </c>
      <c r="K132" s="18">
        <f>'[1]Tabla de Precios'!M131</f>
        <v>350.00000045499991</v>
      </c>
      <c r="L132" s="18" t="s">
        <v>326</v>
      </c>
    </row>
    <row r="133" spans="1:12" ht="30" x14ac:dyDescent="0.25">
      <c r="A133" s="30" t="s">
        <v>327</v>
      </c>
      <c r="B133" s="4">
        <f t="shared" si="2"/>
        <v>132</v>
      </c>
      <c r="C133" s="31" t="s">
        <v>328</v>
      </c>
      <c r="D133" s="31" t="s">
        <v>23</v>
      </c>
      <c r="E133" s="31"/>
      <c r="F133" s="31" t="s">
        <v>25</v>
      </c>
      <c r="G133" s="31">
        <v>1</v>
      </c>
      <c r="H133" s="31" t="s">
        <v>26</v>
      </c>
      <c r="I133" s="16">
        <f>'[1]Tabla de Precios'!K132</f>
        <v>750.00000097500003</v>
      </c>
      <c r="J133" s="16">
        <f>'[1]Tabla de Precios'!L132</f>
        <v>1302.40000156312</v>
      </c>
      <c r="K133" s="16">
        <f>'[1]Tabla de Precios'!M132</f>
        <v>900.00000117000002</v>
      </c>
      <c r="L133" s="16" t="s">
        <v>329</v>
      </c>
    </row>
    <row r="134" spans="1:12" x14ac:dyDescent="0.25">
      <c r="A134" s="32" t="s">
        <v>330</v>
      </c>
      <c r="B134" s="17">
        <f t="shared" si="2"/>
        <v>133</v>
      </c>
      <c r="C134" s="33" t="s">
        <v>331</v>
      </c>
      <c r="D134" s="33" t="s">
        <v>23</v>
      </c>
      <c r="E134" s="33"/>
      <c r="F134" s="33" t="s">
        <v>25</v>
      </c>
      <c r="G134" s="33">
        <v>0</v>
      </c>
      <c r="H134" s="33" t="s">
        <v>26</v>
      </c>
      <c r="I134" s="18">
        <f>'[1]Tabla de Precios'!K133</f>
        <v>466.6666672733333</v>
      </c>
      <c r="J134" s="18">
        <f>'[1]Tabla de Precios'!L133</f>
        <v>848.16000097260803</v>
      </c>
      <c r="K134" s="18">
        <f>'[1]Tabla de Precios'!M133</f>
        <v>560.00000072800003</v>
      </c>
      <c r="L134" s="18"/>
    </row>
    <row r="135" spans="1:12" x14ac:dyDescent="0.25">
      <c r="A135" s="30" t="s">
        <v>332</v>
      </c>
      <c r="B135" s="4">
        <f t="shared" si="2"/>
        <v>134</v>
      </c>
      <c r="C135" s="31" t="s">
        <v>333</v>
      </c>
      <c r="D135" s="31" t="s">
        <v>23</v>
      </c>
      <c r="E135" s="31"/>
      <c r="F135" s="31" t="s">
        <v>25</v>
      </c>
      <c r="G135" s="31">
        <v>12</v>
      </c>
      <c r="H135" s="31" t="s">
        <v>26</v>
      </c>
      <c r="I135" s="16">
        <f>'[1]Tabla de Precios'!K134</f>
        <v>563.82196721311482</v>
      </c>
      <c r="J135" s="16">
        <f>'[1]Tabla de Precios'!L134</f>
        <v>1003.9193778360657</v>
      </c>
      <c r="K135" s="16">
        <f>'[1]Tabla de Precios'!M134</f>
        <v>676.58636065573774</v>
      </c>
      <c r="L135" s="16" t="s">
        <v>334</v>
      </c>
    </row>
    <row r="136" spans="1:12" ht="30" x14ac:dyDescent="0.25">
      <c r="A136" s="32" t="s">
        <v>335</v>
      </c>
      <c r="B136" s="17">
        <f t="shared" si="2"/>
        <v>135</v>
      </c>
      <c r="C136" s="33" t="s">
        <v>336</v>
      </c>
      <c r="D136" s="33" t="s">
        <v>23</v>
      </c>
      <c r="E136" s="33"/>
      <c r="F136" s="33" t="s">
        <v>25</v>
      </c>
      <c r="G136" s="33">
        <v>6</v>
      </c>
      <c r="H136" s="33" t="s">
        <v>26</v>
      </c>
      <c r="I136" s="18">
        <f>'[1]Tabla de Precios'!K135</f>
        <v>393.07000019653503</v>
      </c>
      <c r="J136" s="18">
        <f>'[1]Tabla de Precios'!L135</f>
        <v>730.16982431508495</v>
      </c>
      <c r="K136" s="18">
        <f>'[1]Tabla de Precios'!M135</f>
        <v>471.68400023584206</v>
      </c>
      <c r="L136" s="18" t="s">
        <v>337</v>
      </c>
    </row>
    <row r="137" spans="1:12" ht="30" x14ac:dyDescent="0.25">
      <c r="A137" s="30" t="s">
        <v>338</v>
      </c>
      <c r="B137" s="4">
        <f t="shared" si="2"/>
        <v>136</v>
      </c>
      <c r="C137" s="31" t="s">
        <v>339</v>
      </c>
      <c r="D137" s="31" t="s">
        <v>23</v>
      </c>
      <c r="E137" s="31"/>
      <c r="F137" s="31" t="s">
        <v>25</v>
      </c>
      <c r="G137" s="31">
        <v>3</v>
      </c>
      <c r="H137" s="31" t="s">
        <v>26</v>
      </c>
      <c r="I137" s="16">
        <f>'[1]Tabla de Precios'!K136</f>
        <v>403.40999999999997</v>
      </c>
      <c r="J137" s="16">
        <f>'[1]Tabla de Precios'!L136</f>
        <v>746.74691199999995</v>
      </c>
      <c r="K137" s="16">
        <f>'[1]Tabla de Precios'!M136</f>
        <v>484.09199999999998</v>
      </c>
      <c r="L137" s="16"/>
    </row>
    <row r="138" spans="1:12" ht="30" x14ac:dyDescent="0.25">
      <c r="A138" s="32" t="s">
        <v>340</v>
      </c>
      <c r="B138" s="17">
        <f t="shared" si="2"/>
        <v>137</v>
      </c>
      <c r="C138" s="33" t="s">
        <v>341</v>
      </c>
      <c r="D138" s="33" t="s">
        <v>23</v>
      </c>
      <c r="E138" s="33"/>
      <c r="F138" s="33" t="s">
        <v>25</v>
      </c>
      <c r="G138" s="33">
        <v>1</v>
      </c>
      <c r="H138" s="33" t="s">
        <v>26</v>
      </c>
      <c r="I138" s="18">
        <f>'[1]Tabla de Precios'!K137</f>
        <v>277.60500000000002</v>
      </c>
      <c r="J138" s="18">
        <f>'[1]Tabla de Precios'!L137</f>
        <v>545.0563360000001</v>
      </c>
      <c r="K138" s="18">
        <f>'[1]Tabla de Precios'!M137</f>
        <v>333.12600000000003</v>
      </c>
      <c r="L138" s="18"/>
    </row>
    <row r="139" spans="1:12" x14ac:dyDescent="0.25">
      <c r="A139" s="30" t="s">
        <v>342</v>
      </c>
      <c r="B139" s="4">
        <f t="shared" si="2"/>
        <v>138</v>
      </c>
      <c r="C139" s="31" t="s">
        <v>343</v>
      </c>
      <c r="D139" s="31" t="s">
        <v>23</v>
      </c>
      <c r="E139" s="31"/>
      <c r="F139" s="31" t="s">
        <v>25</v>
      </c>
      <c r="G139" s="31">
        <v>0</v>
      </c>
      <c r="H139" s="31" t="s">
        <v>26</v>
      </c>
      <c r="I139" s="16">
        <f>'[1]Tabla de Precios'!K138</f>
        <v>352.56410291666668</v>
      </c>
      <c r="J139" s="16">
        <f>'[1]Tabla de Precios'!L138</f>
        <v>665.230769796</v>
      </c>
      <c r="K139" s="16">
        <f>'[1]Tabla de Precios'!M138</f>
        <v>423.07692350000002</v>
      </c>
      <c r="L139" s="16"/>
    </row>
    <row r="140" spans="1:12" ht="30" x14ac:dyDescent="0.25">
      <c r="A140" s="32" t="s">
        <v>344</v>
      </c>
      <c r="B140" s="17">
        <f t="shared" si="2"/>
        <v>139</v>
      </c>
      <c r="C140" s="33" t="s">
        <v>345</v>
      </c>
      <c r="D140" s="33" t="s">
        <v>23</v>
      </c>
      <c r="E140" s="33"/>
      <c r="F140" s="33" t="s">
        <v>25</v>
      </c>
      <c r="G140" s="33">
        <v>1</v>
      </c>
      <c r="H140" s="33" t="s">
        <v>26</v>
      </c>
      <c r="I140" s="18">
        <f>'[1]Tabla de Precios'!K139</f>
        <v>348.29000017414501</v>
      </c>
      <c r="J140" s="18">
        <f>'[1]Tabla de Precios'!L139</f>
        <v>658.37852827918925</v>
      </c>
      <c r="K140" s="18">
        <f>'[1]Tabla de Precios'!M139</f>
        <v>417.94800020897401</v>
      </c>
      <c r="L140" s="18"/>
    </row>
    <row r="141" spans="1:12" ht="30" x14ac:dyDescent="0.25">
      <c r="A141" s="30" t="s">
        <v>346</v>
      </c>
      <c r="B141" s="4">
        <f t="shared" si="2"/>
        <v>140</v>
      </c>
      <c r="C141" s="31" t="s">
        <v>347</v>
      </c>
      <c r="D141" s="31" t="s">
        <v>23</v>
      </c>
      <c r="E141" s="31"/>
      <c r="F141" s="31" t="s">
        <v>25</v>
      </c>
      <c r="G141" s="31">
        <v>0</v>
      </c>
      <c r="H141" s="31" t="s">
        <v>26</v>
      </c>
      <c r="I141" s="16">
        <f>'[1]Tabla de Precios'!K140</f>
        <v>202.51499999999999</v>
      </c>
      <c r="J141" s="16">
        <f>'[1]Tabla de Precios'!L140</f>
        <v>424.67204799999996</v>
      </c>
      <c r="K141" s="16">
        <f>'[1]Tabla de Precios'!M140</f>
        <v>243.01799999999997</v>
      </c>
      <c r="L141" s="16"/>
    </row>
    <row r="142" spans="1:12" ht="45" x14ac:dyDescent="0.25">
      <c r="A142" s="32" t="s">
        <v>348</v>
      </c>
      <c r="B142" s="17">
        <f t="shared" si="2"/>
        <v>141</v>
      </c>
      <c r="C142" s="33" t="s">
        <v>349</v>
      </c>
      <c r="D142" s="33" t="s">
        <v>23</v>
      </c>
      <c r="E142" s="33"/>
      <c r="F142" s="33" t="s">
        <v>25</v>
      </c>
      <c r="G142" s="33">
        <v>4</v>
      </c>
      <c r="H142" s="33" t="s">
        <v>26</v>
      </c>
      <c r="I142" s="18">
        <f>'[1]Tabla de Precios'!K141</f>
        <v>206.19</v>
      </c>
      <c r="J142" s="18">
        <f>'[1]Tabla de Precios'!L141</f>
        <v>430.56380799999999</v>
      </c>
      <c r="K142" s="18">
        <f>'[1]Tabla de Precios'!M141</f>
        <v>247.428</v>
      </c>
      <c r="L142" s="18"/>
    </row>
    <row r="143" spans="1:12" ht="30" x14ac:dyDescent="0.25">
      <c r="A143" s="30" t="s">
        <v>350</v>
      </c>
      <c r="B143" s="4">
        <f t="shared" si="2"/>
        <v>142</v>
      </c>
      <c r="C143" s="31" t="s">
        <v>351</v>
      </c>
      <c r="D143" s="31" t="s">
        <v>23</v>
      </c>
      <c r="E143" s="31"/>
      <c r="F143" s="31" t="s">
        <v>25</v>
      </c>
      <c r="G143" s="31">
        <v>6</v>
      </c>
      <c r="H143" s="31" t="s">
        <v>32</v>
      </c>
      <c r="I143" s="16">
        <f>'[1]Tabla de Precios'!K142</f>
        <v>178.36500000000001</v>
      </c>
      <c r="J143" s="16">
        <f>'[1]Tabla de Precios'!L142</f>
        <v>385.954768</v>
      </c>
      <c r="K143" s="16">
        <f>'[1]Tabla de Precios'!M142</f>
        <v>214.03800000000001</v>
      </c>
      <c r="L143" s="16" t="s">
        <v>352</v>
      </c>
    </row>
    <row r="144" spans="1:12" ht="30" x14ac:dyDescent="0.25">
      <c r="A144" s="32" t="s">
        <v>353</v>
      </c>
      <c r="B144" s="17">
        <f t="shared" si="2"/>
        <v>143</v>
      </c>
      <c r="C144" s="33" t="s">
        <v>354</v>
      </c>
      <c r="D144" s="33" t="s">
        <v>23</v>
      </c>
      <c r="E144" s="33"/>
      <c r="F144" s="33" t="s">
        <v>25</v>
      </c>
      <c r="G144" s="33">
        <v>0</v>
      </c>
      <c r="H144" s="33" t="s">
        <v>26</v>
      </c>
      <c r="I144" s="18">
        <f>'[1]Tabla de Precios'!K143</f>
        <v>1025.0000010250001</v>
      </c>
      <c r="J144" s="18">
        <f>'[1]Tabla de Precios'!L143</f>
        <v>1743.2800016432802</v>
      </c>
      <c r="K144" s="18">
        <f>'[1]Tabla de Precios'!M143</f>
        <v>1230.0000012300002</v>
      </c>
      <c r="L144" s="18"/>
    </row>
    <row r="145" spans="1:12" ht="30" x14ac:dyDescent="0.25">
      <c r="A145" s="30" t="s">
        <v>355</v>
      </c>
      <c r="B145" s="4">
        <f t="shared" si="2"/>
        <v>144</v>
      </c>
      <c r="C145" s="31" t="s">
        <v>356</v>
      </c>
      <c r="D145" s="31" t="s">
        <v>23</v>
      </c>
      <c r="E145" s="31"/>
      <c r="F145" s="31" t="s">
        <v>25</v>
      </c>
      <c r="G145" s="31">
        <v>3</v>
      </c>
      <c r="H145" s="31" t="s">
        <v>26</v>
      </c>
      <c r="I145" s="16">
        <f>'[1]Tabla de Precios'!K144</f>
        <v>26.895</v>
      </c>
      <c r="J145" s="16">
        <f>'[1]Tabla de Precios'!L144</f>
        <v>143.118064</v>
      </c>
      <c r="K145" s="16">
        <f>'[1]Tabla de Precios'!M144</f>
        <v>32.274000000000001</v>
      </c>
      <c r="L145" s="16"/>
    </row>
    <row r="146" spans="1:12" ht="30" x14ac:dyDescent="0.25">
      <c r="A146" s="32" t="s">
        <v>357</v>
      </c>
      <c r="B146" s="17">
        <f t="shared" si="2"/>
        <v>145</v>
      </c>
      <c r="C146" s="33" t="s">
        <v>358</v>
      </c>
      <c r="D146" s="33" t="s">
        <v>23</v>
      </c>
      <c r="E146" s="33"/>
      <c r="F146" s="33" t="s">
        <v>25</v>
      </c>
      <c r="G146" s="33">
        <v>0</v>
      </c>
      <c r="H146" s="33" t="s">
        <v>26</v>
      </c>
      <c r="I146" s="18">
        <f>'[1]Tabla de Precios'!K145</f>
        <v>1333.3333350666667</v>
      </c>
      <c r="J146" s="18">
        <f>'[1]Tabla de Precios'!L145</f>
        <v>2237.60000277888</v>
      </c>
      <c r="K146" s="18">
        <f>'[1]Tabla de Precios'!M145</f>
        <v>1600.0000020800001</v>
      </c>
      <c r="L146" s="18" t="s">
        <v>359</v>
      </c>
    </row>
    <row r="147" spans="1:12" x14ac:dyDescent="0.25">
      <c r="A147" s="30" t="s">
        <v>360</v>
      </c>
      <c r="B147" s="4">
        <f t="shared" si="2"/>
        <v>146</v>
      </c>
      <c r="C147" s="31" t="s">
        <v>361</v>
      </c>
      <c r="D147" s="31" t="s">
        <v>23</v>
      </c>
      <c r="E147" s="31"/>
      <c r="F147" s="31" t="s">
        <v>25</v>
      </c>
      <c r="G147" s="31">
        <v>1</v>
      </c>
      <c r="H147" s="31" t="s">
        <v>26</v>
      </c>
      <c r="I147" s="16">
        <f>'[1]Tabla de Precios'!K146</f>
        <v>249.255</v>
      </c>
      <c r="J147" s="16">
        <f>'[1]Tabla de Precios'!L146</f>
        <v>499.605616</v>
      </c>
      <c r="K147" s="16">
        <f>'[1]Tabla de Precios'!M146</f>
        <v>299.10599999999999</v>
      </c>
      <c r="L147" s="16"/>
    </row>
    <row r="148" spans="1:12" ht="30" x14ac:dyDescent="0.25">
      <c r="A148" s="32" t="s">
        <v>362</v>
      </c>
      <c r="B148" s="17">
        <f t="shared" si="2"/>
        <v>147</v>
      </c>
      <c r="C148" s="33" t="s">
        <v>363</v>
      </c>
      <c r="D148" s="33" t="s">
        <v>23</v>
      </c>
      <c r="E148" s="33"/>
      <c r="F148" s="33" t="s">
        <v>25</v>
      </c>
      <c r="G148" s="33">
        <v>0</v>
      </c>
      <c r="H148" s="33" t="s">
        <v>26</v>
      </c>
      <c r="I148" s="18">
        <f>'[1]Tabla de Precios'!K147</f>
        <v>605.67000030283498</v>
      </c>
      <c r="J148" s="18">
        <f>'[1]Tabla de Precios'!L147</f>
        <v>1071.010144485505</v>
      </c>
      <c r="K148" s="18">
        <f>'[1]Tabla de Precios'!M147</f>
        <v>726.804000363402</v>
      </c>
      <c r="L148" s="18" t="s">
        <v>364</v>
      </c>
    </row>
    <row r="149" spans="1:12" x14ac:dyDescent="0.25">
      <c r="A149" s="30" t="s">
        <v>365</v>
      </c>
      <c r="B149" s="4">
        <f t="shared" si="2"/>
        <v>148</v>
      </c>
      <c r="C149" s="31" t="s">
        <v>366</v>
      </c>
      <c r="D149" s="31" t="s">
        <v>23</v>
      </c>
      <c r="E149" s="31" t="s">
        <v>28</v>
      </c>
      <c r="F149" s="31" t="s">
        <v>25</v>
      </c>
      <c r="G149" s="31">
        <v>0</v>
      </c>
      <c r="H149" s="31" t="s">
        <v>32</v>
      </c>
      <c r="I149" s="16">
        <f>'[1]Tabla de Precios'!K148</f>
        <v>8757.8287500000006</v>
      </c>
      <c r="J149" s="16">
        <f>'[1]Tabla de Precios'!L148</f>
        <v>14140.551052000001</v>
      </c>
      <c r="K149" s="16">
        <f>'[1]Tabla de Precios'!M148</f>
        <v>10509.3945</v>
      </c>
      <c r="L149" s="16" t="s">
        <v>367</v>
      </c>
    </row>
    <row r="150" spans="1:12" x14ac:dyDescent="0.25">
      <c r="A150" s="32" t="s">
        <v>368</v>
      </c>
      <c r="B150" s="17">
        <f t="shared" si="2"/>
        <v>149</v>
      </c>
      <c r="C150" s="33" t="s">
        <v>369</v>
      </c>
      <c r="D150" s="33" t="s">
        <v>23</v>
      </c>
      <c r="E150" s="33"/>
      <c r="F150" s="33" t="s">
        <v>25</v>
      </c>
      <c r="G150" s="33">
        <v>0</v>
      </c>
      <c r="H150" s="33" t="s">
        <v>32</v>
      </c>
      <c r="I150" s="18">
        <f>'[1]Tabla de Precios'!K149</f>
        <v>9228.911250000001</v>
      </c>
      <c r="J150" s="18">
        <f>'[1]Tabla de Precios'!L149</f>
        <v>14895.790516000001</v>
      </c>
      <c r="K150" s="18">
        <f>'[1]Tabla de Precios'!M149</f>
        <v>11074.693500000001</v>
      </c>
      <c r="L150" s="18" t="s">
        <v>370</v>
      </c>
    </row>
    <row r="151" spans="1:12" ht="30" x14ac:dyDescent="0.25">
      <c r="A151" s="30" t="s">
        <v>371</v>
      </c>
      <c r="B151" s="4">
        <f t="shared" si="2"/>
        <v>150</v>
      </c>
      <c r="C151" s="31" t="s">
        <v>372</v>
      </c>
      <c r="D151" s="31" t="s">
        <v>23</v>
      </c>
      <c r="E151" s="31"/>
      <c r="F151" s="31" t="s">
        <v>25</v>
      </c>
      <c r="G151" s="31">
        <v>0</v>
      </c>
      <c r="H151" s="31" t="s">
        <v>32</v>
      </c>
      <c r="I151" s="16">
        <f>'[1]Tabla de Precios'!K150</f>
        <v>0</v>
      </c>
      <c r="J151" s="16">
        <f>'[1]Tabla de Precios'!L150</f>
        <v>100</v>
      </c>
      <c r="K151" s="16">
        <f>'[1]Tabla de Precios'!M150</f>
        <v>0</v>
      </c>
      <c r="L151" s="16"/>
    </row>
    <row r="152" spans="1:12" x14ac:dyDescent="0.25">
      <c r="A152" s="32" t="s">
        <v>373</v>
      </c>
      <c r="B152" s="17">
        <f t="shared" si="2"/>
        <v>151</v>
      </c>
      <c r="C152" s="33" t="s">
        <v>374</v>
      </c>
      <c r="D152" s="33" t="s">
        <v>23</v>
      </c>
      <c r="E152" s="33"/>
      <c r="F152" s="33" t="s">
        <v>375</v>
      </c>
      <c r="G152" s="33">
        <v>0</v>
      </c>
      <c r="H152" s="33" t="s">
        <v>32</v>
      </c>
      <c r="I152" s="18">
        <f>'[1]Tabla de Precios'!K151</f>
        <v>0</v>
      </c>
      <c r="J152" s="18">
        <f>'[1]Tabla de Precios'!L151</f>
        <v>100</v>
      </c>
      <c r="K152" s="18">
        <f>'[1]Tabla de Precios'!M151</f>
        <v>0</v>
      </c>
      <c r="L152" s="18"/>
    </row>
    <row r="153" spans="1:12" ht="30" x14ac:dyDescent="0.25">
      <c r="A153" s="30" t="s">
        <v>376</v>
      </c>
      <c r="B153" s="4">
        <f t="shared" si="2"/>
        <v>152</v>
      </c>
      <c r="C153" s="31" t="s">
        <v>377</v>
      </c>
      <c r="D153" s="31" t="s">
        <v>23</v>
      </c>
      <c r="E153" s="31"/>
      <c r="F153" s="31" t="s">
        <v>375</v>
      </c>
      <c r="G153" s="31">
        <v>0</v>
      </c>
      <c r="H153" s="31" t="s">
        <v>32</v>
      </c>
      <c r="I153" s="16">
        <f>'[1]Tabla de Precios'!K152</f>
        <v>7500.0000037499995</v>
      </c>
      <c r="J153" s="16">
        <f>'[1]Tabla de Precios'!L152</f>
        <v>12124.000006012</v>
      </c>
      <c r="K153" s="16">
        <f>'[1]Tabla de Precios'!M152</f>
        <v>9000.0000044999997</v>
      </c>
      <c r="L153" s="16"/>
    </row>
    <row r="154" spans="1:12" ht="30" x14ac:dyDescent="0.25">
      <c r="A154" s="32" t="s">
        <v>378</v>
      </c>
      <c r="B154" s="17">
        <f t="shared" si="2"/>
        <v>153</v>
      </c>
      <c r="C154" s="33" t="s">
        <v>379</v>
      </c>
      <c r="D154" s="33" t="s">
        <v>23</v>
      </c>
      <c r="E154" s="33" t="s">
        <v>24</v>
      </c>
      <c r="F154" s="33" t="s">
        <v>25</v>
      </c>
      <c r="G154" s="33">
        <v>0</v>
      </c>
      <c r="H154" s="33" t="s">
        <v>32</v>
      </c>
      <c r="I154" s="18">
        <f>'[1]Tabla de Precios'!K153</f>
        <v>6161.7000030808504</v>
      </c>
      <c r="J154" s="18">
        <f>'[1]Tabla de Precios'!L153</f>
        <v>9978.4374449392199</v>
      </c>
      <c r="K154" s="18">
        <f>'[1]Tabla de Precios'!M153</f>
        <v>7394.0400036970204</v>
      </c>
      <c r="L154" s="18" t="s">
        <v>380</v>
      </c>
    </row>
    <row r="155" spans="1:12" x14ac:dyDescent="0.25">
      <c r="A155" s="30" t="s">
        <v>381</v>
      </c>
      <c r="B155" s="4">
        <f t="shared" si="2"/>
        <v>154</v>
      </c>
      <c r="C155" s="31" t="s">
        <v>382</v>
      </c>
      <c r="D155" s="31" t="s">
        <v>23</v>
      </c>
      <c r="E155" s="31" t="s">
        <v>35</v>
      </c>
      <c r="F155" s="31" t="s">
        <v>25</v>
      </c>
      <c r="G155" s="31">
        <v>0</v>
      </c>
      <c r="H155" s="31" t="s">
        <v>32</v>
      </c>
      <c r="I155" s="16">
        <f>'[1]Tabla de Precios'!K154</f>
        <v>6161.7000030808504</v>
      </c>
      <c r="J155" s="16">
        <f>'[1]Tabla de Precios'!L154</f>
        <v>9978.4374449392199</v>
      </c>
      <c r="K155" s="16">
        <f>'[1]Tabla de Precios'!M154</f>
        <v>7394.0400036970204</v>
      </c>
      <c r="L155" s="16" t="s">
        <v>383</v>
      </c>
    </row>
    <row r="156" spans="1:12" x14ac:dyDescent="0.25">
      <c r="A156" s="32" t="s">
        <v>384</v>
      </c>
      <c r="B156" s="17">
        <f t="shared" si="2"/>
        <v>155</v>
      </c>
      <c r="C156" s="33" t="s">
        <v>385</v>
      </c>
      <c r="D156" s="33" t="s">
        <v>23</v>
      </c>
      <c r="E156" s="33"/>
      <c r="F156" s="33" t="s">
        <v>25</v>
      </c>
      <c r="G156" s="33">
        <v>9</v>
      </c>
      <c r="H156" s="33" t="s">
        <v>32</v>
      </c>
      <c r="I156" s="18">
        <f>'[1]Tabla de Precios'!K155</f>
        <v>3889.0401241935488</v>
      </c>
      <c r="J156" s="18">
        <f>'[1]Tabla de Precios'!L155</f>
        <v>6334.9091271070974</v>
      </c>
      <c r="K156" s="18">
        <f>'[1]Tabla de Precios'!M155</f>
        <v>4666.8481490322583</v>
      </c>
      <c r="L156" s="18" t="s">
        <v>386</v>
      </c>
    </row>
    <row r="157" spans="1:12" x14ac:dyDescent="0.25">
      <c r="A157" s="30" t="s">
        <v>387</v>
      </c>
      <c r="B157" s="4">
        <f t="shared" si="2"/>
        <v>156</v>
      </c>
      <c r="C157" s="31" t="s">
        <v>388</v>
      </c>
      <c r="D157" s="31" t="s">
        <v>23</v>
      </c>
      <c r="E157" s="31"/>
      <c r="F157" s="31" t="s">
        <v>25</v>
      </c>
      <c r="G157" s="31">
        <v>0</v>
      </c>
      <c r="H157" s="31" t="s">
        <v>389</v>
      </c>
      <c r="I157" s="16">
        <f>'[1]Tabla de Precios'!K156</f>
        <v>0</v>
      </c>
      <c r="J157" s="16">
        <f>'[1]Tabla de Precios'!L156</f>
        <v>100</v>
      </c>
      <c r="K157" s="16">
        <f>'[1]Tabla de Precios'!M156</f>
        <v>0</v>
      </c>
      <c r="L157" s="16"/>
    </row>
    <row r="158" spans="1:12" ht="30" x14ac:dyDescent="0.25">
      <c r="A158" s="32" t="s">
        <v>390</v>
      </c>
      <c r="B158" s="17">
        <f t="shared" si="2"/>
        <v>157</v>
      </c>
      <c r="C158" s="33" t="s">
        <v>391</v>
      </c>
      <c r="D158" s="33" t="s">
        <v>23</v>
      </c>
      <c r="E158" s="33"/>
      <c r="F158" s="33" t="s">
        <v>25</v>
      </c>
      <c r="G158" s="33">
        <v>1</v>
      </c>
      <c r="H158" s="33" t="s">
        <v>32</v>
      </c>
      <c r="I158" s="18">
        <f>'[1]Tabla de Precios'!K157</f>
        <v>5530.65</v>
      </c>
      <c r="J158" s="18">
        <f>'[1]Tabla de Precios'!L157</f>
        <v>8966.7380799999992</v>
      </c>
      <c r="K158" s="18">
        <f>'[1]Tabla de Precios'!M157</f>
        <v>6636.78</v>
      </c>
      <c r="L158" s="18" t="s">
        <v>392</v>
      </c>
    </row>
    <row r="159" spans="1:12" x14ac:dyDescent="0.25">
      <c r="A159" s="30" t="s">
        <v>393</v>
      </c>
      <c r="B159" s="4">
        <f t="shared" si="2"/>
        <v>158</v>
      </c>
      <c r="C159" s="31" t="s">
        <v>394</v>
      </c>
      <c r="D159" s="31" t="s">
        <v>23</v>
      </c>
      <c r="E159" s="31"/>
      <c r="F159" s="31" t="s">
        <v>25</v>
      </c>
      <c r="G159" s="31">
        <v>8</v>
      </c>
      <c r="H159" s="31" t="s">
        <v>32</v>
      </c>
      <c r="I159" s="16">
        <f>'[1]Tabla de Precios'!K158</f>
        <v>5566.6652758064511</v>
      </c>
      <c r="J159" s="16">
        <f>'[1]Tabla de Precios'!L158</f>
        <v>9024.4777701729017</v>
      </c>
      <c r="K159" s="16">
        <f>'[1]Tabla de Precios'!M158</f>
        <v>6679.9983309677409</v>
      </c>
      <c r="L159" s="16" t="s">
        <v>395</v>
      </c>
    </row>
    <row r="160" spans="1:12" x14ac:dyDescent="0.25">
      <c r="A160" s="32" t="s">
        <v>396</v>
      </c>
      <c r="B160" s="17">
        <f t="shared" si="2"/>
        <v>159</v>
      </c>
      <c r="C160" s="33" t="s">
        <v>397</v>
      </c>
      <c r="D160" s="33" t="s">
        <v>23</v>
      </c>
      <c r="E160" s="33"/>
      <c r="F160" s="33" t="s">
        <v>25</v>
      </c>
      <c r="G160" s="33">
        <v>7</v>
      </c>
      <c r="H160" s="33" t="s">
        <v>32</v>
      </c>
      <c r="I160" s="18">
        <f>'[1]Tabla de Precios'!K159</f>
        <v>5021.3675214238601</v>
      </c>
      <c r="J160" s="18">
        <f>'[1]Tabla de Precios'!L159</f>
        <v>8150.2564103467321</v>
      </c>
      <c r="K160" s="18">
        <f>'[1]Tabla de Precios'!M159</f>
        <v>6025.6410257086318</v>
      </c>
      <c r="L160" s="18" t="s">
        <v>398</v>
      </c>
    </row>
    <row r="161" spans="1:12" x14ac:dyDescent="0.25">
      <c r="A161" s="30" t="s">
        <v>399</v>
      </c>
      <c r="B161" s="4">
        <f t="shared" si="2"/>
        <v>160</v>
      </c>
      <c r="C161" s="31" t="s">
        <v>400</v>
      </c>
      <c r="D161" s="31" t="s">
        <v>23</v>
      </c>
      <c r="E161" s="31"/>
      <c r="F161" s="31" t="s">
        <v>25</v>
      </c>
      <c r="G161" s="31">
        <v>6</v>
      </c>
      <c r="H161" s="31" t="s">
        <v>26</v>
      </c>
      <c r="I161" s="16">
        <f>'[1]Tabla de Precios'!K160</f>
        <v>625.16666747938348</v>
      </c>
      <c r="J161" s="16">
        <f>'[1]Tabla de Precios'!L160</f>
        <v>1102.2672013029476</v>
      </c>
      <c r="K161" s="16">
        <f>'[1]Tabla de Precios'!M160</f>
        <v>750.2000009752602</v>
      </c>
      <c r="L161" s="16" t="s">
        <v>401</v>
      </c>
    </row>
    <row r="162" spans="1:12" ht="30" x14ac:dyDescent="0.25">
      <c r="A162" s="32" t="s">
        <v>402</v>
      </c>
      <c r="B162" s="17">
        <f t="shared" si="2"/>
        <v>161</v>
      </c>
      <c r="C162" s="33" t="s">
        <v>403</v>
      </c>
      <c r="D162" s="33" t="s">
        <v>23</v>
      </c>
      <c r="E162" s="33"/>
      <c r="F162" s="33" t="s">
        <v>25</v>
      </c>
      <c r="G162" s="33">
        <v>5</v>
      </c>
      <c r="H162" s="33" t="s">
        <v>26</v>
      </c>
      <c r="I162" s="18">
        <f>'[1]Tabla de Precios'!K161</f>
        <v>829.95833441227933</v>
      </c>
      <c r="J162" s="18">
        <f>'[1]Tabla de Precios'!L161</f>
        <v>1430.5892017297663</v>
      </c>
      <c r="K162" s="18">
        <f>'[1]Tabla de Precios'!M161</f>
        <v>995.95000129473522</v>
      </c>
      <c r="L162" s="18" t="s">
        <v>404</v>
      </c>
    </row>
    <row r="163" spans="1:12" ht="30" x14ac:dyDescent="0.25">
      <c r="A163" s="30" t="s">
        <v>405</v>
      </c>
      <c r="B163" s="4">
        <f t="shared" si="2"/>
        <v>162</v>
      </c>
      <c r="C163" s="31" t="s">
        <v>406</v>
      </c>
      <c r="D163" s="31" t="s">
        <v>23</v>
      </c>
      <c r="E163" s="31"/>
      <c r="F163" s="31" t="s">
        <v>25</v>
      </c>
      <c r="G163" s="31">
        <v>9</v>
      </c>
      <c r="H163" s="31" t="s">
        <v>26</v>
      </c>
      <c r="I163" s="16">
        <f>'[1]Tabla de Precios'!K162</f>
        <v>474.16666728308337</v>
      </c>
      <c r="J163" s="16">
        <f>'[1]Tabla de Precios'!L162</f>
        <v>860.18400098823918</v>
      </c>
      <c r="K163" s="16">
        <f>'[1]Tabla de Precios'!M162</f>
        <v>569.0000007397</v>
      </c>
      <c r="L163" s="16" t="s">
        <v>407</v>
      </c>
    </row>
    <row r="164" spans="1:12" x14ac:dyDescent="0.25">
      <c r="A164" s="32" t="s">
        <v>408</v>
      </c>
      <c r="B164" s="17">
        <f t="shared" si="2"/>
        <v>163</v>
      </c>
      <c r="C164" s="33" t="s">
        <v>409</v>
      </c>
      <c r="D164" s="33" t="s">
        <v>23</v>
      </c>
      <c r="E164" s="33"/>
      <c r="F164" s="33" t="s">
        <v>25</v>
      </c>
      <c r="G164" s="33">
        <v>28</v>
      </c>
      <c r="H164" s="33" t="s">
        <v>26</v>
      </c>
      <c r="I164" s="18">
        <f>'[1]Tabla de Precios'!K163</f>
        <v>282.24</v>
      </c>
      <c r="J164" s="18">
        <f>'[1]Tabla de Precios'!L163</f>
        <v>552.487168</v>
      </c>
      <c r="K164" s="18">
        <f>'[1]Tabla de Precios'!M163</f>
        <v>338.68799999999999</v>
      </c>
      <c r="L164" s="18"/>
    </row>
    <row r="165" spans="1:12" ht="30" x14ac:dyDescent="0.25">
      <c r="A165" s="30" t="s">
        <v>410</v>
      </c>
      <c r="B165" s="4">
        <f t="shared" si="2"/>
        <v>164</v>
      </c>
      <c r="C165" s="31" t="s">
        <v>411</v>
      </c>
      <c r="D165" s="31" t="s">
        <v>23</v>
      </c>
      <c r="E165" s="31"/>
      <c r="F165" s="31" t="s">
        <v>25</v>
      </c>
      <c r="G165" s="31">
        <v>5</v>
      </c>
      <c r="H165" s="31" t="s">
        <v>26</v>
      </c>
      <c r="I165" s="16">
        <f>'[1]Tabla de Precios'!K164</f>
        <v>193.20000000000002</v>
      </c>
      <c r="J165" s="16">
        <f>'[1]Tabla de Precios'!L164</f>
        <v>409.73824000000002</v>
      </c>
      <c r="K165" s="16">
        <f>'[1]Tabla de Precios'!M164</f>
        <v>231.84000000000003</v>
      </c>
      <c r="L165" s="16"/>
    </row>
    <row r="166" spans="1:12" x14ac:dyDescent="0.25">
      <c r="A166" s="32" t="s">
        <v>412</v>
      </c>
      <c r="B166" s="17">
        <f t="shared" si="2"/>
        <v>165</v>
      </c>
      <c r="C166" s="33" t="s">
        <v>413</v>
      </c>
      <c r="D166" s="33" t="s">
        <v>23</v>
      </c>
      <c r="E166" s="33"/>
      <c r="F166" s="33" t="s">
        <v>25</v>
      </c>
      <c r="G166" s="33">
        <v>0</v>
      </c>
      <c r="H166" s="33" t="s">
        <v>26</v>
      </c>
      <c r="I166" s="18">
        <f>'[1]Tabla de Precios'!K165</f>
        <v>153.63</v>
      </c>
      <c r="J166" s="18">
        <f>'[1]Tabla de Precios'!L165</f>
        <v>346.29961600000001</v>
      </c>
      <c r="K166" s="18">
        <f>'[1]Tabla de Precios'!M165</f>
        <v>184.35599999999999</v>
      </c>
      <c r="L166" s="18"/>
    </row>
    <row r="167" spans="1:12" x14ac:dyDescent="0.25">
      <c r="A167" s="30" t="s">
        <v>414</v>
      </c>
      <c r="B167" s="4">
        <f t="shared" si="2"/>
        <v>166</v>
      </c>
      <c r="C167" s="31" t="s">
        <v>415</v>
      </c>
      <c r="D167" s="31" t="s">
        <v>23</v>
      </c>
      <c r="E167" s="31"/>
      <c r="F167" s="31" t="s">
        <v>25</v>
      </c>
      <c r="G167" s="31">
        <v>0</v>
      </c>
      <c r="H167" s="31" t="s">
        <v>26</v>
      </c>
      <c r="I167" s="16">
        <f>'[1]Tabla de Precios'!K166</f>
        <v>933.42000046670989</v>
      </c>
      <c r="J167" s="16">
        <f>'[1]Tabla de Precios'!L166</f>
        <v>1596.4589447482294</v>
      </c>
      <c r="K167" s="16">
        <f>'[1]Tabla de Precios'!M166</f>
        <v>1120.1040005600519</v>
      </c>
      <c r="L167" s="16" t="s">
        <v>416</v>
      </c>
    </row>
    <row r="168" spans="1:12" x14ac:dyDescent="0.25">
      <c r="A168" s="32" t="s">
        <v>417</v>
      </c>
      <c r="B168" s="17">
        <f t="shared" si="2"/>
        <v>167</v>
      </c>
      <c r="C168" s="33" t="s">
        <v>418</v>
      </c>
      <c r="D168" s="33" t="s">
        <v>23</v>
      </c>
      <c r="E168" s="33"/>
      <c r="F168" s="33" t="s">
        <v>25</v>
      </c>
      <c r="G168" s="33">
        <v>60</v>
      </c>
      <c r="H168" s="33" t="s">
        <v>26</v>
      </c>
      <c r="I168" s="18">
        <f>'[1]Tabla de Precios'!K167</f>
        <v>88.89</v>
      </c>
      <c r="J168" s="18">
        <f>'[1]Tabla de Precios'!L167</f>
        <v>242.50844800000002</v>
      </c>
      <c r="K168" s="18">
        <f>'[1]Tabla de Precios'!M167</f>
        <v>106.66800000000001</v>
      </c>
      <c r="L168" s="18"/>
    </row>
    <row r="169" spans="1:12" ht="30" x14ac:dyDescent="0.25">
      <c r="A169" s="30" t="s">
        <v>419</v>
      </c>
      <c r="B169" s="4">
        <f t="shared" si="2"/>
        <v>168</v>
      </c>
      <c r="C169" s="31" t="s">
        <v>420</v>
      </c>
      <c r="D169" s="31" t="s">
        <v>23</v>
      </c>
      <c r="E169" s="31"/>
      <c r="F169" s="31" t="s">
        <v>25</v>
      </c>
      <c r="G169" s="31">
        <v>0</v>
      </c>
      <c r="H169" s="31" t="s">
        <v>26</v>
      </c>
      <c r="I169" s="16">
        <f>'[1]Tabla de Precios'!K168</f>
        <v>259.5</v>
      </c>
      <c r="J169" s="16">
        <f>'[1]Tabla de Precios'!L168</f>
        <v>516.03039999999999</v>
      </c>
      <c r="K169" s="16">
        <f>'[1]Tabla de Precios'!M168</f>
        <v>311.39999999999998</v>
      </c>
      <c r="L169" s="16"/>
    </row>
    <row r="170" spans="1:12" ht="30" x14ac:dyDescent="0.25">
      <c r="A170" s="32" t="s">
        <v>421</v>
      </c>
      <c r="B170" s="17">
        <f t="shared" si="2"/>
        <v>169</v>
      </c>
      <c r="C170" s="33" t="s">
        <v>422</v>
      </c>
      <c r="D170" s="33" t="s">
        <v>23</v>
      </c>
      <c r="E170" s="33"/>
      <c r="F170" s="33" t="s">
        <v>25</v>
      </c>
      <c r="G170" s="33">
        <v>420</v>
      </c>
      <c r="H170" s="33" t="s">
        <v>26</v>
      </c>
      <c r="I170" s="18">
        <f>'[1]Tabla de Precios'!K169</f>
        <v>479.40000023969992</v>
      </c>
      <c r="J170" s="18">
        <f>'[1]Tabla de Precios'!L169</f>
        <v>868.57408038428696</v>
      </c>
      <c r="K170" s="18">
        <f>'[1]Tabla de Precios'!M169</f>
        <v>575.28000028763995</v>
      </c>
      <c r="L170" s="18"/>
    </row>
    <row r="171" spans="1:12" x14ac:dyDescent="0.25">
      <c r="A171" s="30" t="s">
        <v>423</v>
      </c>
      <c r="B171" s="4">
        <f t="shared" si="2"/>
        <v>170</v>
      </c>
      <c r="C171" s="31" t="s">
        <v>424</v>
      </c>
      <c r="D171" s="31" t="s">
        <v>23</v>
      </c>
      <c r="E171" s="31"/>
      <c r="F171" s="31" t="s">
        <v>25</v>
      </c>
      <c r="G171" s="31">
        <v>3</v>
      </c>
      <c r="H171" s="31" t="s">
        <v>26</v>
      </c>
      <c r="I171" s="16">
        <f>'[1]Tabla de Precios'!K170</f>
        <v>329.21999999999997</v>
      </c>
      <c r="J171" s="16">
        <f>'[1]Tabla de Precios'!L170</f>
        <v>627.80550399999993</v>
      </c>
      <c r="K171" s="16">
        <f>'[1]Tabla de Precios'!M170</f>
        <v>395.06399999999996</v>
      </c>
      <c r="L171" s="16"/>
    </row>
    <row r="172" spans="1:12" x14ac:dyDescent="0.25">
      <c r="A172" s="32" t="s">
        <v>425</v>
      </c>
      <c r="B172" s="17">
        <f t="shared" si="2"/>
        <v>171</v>
      </c>
      <c r="C172" s="33" t="s">
        <v>426</v>
      </c>
      <c r="D172" s="33" t="s">
        <v>23</v>
      </c>
      <c r="E172" s="33"/>
      <c r="F172" s="33" t="s">
        <v>25</v>
      </c>
      <c r="G172" s="33">
        <v>0</v>
      </c>
      <c r="H172" s="33" t="s">
        <v>26</v>
      </c>
      <c r="I172" s="18">
        <f>'[1]Tabla de Precios'!K171</f>
        <v>1199.630000599815</v>
      </c>
      <c r="J172" s="18">
        <f>'[1]Tabla de Precios'!L171</f>
        <v>2023.2468169616234</v>
      </c>
      <c r="K172" s="18">
        <f>'[1]Tabla de Precios'!M171</f>
        <v>1439.556000719778</v>
      </c>
      <c r="L172" s="18" t="s">
        <v>427</v>
      </c>
    </row>
    <row r="173" spans="1:12" x14ac:dyDescent="0.25">
      <c r="A173" s="30" t="s">
        <v>428</v>
      </c>
      <c r="B173" s="4">
        <f t="shared" si="2"/>
        <v>172</v>
      </c>
      <c r="C173" s="31" t="s">
        <v>429</v>
      </c>
      <c r="D173" s="31" t="s">
        <v>23</v>
      </c>
      <c r="E173" s="31"/>
      <c r="F173" s="31" t="s">
        <v>25</v>
      </c>
      <c r="G173" s="31">
        <v>1</v>
      </c>
      <c r="H173" s="31" t="s">
        <v>26</v>
      </c>
      <c r="I173" s="16">
        <f>'[1]Tabla de Precios'!K172</f>
        <v>259.04999999999995</v>
      </c>
      <c r="J173" s="16">
        <f>'[1]Tabla de Precios'!L172</f>
        <v>515.30895999999996</v>
      </c>
      <c r="K173" s="16">
        <f>'[1]Tabla de Precios'!M172</f>
        <v>310.85999999999996</v>
      </c>
      <c r="L173" s="16"/>
    </row>
    <row r="174" spans="1:12" x14ac:dyDescent="0.25">
      <c r="A174" s="32" t="s">
        <v>430</v>
      </c>
      <c r="B174" s="17">
        <f t="shared" si="2"/>
        <v>173</v>
      </c>
      <c r="C174" s="33" t="s">
        <v>431</v>
      </c>
      <c r="D174" s="33" t="s">
        <v>23</v>
      </c>
      <c r="E174" s="33"/>
      <c r="F174" s="33" t="s">
        <v>25</v>
      </c>
      <c r="G174" s="33">
        <v>5</v>
      </c>
      <c r="H174" s="33" t="s">
        <v>26</v>
      </c>
      <c r="I174" s="18">
        <f>'[1]Tabla de Precios'!K173</f>
        <v>763.16000038157995</v>
      </c>
      <c r="J174" s="18">
        <f>'[1]Tabla de Precios'!L173</f>
        <v>1323.4981126117491</v>
      </c>
      <c r="K174" s="18">
        <f>'[1]Tabla de Precios'!M173</f>
        <v>915.79200045789594</v>
      </c>
      <c r="L174" s="18" t="s">
        <v>432</v>
      </c>
    </row>
    <row r="175" spans="1:12" x14ac:dyDescent="0.25">
      <c r="A175" s="30" t="s">
        <v>433</v>
      </c>
      <c r="B175" s="4">
        <f t="shared" si="2"/>
        <v>174</v>
      </c>
      <c r="C175" s="31" t="s">
        <v>434</v>
      </c>
      <c r="D175" s="31" t="s">
        <v>23</v>
      </c>
      <c r="E175" s="31"/>
      <c r="F175" s="31" t="s">
        <v>25</v>
      </c>
      <c r="G175" s="31">
        <v>0</v>
      </c>
      <c r="H175" s="31" t="s">
        <v>32</v>
      </c>
      <c r="I175" s="16">
        <f>'[1]Tabla de Precios'!K174</f>
        <v>5186.0400025930194</v>
      </c>
      <c r="J175" s="16">
        <f>'[1]Tabla de Precios'!L174</f>
        <v>8414.2593321571294</v>
      </c>
      <c r="K175" s="16">
        <f>'[1]Tabla de Precios'!M174</f>
        <v>6223.2480031116229</v>
      </c>
      <c r="L175" s="16"/>
    </row>
    <row r="176" spans="1:12" ht="30" x14ac:dyDescent="0.25">
      <c r="A176" s="32" t="s">
        <v>435</v>
      </c>
      <c r="B176" s="14">
        <f t="shared" si="2"/>
        <v>175</v>
      </c>
      <c r="C176" s="33" t="s">
        <v>436</v>
      </c>
      <c r="D176" s="29" t="s">
        <v>23</v>
      </c>
      <c r="E176" s="29"/>
      <c r="F176" s="29" t="s">
        <v>25</v>
      </c>
      <c r="G176" s="29">
        <v>5</v>
      </c>
      <c r="H176" s="29" t="s">
        <v>26</v>
      </c>
      <c r="I176" s="18">
        <f>'[1]Tabla de Precios'!K175</f>
        <v>3300.0000016500003</v>
      </c>
      <c r="J176" s="18">
        <f>'[1]Tabla de Precios'!L175</f>
        <v>5390.5600026452812</v>
      </c>
      <c r="K176" s="18">
        <f>'[1]Tabla de Precios'!M175</f>
        <v>3960.0000019800004</v>
      </c>
      <c r="L176" s="18"/>
    </row>
    <row r="177" spans="1:12" ht="45" x14ac:dyDescent="0.25">
      <c r="A177" s="30" t="s">
        <v>437</v>
      </c>
      <c r="B177" s="19">
        <f t="shared" si="2"/>
        <v>176</v>
      </c>
      <c r="C177" s="31" t="s">
        <v>438</v>
      </c>
      <c r="D177" s="34" t="s">
        <v>23</v>
      </c>
      <c r="E177" s="34"/>
      <c r="F177" s="34" t="s">
        <v>25</v>
      </c>
      <c r="G177" s="34">
        <v>2</v>
      </c>
      <c r="H177" s="31" t="s">
        <v>32</v>
      </c>
      <c r="I177" s="16">
        <f>'[1]Tabla de Precios'!K176</f>
        <v>0</v>
      </c>
      <c r="J177" s="16">
        <f>'[1]Tabla de Precios'!L176</f>
        <v>100</v>
      </c>
      <c r="K177" s="16">
        <f>'[1]Tabla de Precios'!M176</f>
        <v>0</v>
      </c>
      <c r="L177" s="16"/>
    </row>
    <row r="178" spans="1:12" x14ac:dyDescent="0.25">
      <c r="A178" s="35" t="s">
        <v>439</v>
      </c>
      <c r="B178" s="14">
        <f t="shared" si="2"/>
        <v>177</v>
      </c>
      <c r="C178" s="33" t="s">
        <v>440</v>
      </c>
      <c r="D178" s="29" t="s">
        <v>23</v>
      </c>
      <c r="E178" s="33"/>
      <c r="F178" s="29" t="s">
        <v>25</v>
      </c>
      <c r="G178" s="33">
        <v>0</v>
      </c>
      <c r="H178" s="29" t="s">
        <v>26</v>
      </c>
      <c r="I178" s="18">
        <f>'[1]Tabla de Precios'!K177</f>
        <v>2550.5000012752498</v>
      </c>
      <c r="J178" s="18">
        <f>'[1]Tabla de Precios'!L177</f>
        <v>4188.961602044481</v>
      </c>
      <c r="K178" s="18">
        <f>'[1]Tabla de Precios'!M177</f>
        <v>3060.6000015302998</v>
      </c>
      <c r="L178" s="18"/>
    </row>
    <row r="179" spans="1:12" x14ac:dyDescent="0.25">
      <c r="A179" s="36" t="s">
        <v>441</v>
      </c>
      <c r="B179" s="19">
        <f t="shared" si="2"/>
        <v>178</v>
      </c>
      <c r="C179" s="31" t="s">
        <v>442</v>
      </c>
      <c r="D179" s="34" t="s">
        <v>23</v>
      </c>
      <c r="E179" s="31"/>
      <c r="F179" s="34" t="s">
        <v>25</v>
      </c>
      <c r="G179" s="31">
        <v>0</v>
      </c>
      <c r="H179" s="34" t="s">
        <v>32</v>
      </c>
      <c r="I179" s="16">
        <f>'[1]Tabla de Precios'!K178</f>
        <v>0</v>
      </c>
      <c r="J179" s="16">
        <f>'[1]Tabla de Precios'!L178</f>
        <v>100</v>
      </c>
      <c r="K179" s="16">
        <f>'[1]Tabla de Precios'!M178</f>
        <v>0</v>
      </c>
      <c r="L179" s="16"/>
    </row>
    <row r="180" spans="1:12" x14ac:dyDescent="0.25">
      <c r="A180" s="37" t="s">
        <v>443</v>
      </c>
      <c r="B180" s="14">
        <f t="shared" si="2"/>
        <v>179</v>
      </c>
      <c r="C180" s="29" t="s">
        <v>444</v>
      </c>
      <c r="D180" s="29" t="s">
        <v>23</v>
      </c>
      <c r="E180" s="29"/>
      <c r="F180" s="29" t="s">
        <v>445</v>
      </c>
      <c r="G180" s="29">
        <v>0</v>
      </c>
      <c r="H180" s="29" t="s">
        <v>32</v>
      </c>
      <c r="I180" s="20">
        <f>'[1]Tabla de Precios'!K179</f>
        <v>840</v>
      </c>
      <c r="J180" s="20">
        <f>'[1]Tabla de Precios'!L179</f>
        <v>1446.6880000000001</v>
      </c>
      <c r="K180" s="20">
        <f>'[1]Tabla de Precios'!M179</f>
        <v>1008</v>
      </c>
      <c r="L180" s="20"/>
    </row>
    <row r="181" spans="1:12" x14ac:dyDescent="0.25">
      <c r="A181" s="38" t="s">
        <v>446</v>
      </c>
      <c r="B181" s="19">
        <f t="shared" si="2"/>
        <v>180</v>
      </c>
      <c r="C181" s="34" t="s">
        <v>447</v>
      </c>
      <c r="D181" s="34" t="s">
        <v>23</v>
      </c>
      <c r="E181" s="34"/>
      <c r="F181" s="34" t="s">
        <v>25</v>
      </c>
      <c r="G181" s="34">
        <v>0</v>
      </c>
      <c r="H181" s="34" t="s">
        <v>32</v>
      </c>
      <c r="I181" s="21">
        <f>'[1]Tabla de Precios'!K180</f>
        <v>788.16000000000008</v>
      </c>
      <c r="J181" s="21">
        <f>'[1]Tabla de Precios'!L180</f>
        <v>1363.5781120000001</v>
      </c>
      <c r="K181" s="21">
        <f>'[1]Tabla de Precios'!M180</f>
        <v>945.79200000000014</v>
      </c>
      <c r="L181" s="21"/>
    </row>
    <row r="182" spans="1:12" x14ac:dyDescent="0.25">
      <c r="A182" s="35" t="s">
        <v>448</v>
      </c>
      <c r="B182" s="17">
        <f>ROW(B181)</f>
        <v>181</v>
      </c>
      <c r="C182" s="33" t="s">
        <v>449</v>
      </c>
      <c r="D182" s="33" t="s">
        <v>23</v>
      </c>
      <c r="E182" s="33"/>
      <c r="F182" s="33" t="s">
        <v>25</v>
      </c>
      <c r="G182" s="33">
        <v>3</v>
      </c>
      <c r="H182" s="33" t="s">
        <v>32</v>
      </c>
      <c r="I182" s="18">
        <f>'[1]Tabla de Precios'!K181</f>
        <v>1485</v>
      </c>
      <c r="J182" s="18">
        <f>'[1]Tabla de Precios'!L181</f>
        <v>2480.752</v>
      </c>
      <c r="K182" s="18">
        <f>'[1]Tabla de Precios'!M181</f>
        <v>1782</v>
      </c>
      <c r="L182" s="18"/>
    </row>
    <row r="183" spans="1:12" x14ac:dyDescent="0.25">
      <c r="A183" s="38" t="s">
        <v>450</v>
      </c>
      <c r="B183" s="19">
        <f>ROW(B182)</f>
        <v>182</v>
      </c>
      <c r="C183" s="34" t="s">
        <v>451</v>
      </c>
      <c r="D183" s="34" t="s">
        <v>23</v>
      </c>
      <c r="E183" s="34"/>
      <c r="F183" s="34" t="s">
        <v>25</v>
      </c>
      <c r="G183" s="34">
        <v>0</v>
      </c>
      <c r="H183" s="34" t="s">
        <v>32</v>
      </c>
      <c r="I183" s="21">
        <f>'[1]Tabla de Precios'!K182</f>
        <v>900</v>
      </c>
      <c r="J183" s="21">
        <f>'[1]Tabla de Precios'!L182</f>
        <v>1542.88</v>
      </c>
      <c r="K183" s="21">
        <f>'[1]Tabla de Precios'!M182</f>
        <v>1080</v>
      </c>
      <c r="L183" s="21"/>
    </row>
    <row r="184" spans="1:12" x14ac:dyDescent="0.25">
      <c r="A184" s="37" t="s">
        <v>452</v>
      </c>
      <c r="B184" s="14">
        <f t="shared" ref="B184:B195" si="3">ROW(B183)</f>
        <v>183</v>
      </c>
      <c r="C184" s="29" t="s">
        <v>453</v>
      </c>
      <c r="D184" s="29" t="s">
        <v>23</v>
      </c>
      <c r="E184" s="29"/>
      <c r="F184" s="29" t="s">
        <v>25</v>
      </c>
      <c r="G184" s="29">
        <v>1</v>
      </c>
      <c r="H184" s="29" t="s">
        <v>32</v>
      </c>
      <c r="I184" s="20">
        <f>'[1]Tabla de Precios'!K183</f>
        <v>2880.54</v>
      </c>
      <c r="J184" s="20">
        <f>'[1]Tabla de Precios'!L183</f>
        <v>4718.0817280000001</v>
      </c>
      <c r="K184" s="20">
        <f>'[1]Tabla de Precios'!M183</f>
        <v>3456.6480000000001</v>
      </c>
      <c r="L184" s="20"/>
    </row>
    <row r="185" spans="1:12" x14ac:dyDescent="0.25">
      <c r="A185" s="36" t="s">
        <v>454</v>
      </c>
      <c r="B185" s="4">
        <f t="shared" si="3"/>
        <v>184</v>
      </c>
      <c r="C185" s="31" t="s">
        <v>455</v>
      </c>
      <c r="D185" s="31" t="s">
        <v>23</v>
      </c>
      <c r="E185" s="31"/>
      <c r="F185" s="31" t="s">
        <v>25</v>
      </c>
      <c r="G185" s="31">
        <v>0</v>
      </c>
      <c r="H185" s="31" t="s">
        <v>32</v>
      </c>
      <c r="I185" s="16">
        <f>'[1]Tabla de Precios'!K184</f>
        <v>0</v>
      </c>
      <c r="J185" s="16">
        <f>'[1]Tabla de Precios'!L184</f>
        <v>100</v>
      </c>
      <c r="K185" s="16">
        <f>'[1]Tabla de Precios'!M184</f>
        <v>0</v>
      </c>
      <c r="L185" s="16"/>
    </row>
    <row r="186" spans="1:12" x14ac:dyDescent="0.25">
      <c r="A186" s="35" t="s">
        <v>456</v>
      </c>
      <c r="B186" s="17">
        <f t="shared" si="3"/>
        <v>185</v>
      </c>
      <c r="C186" s="33" t="s">
        <v>457</v>
      </c>
      <c r="D186" s="33" t="s">
        <v>23</v>
      </c>
      <c r="E186" s="33" t="s">
        <v>458</v>
      </c>
      <c r="F186" s="33" t="s">
        <v>25</v>
      </c>
      <c r="G186" s="33">
        <v>3</v>
      </c>
      <c r="H186" s="33" t="s">
        <v>32</v>
      </c>
      <c r="I186" s="18">
        <f>'[1]Tabla de Precios'!K185</f>
        <v>373.5</v>
      </c>
      <c r="J186" s="18">
        <f>'[1]Tabla de Precios'!L185</f>
        <v>698.79520000000002</v>
      </c>
      <c r="K186" s="18">
        <f>'[1]Tabla de Precios'!M185</f>
        <v>448.2</v>
      </c>
      <c r="L186" s="18"/>
    </row>
    <row r="187" spans="1:12" x14ac:dyDescent="0.25">
      <c r="A187" s="36" t="s">
        <v>459</v>
      </c>
      <c r="B187" s="4">
        <f t="shared" si="3"/>
        <v>186</v>
      </c>
      <c r="C187" s="31" t="s">
        <v>460</v>
      </c>
      <c r="D187" s="31" t="s">
        <v>23</v>
      </c>
      <c r="E187" s="31" t="s">
        <v>461</v>
      </c>
      <c r="F187" s="31" t="s">
        <v>25</v>
      </c>
      <c r="G187" s="31">
        <v>0</v>
      </c>
      <c r="H187" s="31" t="s">
        <v>32</v>
      </c>
      <c r="I187" s="16">
        <f>'[1]Tabla de Precios'!K186</f>
        <v>373.5</v>
      </c>
      <c r="J187" s="16">
        <f>'[1]Tabla de Precios'!L186</f>
        <v>698.79520000000002</v>
      </c>
      <c r="K187" s="16">
        <f>'[1]Tabla de Precios'!M186</f>
        <v>448.2</v>
      </c>
      <c r="L187" s="16"/>
    </row>
    <row r="188" spans="1:12" x14ac:dyDescent="0.25">
      <c r="A188" s="35" t="s">
        <v>462</v>
      </c>
      <c r="B188" s="17">
        <f t="shared" si="3"/>
        <v>187</v>
      </c>
      <c r="C188" s="33" t="s">
        <v>463</v>
      </c>
      <c r="D188" s="33" t="s">
        <v>23</v>
      </c>
      <c r="E188" s="33" t="s">
        <v>28</v>
      </c>
      <c r="F188" s="33" t="s">
        <v>25</v>
      </c>
      <c r="G188" s="33">
        <v>0</v>
      </c>
      <c r="H188" s="33" t="s">
        <v>32</v>
      </c>
      <c r="I188" s="18">
        <f>'[1]Tabla de Precios'!K187</f>
        <v>45449.80619469026</v>
      </c>
      <c r="J188" s="18">
        <f>'[1]Tabla de Precios'!L187</f>
        <v>72965.129291327423</v>
      </c>
      <c r="K188" s="18">
        <f>'[1]Tabla de Precios'!M187</f>
        <v>54539.767433628309</v>
      </c>
      <c r="L188" s="18"/>
    </row>
    <row r="189" spans="1:12" x14ac:dyDescent="0.25">
      <c r="A189" s="36" t="s">
        <v>464</v>
      </c>
      <c r="B189" s="4">
        <f t="shared" si="3"/>
        <v>188</v>
      </c>
      <c r="C189" s="31" t="s">
        <v>465</v>
      </c>
      <c r="D189" s="31" t="s">
        <v>23</v>
      </c>
      <c r="E189" s="31" t="s">
        <v>35</v>
      </c>
      <c r="F189" s="31" t="s">
        <v>25</v>
      </c>
      <c r="G189" s="31">
        <v>10</v>
      </c>
      <c r="H189" s="31" t="s">
        <v>32</v>
      </c>
      <c r="I189" s="16">
        <f>'[1]Tabla de Precios'!K188</f>
        <v>2711.5950000000003</v>
      </c>
      <c r="J189" s="16">
        <f>'[1]Tabla de Precios'!L188</f>
        <v>4447.229104</v>
      </c>
      <c r="K189" s="16">
        <f>'[1]Tabla de Precios'!M188</f>
        <v>3253.9140000000002</v>
      </c>
      <c r="L189" s="16"/>
    </row>
    <row r="190" spans="1:12" x14ac:dyDescent="0.25">
      <c r="A190" s="35" t="s">
        <v>466</v>
      </c>
      <c r="B190" s="17">
        <f t="shared" si="3"/>
        <v>189</v>
      </c>
      <c r="C190" s="33" t="s">
        <v>467</v>
      </c>
      <c r="D190" s="33" t="s">
        <v>23</v>
      </c>
      <c r="E190" s="33" t="s">
        <v>28</v>
      </c>
      <c r="F190" s="33" t="s">
        <v>25</v>
      </c>
      <c r="G190" s="33">
        <v>10</v>
      </c>
      <c r="H190" s="33" t="s">
        <v>468</v>
      </c>
      <c r="I190" s="18">
        <f>'[1]Tabla de Precios'!K189</f>
        <v>558.27</v>
      </c>
      <c r="J190" s="18">
        <f>'[1]Tabla de Precios'!L189</f>
        <v>995.01846399999999</v>
      </c>
      <c r="K190" s="18">
        <f>'[1]Tabla de Precios'!M189</f>
        <v>669.92399999999998</v>
      </c>
      <c r="L190" s="18"/>
    </row>
    <row r="191" spans="1:12" x14ac:dyDescent="0.25">
      <c r="A191" s="36" t="s">
        <v>469</v>
      </c>
      <c r="B191" s="4">
        <f t="shared" si="3"/>
        <v>190</v>
      </c>
      <c r="C191" s="31" t="s">
        <v>470</v>
      </c>
      <c r="D191" s="31" t="s">
        <v>23</v>
      </c>
      <c r="E191" s="31" t="s">
        <v>28</v>
      </c>
      <c r="F191" s="31" t="s">
        <v>25</v>
      </c>
      <c r="G191" s="31">
        <v>0</v>
      </c>
      <c r="H191" s="31" t="s">
        <v>32</v>
      </c>
      <c r="I191" s="16">
        <f>'[1]Tabla de Precios'!K190</f>
        <v>0</v>
      </c>
      <c r="J191" s="16">
        <f>'[1]Tabla de Precios'!L190</f>
        <v>100</v>
      </c>
      <c r="K191" s="16">
        <f>'[1]Tabla de Precios'!M190</f>
        <v>0</v>
      </c>
      <c r="L191" s="16"/>
    </row>
    <row r="192" spans="1:12" x14ac:dyDescent="0.25">
      <c r="A192" s="35" t="s">
        <v>471</v>
      </c>
      <c r="B192" s="17">
        <f t="shared" si="3"/>
        <v>191</v>
      </c>
      <c r="C192" s="33" t="s">
        <v>472</v>
      </c>
      <c r="D192" s="33" t="s">
        <v>23</v>
      </c>
      <c r="E192" s="33" t="s">
        <v>35</v>
      </c>
      <c r="F192" s="33" t="s">
        <v>473</v>
      </c>
      <c r="G192" s="33">
        <v>7</v>
      </c>
      <c r="H192" s="33" t="s">
        <v>32</v>
      </c>
      <c r="I192" s="18">
        <f>'[1]Tabla de Precios'!K191</f>
        <v>750</v>
      </c>
      <c r="J192" s="18">
        <f>'[1]Tabla de Precios'!L191</f>
        <v>1302.4000000000001</v>
      </c>
      <c r="K192" s="18">
        <f>'[1]Tabla de Precios'!M191</f>
        <v>900</v>
      </c>
      <c r="L192" s="18"/>
    </row>
    <row r="193" spans="1:12" x14ac:dyDescent="0.25">
      <c r="A193" s="36" t="s">
        <v>474</v>
      </c>
      <c r="B193" s="4">
        <f t="shared" si="3"/>
        <v>192</v>
      </c>
      <c r="C193" s="31" t="s">
        <v>475</v>
      </c>
      <c r="D193" s="31" t="s">
        <v>23</v>
      </c>
      <c r="E193" s="31"/>
      <c r="F193" s="31" t="s">
        <v>473</v>
      </c>
      <c r="G193" s="31">
        <v>8</v>
      </c>
      <c r="H193" s="31" t="s">
        <v>32</v>
      </c>
      <c r="I193" s="16">
        <f>'[1]Tabla de Precios'!K192</f>
        <v>316.5</v>
      </c>
      <c r="J193" s="16">
        <f>'[1]Tabla de Precios'!L192</f>
        <v>607.41280000000006</v>
      </c>
      <c r="K193" s="16">
        <f>'[1]Tabla de Precios'!M192</f>
        <v>379.8</v>
      </c>
      <c r="L193" s="16"/>
    </row>
    <row r="194" spans="1:12" x14ac:dyDescent="0.25">
      <c r="A194" s="35" t="s">
        <v>476</v>
      </c>
      <c r="B194" s="17">
        <f t="shared" si="3"/>
        <v>193</v>
      </c>
      <c r="C194" s="33" t="s">
        <v>477</v>
      </c>
      <c r="D194" s="33" t="s">
        <v>23</v>
      </c>
      <c r="E194" s="33" t="s">
        <v>35</v>
      </c>
      <c r="F194" s="33" t="s">
        <v>478</v>
      </c>
      <c r="G194" s="33">
        <v>0</v>
      </c>
      <c r="H194" s="33" t="s">
        <v>32</v>
      </c>
      <c r="I194" s="18">
        <f>'[1]Tabla de Precios'!K193</f>
        <v>430.5</v>
      </c>
      <c r="J194" s="18">
        <f>'[1]Tabla de Precios'!L193</f>
        <v>790.17759999999998</v>
      </c>
      <c r="K194" s="18">
        <f>'[1]Tabla de Precios'!M193</f>
        <v>516.6</v>
      </c>
      <c r="L194" s="18"/>
    </row>
    <row r="195" spans="1:12" x14ac:dyDescent="0.25">
      <c r="A195" s="36" t="s">
        <v>479</v>
      </c>
      <c r="B195" s="4">
        <f t="shared" si="3"/>
        <v>194</v>
      </c>
      <c r="C195" s="31" t="s">
        <v>480</v>
      </c>
      <c r="D195" s="31" t="s">
        <v>23</v>
      </c>
      <c r="E195" s="31" t="s">
        <v>35</v>
      </c>
      <c r="F195" s="31" t="s">
        <v>25</v>
      </c>
      <c r="G195" s="31">
        <v>0</v>
      </c>
      <c r="H195" s="31" t="s">
        <v>32</v>
      </c>
      <c r="I195" s="16">
        <f>'[1]Tabla de Precios'!K194</f>
        <v>1200</v>
      </c>
      <c r="J195" s="16">
        <f>'[1]Tabla de Precios'!L194</f>
        <v>2023.8400000000001</v>
      </c>
      <c r="K195" s="16">
        <f>'[1]Tabla de Precios'!M194</f>
        <v>1440</v>
      </c>
      <c r="L195" s="16"/>
    </row>
    <row r="196" spans="1:12" x14ac:dyDescent="0.25">
      <c r="A196" s="35" t="s">
        <v>481</v>
      </c>
      <c r="B196" s="17">
        <f>ROW(B195)</f>
        <v>195</v>
      </c>
      <c r="C196" s="33" t="s">
        <v>482</v>
      </c>
      <c r="D196" s="33" t="s">
        <v>23</v>
      </c>
      <c r="E196" s="33" t="s">
        <v>483</v>
      </c>
      <c r="F196" s="33" t="s">
        <v>484</v>
      </c>
      <c r="G196" s="33">
        <v>2</v>
      </c>
      <c r="H196" s="33" t="s">
        <v>485</v>
      </c>
      <c r="I196" s="18">
        <f>'[1]Tabla de Precios'!K195</f>
        <v>2242.5</v>
      </c>
      <c r="J196" s="18">
        <f>'[1]Tabla de Precios'!L195</f>
        <v>3695.1759999999999</v>
      </c>
      <c r="K196" s="18">
        <f>'[1]Tabla de Precios'!M195</f>
        <v>2691</v>
      </c>
      <c r="L196" s="18"/>
    </row>
    <row r="197" spans="1:12" x14ac:dyDescent="0.25">
      <c r="A197" s="36" t="s">
        <v>486</v>
      </c>
      <c r="B197" s="4">
        <f>ROW(B196)</f>
        <v>196</v>
      </c>
      <c r="C197" s="31" t="s">
        <v>487</v>
      </c>
      <c r="D197" s="31" t="s">
        <v>23</v>
      </c>
      <c r="E197" s="31" t="s">
        <v>483</v>
      </c>
      <c r="F197" s="31" t="s">
        <v>473</v>
      </c>
      <c r="G197" s="31">
        <v>2</v>
      </c>
      <c r="H197" s="31" t="s">
        <v>485</v>
      </c>
      <c r="I197" s="16">
        <f>'[1]Tabla de Precios'!K196</f>
        <v>2595</v>
      </c>
      <c r="J197" s="16">
        <f>'[1]Tabla de Precios'!L196</f>
        <v>4260.3040000000001</v>
      </c>
      <c r="K197" s="16">
        <f>'[1]Tabla de Precios'!M196</f>
        <v>3114</v>
      </c>
      <c r="L197" s="16"/>
    </row>
    <row r="198" spans="1:12" x14ac:dyDescent="0.25">
      <c r="A198" s="35" t="s">
        <v>488</v>
      </c>
      <c r="B198" s="17">
        <f>ROW(B197)</f>
        <v>197</v>
      </c>
      <c r="C198" s="33" t="s">
        <v>489</v>
      </c>
      <c r="D198" s="33" t="s">
        <v>23</v>
      </c>
      <c r="E198" s="33" t="s">
        <v>35</v>
      </c>
      <c r="F198" s="33" t="s">
        <v>25</v>
      </c>
      <c r="G198" s="33">
        <v>2</v>
      </c>
      <c r="H198" s="33" t="s">
        <v>490</v>
      </c>
      <c r="I198" s="18">
        <f>'[1]Tabla de Precios'!K197</f>
        <v>270</v>
      </c>
      <c r="J198" s="18">
        <f>'[1]Tabla de Precios'!L197</f>
        <v>532.86400000000003</v>
      </c>
      <c r="K198" s="18">
        <f>'[1]Tabla de Precios'!M197</f>
        <v>324</v>
      </c>
      <c r="L198" s="18"/>
    </row>
    <row r="199" spans="1:12" ht="15.75" thickBot="1" x14ac:dyDescent="0.3">
      <c r="A199" s="39"/>
      <c r="B199" s="22">
        <f>ROW(B184)</f>
        <v>184</v>
      </c>
      <c r="C199" s="40"/>
      <c r="D199" s="40"/>
      <c r="E199" s="40"/>
      <c r="F199" s="40"/>
      <c r="G199" s="40"/>
      <c r="H199" s="41"/>
      <c r="I199" s="23">
        <f>'[1]Tabla de Precios'!K184</f>
        <v>0</v>
      </c>
      <c r="J199" s="23">
        <f>'[1]Tabla de Precios'!L184</f>
        <v>100</v>
      </c>
      <c r="K199" s="23">
        <f>'[1]Tabla de Precios'!M184</f>
        <v>0</v>
      </c>
      <c r="L199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Catalogo de Codigos </vt:lpstr>
      <vt:lpstr>Codigos Espesificos</vt:lpstr>
      <vt:lpstr>Todos los Codigos</vt:lpstr>
      <vt:lpstr>Codigos Esp IMG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Monted</dc:creator>
  <cp:lastModifiedBy>Isaac Monted</cp:lastModifiedBy>
  <cp:lastPrinted>2023-07-06T17:28:50Z</cp:lastPrinted>
  <dcterms:created xsi:type="dcterms:W3CDTF">2023-07-04T19:56:25Z</dcterms:created>
  <dcterms:modified xsi:type="dcterms:W3CDTF">2023-07-10T20:28:46Z</dcterms:modified>
</cp:coreProperties>
</file>