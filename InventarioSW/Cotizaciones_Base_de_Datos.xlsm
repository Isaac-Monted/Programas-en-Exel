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FICINA\Documents\DESIN GLASS\InventarioSW\"/>
    </mc:Choice>
  </mc:AlternateContent>
  <xr:revisionPtr revIDLastSave="0" documentId="13_ncr:1_{5F18558C-32B5-45F6-B5F9-693B1CDF2149}" xr6:coauthVersionLast="47" xr6:coauthVersionMax="47" xr10:uidLastSave="{00000000-0000-0000-0000-000000000000}"/>
  <bookViews>
    <workbookView xWindow="-120" yWindow="-120" windowWidth="29040" windowHeight="15840" activeTab="1" xr2:uid="{79DF4C26-6F51-4765-9890-8ABBEB156A51}"/>
  </bookViews>
  <sheets>
    <sheet name="BASE" sheetId="1" r:id="rId1"/>
    <sheet name="HOJA DE COTIZACION" sheetId="2" r:id="rId2"/>
    <sheet name="LISTA_DE_PRODUCTOS" sheetId="3" state="hidden" r:id="rId3"/>
    <sheet name="VENDEDORES" sheetId="4" state="hidden" r:id="rId4"/>
    <sheet name="FORMAS DE PAGO" sheetId="6" state="hidden" r:id="rId5"/>
    <sheet name="PRODUCTOS" sheetId="5" state="hidden" r:id="rId6"/>
  </sheets>
  <externalReferences>
    <externalReference r:id="rId7"/>
  </externalReferences>
  <definedNames>
    <definedName name="Base">BASE!#REF!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2" l="1"/>
  <c r="B15" i="2"/>
  <c r="B14" i="2"/>
  <c r="K192" i="5" l="1"/>
  <c r="J192" i="5"/>
  <c r="I192" i="5"/>
  <c r="B192" i="5"/>
  <c r="K191" i="5"/>
  <c r="J191" i="5"/>
  <c r="I191" i="5"/>
  <c r="B191" i="5"/>
  <c r="K190" i="5"/>
  <c r="J190" i="5"/>
  <c r="I190" i="5"/>
  <c r="B190" i="5"/>
  <c r="K189" i="5"/>
  <c r="J189" i="5"/>
  <c r="I189" i="5"/>
  <c r="B189" i="5"/>
  <c r="K188" i="5"/>
  <c r="J188" i="5"/>
  <c r="I188" i="5"/>
  <c r="B188" i="5"/>
  <c r="K187" i="5"/>
  <c r="J187" i="5"/>
  <c r="I187" i="5"/>
  <c r="B187" i="5"/>
  <c r="K186" i="5"/>
  <c r="J186" i="5"/>
  <c r="I186" i="5"/>
  <c r="B186" i="5"/>
  <c r="K185" i="5"/>
  <c r="J185" i="5"/>
  <c r="I185" i="5"/>
  <c r="B185" i="5"/>
  <c r="K184" i="5"/>
  <c r="J184" i="5"/>
  <c r="I184" i="5"/>
  <c r="B184" i="5"/>
  <c r="K183" i="5"/>
  <c r="J183" i="5"/>
  <c r="I183" i="5"/>
  <c r="B183" i="5"/>
  <c r="K182" i="5"/>
  <c r="J182" i="5"/>
  <c r="I182" i="5"/>
  <c r="B182" i="5"/>
  <c r="K181" i="5"/>
  <c r="J181" i="5"/>
  <c r="I181" i="5"/>
  <c r="B181" i="5"/>
  <c r="K180" i="5"/>
  <c r="J180" i="5"/>
  <c r="I180" i="5"/>
  <c r="B180" i="5"/>
  <c r="K179" i="5"/>
  <c r="J179" i="5"/>
  <c r="I179" i="5"/>
  <c r="B179" i="5"/>
  <c r="K178" i="5"/>
  <c r="J178" i="5"/>
  <c r="I178" i="5"/>
  <c r="B178" i="5"/>
  <c r="K177" i="5"/>
  <c r="J177" i="5"/>
  <c r="I177" i="5"/>
  <c r="B177" i="5"/>
  <c r="K176" i="5"/>
  <c r="J176" i="5"/>
  <c r="I176" i="5"/>
  <c r="B176" i="5"/>
  <c r="K175" i="5"/>
  <c r="J175" i="5"/>
  <c r="I175" i="5"/>
  <c r="B175" i="5"/>
  <c r="K174" i="5"/>
  <c r="J174" i="5"/>
  <c r="I174" i="5"/>
  <c r="B174" i="5"/>
  <c r="K173" i="5"/>
  <c r="J173" i="5"/>
  <c r="I173" i="5"/>
  <c r="B173" i="5"/>
  <c r="K172" i="5"/>
  <c r="J172" i="5"/>
  <c r="I172" i="5"/>
  <c r="B172" i="5"/>
  <c r="K171" i="5"/>
  <c r="J171" i="5"/>
  <c r="I171" i="5"/>
  <c r="B171" i="5"/>
  <c r="K170" i="5"/>
  <c r="J170" i="5"/>
  <c r="I170" i="5"/>
  <c r="B170" i="5"/>
  <c r="K169" i="5"/>
  <c r="J169" i="5"/>
  <c r="I169" i="5"/>
  <c r="B169" i="5"/>
  <c r="K168" i="5"/>
  <c r="J168" i="5"/>
  <c r="I168" i="5"/>
  <c r="B168" i="5"/>
  <c r="K167" i="5"/>
  <c r="J167" i="5"/>
  <c r="I167" i="5"/>
  <c r="B167" i="5"/>
  <c r="K166" i="5"/>
  <c r="J166" i="5"/>
  <c r="I166" i="5"/>
  <c r="B166" i="5"/>
  <c r="K165" i="5"/>
  <c r="J165" i="5"/>
  <c r="I165" i="5"/>
  <c r="B165" i="5"/>
  <c r="K164" i="5"/>
  <c r="J164" i="5"/>
  <c r="I164" i="5"/>
  <c r="B164" i="5"/>
  <c r="K163" i="5"/>
  <c r="J163" i="5"/>
  <c r="I163" i="5"/>
  <c r="B163" i="5"/>
  <c r="K162" i="5"/>
  <c r="J162" i="5"/>
  <c r="I162" i="5"/>
  <c r="B162" i="5"/>
  <c r="K161" i="5"/>
  <c r="J161" i="5"/>
  <c r="I161" i="5"/>
  <c r="B161" i="5"/>
  <c r="K160" i="5"/>
  <c r="J160" i="5"/>
  <c r="I160" i="5"/>
  <c r="B160" i="5"/>
  <c r="K159" i="5"/>
  <c r="J159" i="5"/>
  <c r="I159" i="5"/>
  <c r="B159" i="5"/>
  <c r="K158" i="5"/>
  <c r="J158" i="5"/>
  <c r="I158" i="5"/>
  <c r="B158" i="5"/>
  <c r="K157" i="5"/>
  <c r="J157" i="5"/>
  <c r="I157" i="5"/>
  <c r="B157" i="5"/>
  <c r="K156" i="5"/>
  <c r="J156" i="5"/>
  <c r="I156" i="5"/>
  <c r="B156" i="5"/>
  <c r="K155" i="5"/>
  <c r="J155" i="5"/>
  <c r="I155" i="5"/>
  <c r="B155" i="5"/>
  <c r="K154" i="5"/>
  <c r="J154" i="5"/>
  <c r="I154" i="5"/>
  <c r="B154" i="5"/>
  <c r="K153" i="5"/>
  <c r="J153" i="5"/>
  <c r="I153" i="5"/>
  <c r="B153" i="5"/>
  <c r="K152" i="5"/>
  <c r="J152" i="5"/>
  <c r="I152" i="5"/>
  <c r="B152" i="5"/>
  <c r="K151" i="5"/>
  <c r="J151" i="5"/>
  <c r="I151" i="5"/>
  <c r="B151" i="5"/>
  <c r="K150" i="5"/>
  <c r="J150" i="5"/>
  <c r="I150" i="5"/>
  <c r="B150" i="5"/>
  <c r="K149" i="5"/>
  <c r="J149" i="5"/>
  <c r="I149" i="5"/>
  <c r="B149" i="5"/>
  <c r="K148" i="5"/>
  <c r="J148" i="5"/>
  <c r="I148" i="5"/>
  <c r="B148" i="5"/>
  <c r="K147" i="5"/>
  <c r="J147" i="5"/>
  <c r="I147" i="5"/>
  <c r="B147" i="5"/>
  <c r="K146" i="5"/>
  <c r="J146" i="5"/>
  <c r="I146" i="5"/>
  <c r="B146" i="5"/>
  <c r="K145" i="5"/>
  <c r="J145" i="5"/>
  <c r="I145" i="5"/>
  <c r="B145" i="5"/>
  <c r="K144" i="5"/>
  <c r="J144" i="5"/>
  <c r="I144" i="5"/>
  <c r="B144" i="5"/>
  <c r="K143" i="5"/>
  <c r="J143" i="5"/>
  <c r="I143" i="5"/>
  <c r="B143" i="5"/>
  <c r="K142" i="5"/>
  <c r="J142" i="5"/>
  <c r="I142" i="5"/>
  <c r="B142" i="5"/>
  <c r="K141" i="5"/>
  <c r="J141" i="5"/>
  <c r="I141" i="5"/>
  <c r="B141" i="5"/>
  <c r="K140" i="5"/>
  <c r="J140" i="5"/>
  <c r="I140" i="5"/>
  <c r="B140" i="5"/>
  <c r="K139" i="5"/>
  <c r="J139" i="5"/>
  <c r="I139" i="5"/>
  <c r="B139" i="5"/>
  <c r="K138" i="5"/>
  <c r="J138" i="5"/>
  <c r="I138" i="5"/>
  <c r="B138" i="5"/>
  <c r="K137" i="5"/>
  <c r="J137" i="5"/>
  <c r="I137" i="5"/>
  <c r="B137" i="5"/>
  <c r="K136" i="5"/>
  <c r="J136" i="5"/>
  <c r="I136" i="5"/>
  <c r="B136" i="5"/>
  <c r="K135" i="5"/>
  <c r="J135" i="5"/>
  <c r="I135" i="5"/>
  <c r="B135" i="5"/>
  <c r="K134" i="5"/>
  <c r="J134" i="5"/>
  <c r="I134" i="5"/>
  <c r="B134" i="5"/>
  <c r="K133" i="5"/>
  <c r="J133" i="5"/>
  <c r="I133" i="5"/>
  <c r="B133" i="5"/>
  <c r="K132" i="5"/>
  <c r="J132" i="5"/>
  <c r="I132" i="5"/>
  <c r="B132" i="5"/>
  <c r="K131" i="5"/>
  <c r="J131" i="5"/>
  <c r="I131" i="5"/>
  <c r="B131" i="5"/>
  <c r="K130" i="5"/>
  <c r="J130" i="5"/>
  <c r="I130" i="5"/>
  <c r="B130" i="5"/>
  <c r="K129" i="5"/>
  <c r="J129" i="5"/>
  <c r="I129" i="5"/>
  <c r="B129" i="5"/>
  <c r="K128" i="5"/>
  <c r="J128" i="5"/>
  <c r="I128" i="5"/>
  <c r="B128" i="5"/>
  <c r="K127" i="5"/>
  <c r="J127" i="5"/>
  <c r="I127" i="5"/>
  <c r="B127" i="5"/>
  <c r="K126" i="5"/>
  <c r="J126" i="5"/>
  <c r="I126" i="5"/>
  <c r="B126" i="5"/>
  <c r="K125" i="5"/>
  <c r="J125" i="5"/>
  <c r="I125" i="5"/>
  <c r="B125" i="5"/>
  <c r="K124" i="5"/>
  <c r="J124" i="5"/>
  <c r="I124" i="5"/>
  <c r="B124" i="5"/>
  <c r="K123" i="5"/>
  <c r="J123" i="5"/>
  <c r="I123" i="5"/>
  <c r="B123" i="5"/>
  <c r="K122" i="5"/>
  <c r="J122" i="5"/>
  <c r="I122" i="5"/>
  <c r="B122" i="5"/>
  <c r="K121" i="5"/>
  <c r="J121" i="5"/>
  <c r="I121" i="5"/>
  <c r="B121" i="5"/>
  <c r="K120" i="5"/>
  <c r="J120" i="5"/>
  <c r="I120" i="5"/>
  <c r="B120" i="5"/>
  <c r="K119" i="5"/>
  <c r="J119" i="5"/>
  <c r="I119" i="5"/>
  <c r="B119" i="5"/>
  <c r="K118" i="5"/>
  <c r="J118" i="5"/>
  <c r="I118" i="5"/>
  <c r="B118" i="5"/>
  <c r="K117" i="5"/>
  <c r="J117" i="5"/>
  <c r="I117" i="5"/>
  <c r="B117" i="5"/>
  <c r="K116" i="5"/>
  <c r="J116" i="5"/>
  <c r="I116" i="5"/>
  <c r="B116" i="5"/>
  <c r="K115" i="5"/>
  <c r="J115" i="5"/>
  <c r="I115" i="5"/>
  <c r="B115" i="5"/>
  <c r="K114" i="5"/>
  <c r="J114" i="5"/>
  <c r="I114" i="5"/>
  <c r="B114" i="5"/>
  <c r="K113" i="5"/>
  <c r="J113" i="5"/>
  <c r="I113" i="5"/>
  <c r="B113" i="5"/>
  <c r="K112" i="5"/>
  <c r="J112" i="5"/>
  <c r="I112" i="5"/>
  <c r="B112" i="5"/>
  <c r="K111" i="5"/>
  <c r="J111" i="5"/>
  <c r="I111" i="5"/>
  <c r="B111" i="5"/>
  <c r="K110" i="5"/>
  <c r="J110" i="5"/>
  <c r="I110" i="5"/>
  <c r="B110" i="5"/>
  <c r="K109" i="5"/>
  <c r="J109" i="5"/>
  <c r="I109" i="5"/>
  <c r="B109" i="5"/>
  <c r="K108" i="5"/>
  <c r="J108" i="5"/>
  <c r="I108" i="5"/>
  <c r="B108" i="5"/>
  <c r="K107" i="5"/>
  <c r="J107" i="5"/>
  <c r="I107" i="5"/>
  <c r="B107" i="5"/>
  <c r="K106" i="5"/>
  <c r="J106" i="5"/>
  <c r="I106" i="5"/>
  <c r="B106" i="5"/>
  <c r="K105" i="5"/>
  <c r="J105" i="5"/>
  <c r="I105" i="5"/>
  <c r="B105" i="5"/>
  <c r="K104" i="5"/>
  <c r="J104" i="5"/>
  <c r="I104" i="5"/>
  <c r="B104" i="5"/>
  <c r="K103" i="5"/>
  <c r="J103" i="5"/>
  <c r="I103" i="5"/>
  <c r="B103" i="5"/>
  <c r="K102" i="5"/>
  <c r="J102" i="5"/>
  <c r="I102" i="5"/>
  <c r="B102" i="5"/>
  <c r="K101" i="5"/>
  <c r="J101" i="5"/>
  <c r="I101" i="5"/>
  <c r="B101" i="5"/>
  <c r="K100" i="5"/>
  <c r="J100" i="5"/>
  <c r="I100" i="5"/>
  <c r="B100" i="5"/>
  <c r="K99" i="5"/>
  <c r="J99" i="5"/>
  <c r="I99" i="5"/>
  <c r="B99" i="5"/>
  <c r="K98" i="5"/>
  <c r="J98" i="5"/>
  <c r="I98" i="5"/>
  <c r="B98" i="5"/>
  <c r="K97" i="5"/>
  <c r="J97" i="5"/>
  <c r="I97" i="5"/>
  <c r="B97" i="5"/>
  <c r="K96" i="5"/>
  <c r="J96" i="5"/>
  <c r="I96" i="5"/>
  <c r="B96" i="5"/>
  <c r="K95" i="5"/>
  <c r="J95" i="5"/>
  <c r="I95" i="5"/>
  <c r="B95" i="5"/>
  <c r="K94" i="5"/>
  <c r="J94" i="5"/>
  <c r="I94" i="5"/>
  <c r="B94" i="5"/>
  <c r="K93" i="5"/>
  <c r="J93" i="5"/>
  <c r="I93" i="5"/>
  <c r="B93" i="5"/>
  <c r="K92" i="5"/>
  <c r="J92" i="5"/>
  <c r="I92" i="5"/>
  <c r="B92" i="5"/>
  <c r="K91" i="5"/>
  <c r="J91" i="5"/>
  <c r="I91" i="5"/>
  <c r="B91" i="5"/>
  <c r="K90" i="5"/>
  <c r="J90" i="5"/>
  <c r="I90" i="5"/>
  <c r="B90" i="5"/>
  <c r="K89" i="5"/>
  <c r="J89" i="5"/>
  <c r="I89" i="5"/>
  <c r="B89" i="5"/>
  <c r="K88" i="5"/>
  <c r="J88" i="5"/>
  <c r="I88" i="5"/>
  <c r="B88" i="5"/>
  <c r="K87" i="5"/>
  <c r="J87" i="5"/>
  <c r="I87" i="5"/>
  <c r="B87" i="5"/>
  <c r="K86" i="5"/>
  <c r="J86" i="5"/>
  <c r="I86" i="5"/>
  <c r="B86" i="5"/>
  <c r="K85" i="5"/>
  <c r="J85" i="5"/>
  <c r="I85" i="5"/>
  <c r="B85" i="5"/>
  <c r="K84" i="5"/>
  <c r="J84" i="5"/>
  <c r="I84" i="5"/>
  <c r="B84" i="5"/>
  <c r="K83" i="5"/>
  <c r="J83" i="5"/>
  <c r="I83" i="5"/>
  <c r="B83" i="5"/>
  <c r="K82" i="5"/>
  <c r="J82" i="5"/>
  <c r="I82" i="5"/>
  <c r="B82" i="5"/>
  <c r="K81" i="5"/>
  <c r="J81" i="5"/>
  <c r="I81" i="5"/>
  <c r="B81" i="5"/>
  <c r="K80" i="5"/>
  <c r="J80" i="5"/>
  <c r="I80" i="5"/>
  <c r="B80" i="5"/>
  <c r="K79" i="5"/>
  <c r="J79" i="5"/>
  <c r="I79" i="5"/>
  <c r="B79" i="5"/>
  <c r="K78" i="5"/>
  <c r="J78" i="5"/>
  <c r="I78" i="5"/>
  <c r="B78" i="5"/>
  <c r="K77" i="5"/>
  <c r="J77" i="5"/>
  <c r="I77" i="5"/>
  <c r="B77" i="5"/>
  <c r="K76" i="5"/>
  <c r="J76" i="5"/>
  <c r="I76" i="5"/>
  <c r="B76" i="5"/>
  <c r="K75" i="5"/>
  <c r="J75" i="5"/>
  <c r="I75" i="5"/>
  <c r="B75" i="5"/>
  <c r="K74" i="5"/>
  <c r="J74" i="5"/>
  <c r="I74" i="5"/>
  <c r="B74" i="5"/>
  <c r="K73" i="5"/>
  <c r="J73" i="5"/>
  <c r="I73" i="5"/>
  <c r="B73" i="5"/>
  <c r="K72" i="5"/>
  <c r="J72" i="5"/>
  <c r="I72" i="5"/>
  <c r="B72" i="5"/>
  <c r="K71" i="5"/>
  <c r="J71" i="5"/>
  <c r="I71" i="5"/>
  <c r="B71" i="5"/>
  <c r="K70" i="5"/>
  <c r="J70" i="5"/>
  <c r="I70" i="5"/>
  <c r="B70" i="5"/>
  <c r="K69" i="5"/>
  <c r="J69" i="5"/>
  <c r="I69" i="5"/>
  <c r="B69" i="5"/>
  <c r="K68" i="5"/>
  <c r="J68" i="5"/>
  <c r="I68" i="5"/>
  <c r="B68" i="5"/>
  <c r="K67" i="5"/>
  <c r="J67" i="5"/>
  <c r="I67" i="5"/>
  <c r="B67" i="5"/>
  <c r="K66" i="5"/>
  <c r="J66" i="5"/>
  <c r="I66" i="5"/>
  <c r="B66" i="5"/>
  <c r="K65" i="5"/>
  <c r="J65" i="5"/>
  <c r="I65" i="5"/>
  <c r="B65" i="5"/>
  <c r="K64" i="5"/>
  <c r="J64" i="5"/>
  <c r="I64" i="5"/>
  <c r="B64" i="5"/>
  <c r="K63" i="5"/>
  <c r="J63" i="5"/>
  <c r="I63" i="5"/>
  <c r="B63" i="5"/>
  <c r="K62" i="5"/>
  <c r="J62" i="5"/>
  <c r="I62" i="5"/>
  <c r="B62" i="5"/>
  <c r="K61" i="5"/>
  <c r="J61" i="5"/>
  <c r="I61" i="5"/>
  <c r="B61" i="5"/>
  <c r="K60" i="5"/>
  <c r="J60" i="5"/>
  <c r="I60" i="5"/>
  <c r="B60" i="5"/>
  <c r="K59" i="5"/>
  <c r="J59" i="5"/>
  <c r="I59" i="5"/>
  <c r="B59" i="5"/>
  <c r="K58" i="5"/>
  <c r="J58" i="5"/>
  <c r="I58" i="5"/>
  <c r="B58" i="5"/>
  <c r="K57" i="5"/>
  <c r="J57" i="5"/>
  <c r="I57" i="5"/>
  <c r="B57" i="5"/>
  <c r="K56" i="5"/>
  <c r="J56" i="5"/>
  <c r="I56" i="5"/>
  <c r="B56" i="5"/>
  <c r="K55" i="5"/>
  <c r="J55" i="5"/>
  <c r="I55" i="5"/>
  <c r="B55" i="5"/>
  <c r="K54" i="5"/>
  <c r="J54" i="5"/>
  <c r="I54" i="5"/>
  <c r="B54" i="5"/>
  <c r="K53" i="5"/>
  <c r="J53" i="5"/>
  <c r="I53" i="5"/>
  <c r="B53" i="5"/>
  <c r="K52" i="5"/>
  <c r="J52" i="5"/>
  <c r="I52" i="5"/>
  <c r="B52" i="5"/>
  <c r="K51" i="5"/>
  <c r="J51" i="5"/>
  <c r="I51" i="5"/>
  <c r="B51" i="5"/>
  <c r="K50" i="5"/>
  <c r="J50" i="5"/>
  <c r="I50" i="5"/>
  <c r="B50" i="5"/>
  <c r="K49" i="5"/>
  <c r="J49" i="5"/>
  <c r="I49" i="5"/>
  <c r="B49" i="5"/>
  <c r="K48" i="5"/>
  <c r="J48" i="5"/>
  <c r="I48" i="5"/>
  <c r="B48" i="5"/>
  <c r="K47" i="5"/>
  <c r="J47" i="5"/>
  <c r="I47" i="5"/>
  <c r="B47" i="5"/>
  <c r="K46" i="5"/>
  <c r="J46" i="5"/>
  <c r="I46" i="5"/>
  <c r="B46" i="5"/>
  <c r="K45" i="5"/>
  <c r="J45" i="5"/>
  <c r="I45" i="5"/>
  <c r="B45" i="5"/>
  <c r="K44" i="5"/>
  <c r="J44" i="5"/>
  <c r="I44" i="5"/>
  <c r="B44" i="5"/>
  <c r="K43" i="5"/>
  <c r="J43" i="5"/>
  <c r="I43" i="5"/>
  <c r="B43" i="5"/>
  <c r="K42" i="5"/>
  <c r="J42" i="5"/>
  <c r="I42" i="5"/>
  <c r="B42" i="5"/>
  <c r="K41" i="5"/>
  <c r="J41" i="5"/>
  <c r="I41" i="5"/>
  <c r="B41" i="5"/>
  <c r="K40" i="5"/>
  <c r="J40" i="5"/>
  <c r="I40" i="5"/>
  <c r="B40" i="5"/>
  <c r="K39" i="5"/>
  <c r="J39" i="5"/>
  <c r="I39" i="5"/>
  <c r="B39" i="5"/>
  <c r="K38" i="5"/>
  <c r="J38" i="5"/>
  <c r="I38" i="5"/>
  <c r="B38" i="5"/>
  <c r="K37" i="5"/>
  <c r="J37" i="5"/>
  <c r="I37" i="5"/>
  <c r="B37" i="5"/>
  <c r="K36" i="5"/>
  <c r="J36" i="5"/>
  <c r="I36" i="5"/>
  <c r="B36" i="5"/>
  <c r="K35" i="5"/>
  <c r="J35" i="5"/>
  <c r="I35" i="5"/>
  <c r="B35" i="5"/>
  <c r="K34" i="5"/>
  <c r="J34" i="5"/>
  <c r="I34" i="5"/>
  <c r="B34" i="5"/>
  <c r="K33" i="5"/>
  <c r="J33" i="5"/>
  <c r="I33" i="5"/>
  <c r="B33" i="5"/>
  <c r="K32" i="5"/>
  <c r="J32" i="5"/>
  <c r="I32" i="5"/>
  <c r="B32" i="5"/>
  <c r="K31" i="5"/>
  <c r="J31" i="5"/>
  <c r="I31" i="5"/>
  <c r="B31" i="5"/>
  <c r="K30" i="5"/>
  <c r="J30" i="5"/>
  <c r="I30" i="5"/>
  <c r="B30" i="5"/>
  <c r="K29" i="5"/>
  <c r="J29" i="5"/>
  <c r="I29" i="5"/>
  <c r="B29" i="5"/>
  <c r="K28" i="5"/>
  <c r="J28" i="5"/>
  <c r="I28" i="5"/>
  <c r="B28" i="5"/>
  <c r="K27" i="5"/>
  <c r="J27" i="5"/>
  <c r="I27" i="5"/>
  <c r="B27" i="5"/>
  <c r="K26" i="5"/>
  <c r="J26" i="5"/>
  <c r="I26" i="5"/>
  <c r="B26" i="5"/>
  <c r="K25" i="5"/>
  <c r="J25" i="5"/>
  <c r="I25" i="5"/>
  <c r="B25" i="5"/>
  <c r="K24" i="5"/>
  <c r="J24" i="5"/>
  <c r="I24" i="5"/>
  <c r="B24" i="5"/>
  <c r="K23" i="5"/>
  <c r="J23" i="5"/>
  <c r="I23" i="5"/>
  <c r="B23" i="5"/>
  <c r="K22" i="5"/>
  <c r="J22" i="5"/>
  <c r="I22" i="5"/>
  <c r="B22" i="5"/>
  <c r="K21" i="5"/>
  <c r="J21" i="5"/>
  <c r="I21" i="5"/>
  <c r="B21" i="5"/>
  <c r="K20" i="5"/>
  <c r="J20" i="5"/>
  <c r="I20" i="5"/>
  <c r="B20" i="5"/>
  <c r="K19" i="5"/>
  <c r="J19" i="5"/>
  <c r="I19" i="5"/>
  <c r="B19" i="5"/>
  <c r="K18" i="5"/>
  <c r="J18" i="5"/>
  <c r="I18" i="5"/>
  <c r="B18" i="5"/>
  <c r="K17" i="5"/>
  <c r="J17" i="5"/>
  <c r="I17" i="5"/>
  <c r="B17" i="5"/>
  <c r="K16" i="5"/>
  <c r="J16" i="5"/>
  <c r="I16" i="5"/>
  <c r="B16" i="5"/>
  <c r="K15" i="5"/>
  <c r="J15" i="5"/>
  <c r="I15" i="5"/>
  <c r="B15" i="5"/>
  <c r="K14" i="5"/>
  <c r="J14" i="5"/>
  <c r="I14" i="5"/>
  <c r="B14" i="5"/>
  <c r="K13" i="5"/>
  <c r="J13" i="5"/>
  <c r="I13" i="5"/>
  <c r="B13" i="5"/>
  <c r="K12" i="5"/>
  <c r="J12" i="5"/>
  <c r="I12" i="5"/>
  <c r="B12" i="5"/>
  <c r="K11" i="5"/>
  <c r="J11" i="5"/>
  <c r="I11" i="5"/>
  <c r="B11" i="5"/>
  <c r="K10" i="5"/>
  <c r="J10" i="5"/>
  <c r="I10" i="5"/>
  <c r="B10" i="5"/>
  <c r="K9" i="5"/>
  <c r="J9" i="5"/>
  <c r="I9" i="5"/>
  <c r="B9" i="5"/>
  <c r="K8" i="5"/>
  <c r="J8" i="5"/>
  <c r="I8" i="5"/>
  <c r="B8" i="5"/>
  <c r="K7" i="5"/>
  <c r="J7" i="5"/>
  <c r="I7" i="5"/>
  <c r="B7" i="5"/>
  <c r="K6" i="5"/>
  <c r="J6" i="5"/>
  <c r="I6" i="5"/>
  <c r="B6" i="5"/>
  <c r="K5" i="5"/>
  <c r="J5" i="5"/>
  <c r="I5" i="5"/>
  <c r="B5" i="5"/>
  <c r="K4" i="5"/>
  <c r="J4" i="5"/>
  <c r="I4" i="5"/>
  <c r="K3" i="5"/>
  <c r="J3" i="5"/>
  <c r="I3" i="5"/>
  <c r="B3" i="5"/>
  <c r="B2" i="5"/>
  <c r="C15" i="2" l="1"/>
  <c r="C19" i="2"/>
  <c r="A9" i="2" l="1"/>
  <c r="F9" i="2"/>
  <c r="G9" i="2"/>
  <c r="A11" i="2"/>
  <c r="C11" i="2"/>
  <c r="F11" i="2"/>
  <c r="G11" i="2"/>
  <c r="C14" i="2"/>
  <c r="F14" i="2"/>
  <c r="G14" i="2"/>
  <c r="F15" i="2"/>
  <c r="G15" i="2"/>
  <c r="B16" i="2"/>
  <c r="C16" i="2"/>
  <c r="F16" i="2"/>
  <c r="G16" i="2"/>
  <c r="B17" i="2"/>
  <c r="C17" i="2"/>
  <c r="F17" i="2"/>
  <c r="G17" i="2"/>
  <c r="B18" i="2"/>
  <c r="C18" i="2"/>
  <c r="F18" i="2"/>
  <c r="G18" i="2"/>
  <c r="B19" i="2"/>
  <c r="F19" i="2"/>
  <c r="G19" i="2"/>
  <c r="B20" i="2"/>
  <c r="C20" i="2"/>
  <c r="F20" i="2"/>
  <c r="G20" i="2"/>
  <c r="B21" i="2"/>
  <c r="C21" i="2"/>
  <c r="F21" i="2"/>
  <c r="G21" i="2"/>
  <c r="B22" i="2"/>
  <c r="C22" i="2"/>
  <c r="F22" i="2"/>
  <c r="G22" i="2"/>
  <c r="B23" i="2"/>
  <c r="C23" i="2"/>
  <c r="F23" i="2"/>
  <c r="G23" i="2"/>
  <c r="B24" i="2"/>
  <c r="C24" i="2"/>
  <c r="F24" i="2"/>
  <c r="G24" i="2"/>
  <c r="B25" i="2"/>
  <c r="C25" i="2"/>
  <c r="F25" i="2"/>
  <c r="G25" i="2"/>
  <c r="B26" i="2"/>
  <c r="C26" i="2"/>
  <c r="F26" i="2"/>
  <c r="G26" i="2"/>
  <c r="B27" i="2"/>
  <c r="C27" i="2"/>
  <c r="F27" i="2"/>
  <c r="G27" i="2"/>
  <c r="A29" i="2"/>
  <c r="P3" i="1" l="1"/>
  <c r="H14" i="2" s="1"/>
  <c r="U3" i="1"/>
  <c r="H15" i="2" s="1"/>
  <c r="Z3" i="1"/>
  <c r="H16" i="2" s="1"/>
  <c r="AE3" i="1"/>
  <c r="H17" i="2" s="1"/>
  <c r="AJ3" i="1"/>
  <c r="H18" i="2" s="1"/>
  <c r="AO3" i="1"/>
  <c r="H19" i="2" s="1"/>
  <c r="AT3" i="1"/>
  <c r="H20" i="2" s="1"/>
  <c r="AY3" i="1"/>
  <c r="H21" i="2" s="1"/>
  <c r="BD3" i="1"/>
  <c r="H22" i="2" s="1"/>
  <c r="BI3" i="1"/>
  <c r="H23" i="2" s="1"/>
  <c r="BN3" i="1"/>
  <c r="H24" i="2" s="1"/>
  <c r="BS3" i="1"/>
  <c r="H25" i="2" s="1"/>
  <c r="BX3" i="1"/>
  <c r="H26" i="2" s="1"/>
  <c r="CC3" i="1"/>
  <c r="H27" i="2" s="1"/>
  <c r="CE3" i="1"/>
  <c r="H32" i="2" s="1"/>
  <c r="CF3" i="1"/>
  <c r="H33" i="2" s="1"/>
  <c r="CG3" i="1"/>
  <c r="H34" i="2" s="1"/>
  <c r="CH3" i="1"/>
  <c r="H35" i="2" s="1"/>
  <c r="P4" i="1" l="1"/>
  <c r="U4" i="1"/>
  <c r="Z4" i="1"/>
  <c r="AE4" i="1"/>
  <c r="AJ4" i="1"/>
  <c r="AO4" i="1"/>
  <c r="AT4" i="1"/>
  <c r="AY4" i="1"/>
  <c r="BD4" i="1"/>
  <c r="BI4" i="1"/>
  <c r="BN4" i="1"/>
  <c r="BS4" i="1"/>
  <c r="BX4" i="1"/>
  <c r="CC4" i="1"/>
  <c r="CE4" i="1"/>
  <c r="CF4" i="1"/>
  <c r="CG4" i="1"/>
  <c r="CH4" i="1"/>
  <c r="P5" i="1" l="1"/>
  <c r="U5" i="1"/>
  <c r="Z5" i="1"/>
  <c r="AE5" i="1"/>
  <c r="AJ5" i="1"/>
  <c r="AO5" i="1"/>
  <c r="AT5" i="1"/>
  <c r="AY5" i="1"/>
  <c r="BD5" i="1"/>
  <c r="BI5" i="1"/>
  <c r="BN5" i="1"/>
  <c r="BS5" i="1"/>
  <c r="BX5" i="1"/>
  <c r="CC5" i="1"/>
  <c r="CE5" i="1"/>
  <c r="CF5" i="1"/>
  <c r="CG5" i="1"/>
  <c r="CH5" i="1"/>
  <c r="P6" i="1" l="1"/>
  <c r="U6" i="1"/>
  <c r="Z6" i="1"/>
  <c r="AE6" i="1"/>
  <c r="AJ6" i="1"/>
  <c r="AO6" i="1"/>
  <c r="AT6" i="1"/>
  <c r="AY6" i="1"/>
  <c r="BD6" i="1"/>
  <c r="BI6" i="1"/>
  <c r="BN6" i="1"/>
  <c r="BS6" i="1"/>
  <c r="BX6" i="1"/>
  <c r="CC6" i="1"/>
  <c r="CE6" i="1"/>
  <c r="CF6" i="1"/>
  <c r="CG6" i="1"/>
  <c r="CH6" i="1"/>
  <c r="CC2" i="1"/>
  <c r="BX2" i="1"/>
  <c r="BS2" i="1"/>
  <c r="BN2" i="1"/>
  <c r="BI2" i="1"/>
  <c r="BD2" i="1"/>
  <c r="AY2" i="1"/>
  <c r="AT2" i="1"/>
  <c r="AO2" i="1"/>
  <c r="AJ2" i="1"/>
  <c r="AE2" i="1"/>
  <c r="Z2" i="1"/>
  <c r="U2" i="1"/>
  <c r="P2" i="1"/>
  <c r="CE2" i="1" l="1"/>
  <c r="CG2" i="1" l="1"/>
  <c r="CF2" i="1"/>
  <c r="CH2" i="1" s="1"/>
  <c r="L250" i="5" l="1"/>
  <c r="L249" i="5"/>
  <c r="L248" i="5"/>
  <c r="L247" i="5"/>
  <c r="L246" i="5"/>
  <c r="L245" i="5"/>
  <c r="L244" i="5"/>
  <c r="L243" i="5"/>
  <c r="L242" i="5"/>
  <c r="L241" i="5"/>
  <c r="L240" i="5"/>
  <c r="L239" i="5"/>
  <c r="L238" i="5"/>
  <c r="L237" i="5"/>
  <c r="L236" i="5"/>
  <c r="L235" i="5"/>
  <c r="L234" i="5"/>
  <c r="L233" i="5"/>
  <c r="L232" i="5"/>
  <c r="L231" i="5"/>
  <c r="L230" i="5"/>
  <c r="L229" i="5"/>
  <c r="L228" i="5"/>
  <c r="L227" i="5"/>
  <c r="L226" i="5"/>
  <c r="L225" i="5"/>
  <c r="L224" i="5"/>
  <c r="L223" i="5"/>
  <c r="L222" i="5"/>
  <c r="L221" i="5"/>
  <c r="L220" i="5"/>
  <c r="L219" i="5"/>
  <c r="L218" i="5"/>
  <c r="L217" i="5"/>
  <c r="L216" i="5"/>
  <c r="L215" i="5"/>
  <c r="L214" i="5"/>
  <c r="L213" i="5"/>
  <c r="L212" i="5"/>
  <c r="L211" i="5"/>
  <c r="L210" i="5"/>
  <c r="L209" i="5"/>
  <c r="L208" i="5"/>
  <c r="L207" i="5"/>
  <c r="L206" i="5"/>
  <c r="L205" i="5"/>
  <c r="L204" i="5"/>
  <c r="L203" i="5"/>
  <c r="L202" i="5"/>
  <c r="L201" i="5"/>
  <c r="L200" i="5"/>
  <c r="L199" i="5"/>
  <c r="L198" i="5"/>
  <c r="L197" i="5"/>
  <c r="L196" i="5"/>
  <c r="L195" i="5"/>
  <c r="L194" i="5"/>
  <c r="L193" i="5"/>
  <c r="K250" i="5"/>
  <c r="K249" i="5"/>
  <c r="K248" i="5"/>
  <c r="K247" i="5"/>
  <c r="K246" i="5"/>
  <c r="K245" i="5"/>
  <c r="K244" i="5"/>
  <c r="K243" i="5"/>
  <c r="K242" i="5"/>
  <c r="K241" i="5"/>
  <c r="K240" i="5"/>
  <c r="K239" i="5"/>
  <c r="K238" i="5"/>
  <c r="K237" i="5"/>
  <c r="K236" i="5"/>
  <c r="K235" i="5"/>
  <c r="K234" i="5"/>
  <c r="K233" i="5"/>
  <c r="K232" i="5"/>
  <c r="K231" i="5"/>
  <c r="K230" i="5"/>
  <c r="K229" i="5"/>
  <c r="K228" i="5"/>
  <c r="K227" i="5"/>
  <c r="K226" i="5"/>
  <c r="K225" i="5"/>
  <c r="K224" i="5"/>
  <c r="K223" i="5"/>
  <c r="K222" i="5"/>
  <c r="K221" i="5"/>
  <c r="K220" i="5"/>
  <c r="K219" i="5"/>
  <c r="K218" i="5"/>
  <c r="K217" i="5"/>
  <c r="K216" i="5"/>
  <c r="K215" i="5"/>
  <c r="K214" i="5"/>
  <c r="K213" i="5"/>
  <c r="K212" i="5"/>
  <c r="K211" i="5"/>
  <c r="K210" i="5"/>
  <c r="K209" i="5"/>
  <c r="K208" i="5"/>
  <c r="K207" i="5"/>
  <c r="K206" i="5"/>
  <c r="K205" i="5"/>
  <c r="K204" i="5"/>
  <c r="K203" i="5"/>
  <c r="K202" i="5"/>
  <c r="K201" i="5"/>
  <c r="K200" i="5"/>
  <c r="K199" i="5"/>
  <c r="K198" i="5"/>
  <c r="K197" i="5"/>
  <c r="K196" i="5"/>
  <c r="K195" i="5"/>
  <c r="K194" i="5"/>
  <c r="K193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I250" i="5"/>
  <c r="I249" i="5"/>
  <c r="I248" i="5"/>
  <c r="I247" i="5"/>
  <c r="I246" i="5"/>
  <c r="I245" i="5"/>
  <c r="I244" i="5"/>
  <c r="I243" i="5"/>
  <c r="I242" i="5"/>
  <c r="I241" i="5"/>
  <c r="I240" i="5"/>
  <c r="I239" i="5"/>
  <c r="I238" i="5"/>
  <c r="I237" i="5"/>
  <c r="I236" i="5"/>
  <c r="I235" i="5"/>
  <c r="I234" i="5"/>
  <c r="I233" i="5"/>
  <c r="I232" i="5"/>
  <c r="I231" i="5"/>
  <c r="I230" i="5"/>
  <c r="I229" i="5"/>
  <c r="I228" i="5"/>
  <c r="I227" i="5"/>
  <c r="I226" i="5"/>
  <c r="I225" i="5"/>
  <c r="I224" i="5"/>
  <c r="I223" i="5"/>
  <c r="I222" i="5"/>
  <c r="I221" i="5"/>
  <c r="I220" i="5"/>
  <c r="I219" i="5"/>
  <c r="I218" i="5"/>
  <c r="I217" i="5"/>
  <c r="I216" i="5"/>
  <c r="I215" i="5"/>
  <c r="I214" i="5"/>
  <c r="I213" i="5"/>
  <c r="I212" i="5"/>
  <c r="I211" i="5"/>
  <c r="I210" i="5"/>
  <c r="I209" i="5"/>
  <c r="I208" i="5"/>
  <c r="I207" i="5"/>
  <c r="I206" i="5"/>
  <c r="I205" i="5"/>
  <c r="I204" i="5"/>
  <c r="I203" i="5"/>
  <c r="I202" i="5"/>
  <c r="I201" i="5"/>
  <c r="I200" i="5"/>
  <c r="I199" i="5"/>
  <c r="I198" i="5"/>
  <c r="I197" i="5"/>
  <c r="I196" i="5"/>
  <c r="I195" i="5"/>
  <c r="I194" i="5"/>
  <c r="I193" i="5"/>
  <c r="H250" i="5"/>
  <c r="H249" i="5"/>
  <c r="H248" i="5"/>
  <c r="H247" i="5"/>
  <c r="H246" i="5"/>
  <c r="H245" i="5"/>
  <c r="H244" i="5"/>
  <c r="H243" i="5"/>
  <c r="H242" i="5"/>
  <c r="H241" i="5"/>
  <c r="H240" i="5"/>
  <c r="H239" i="5"/>
  <c r="H238" i="5"/>
  <c r="H237" i="5"/>
  <c r="H236" i="5"/>
  <c r="H235" i="5"/>
  <c r="H234" i="5"/>
  <c r="H233" i="5"/>
  <c r="H232" i="5"/>
  <c r="H231" i="5"/>
  <c r="H230" i="5"/>
  <c r="H229" i="5"/>
  <c r="H228" i="5"/>
  <c r="H227" i="5"/>
  <c r="H226" i="5"/>
  <c r="H225" i="5"/>
  <c r="H224" i="5"/>
  <c r="H223" i="5"/>
  <c r="H222" i="5"/>
  <c r="H221" i="5"/>
  <c r="H220" i="5"/>
  <c r="H219" i="5"/>
  <c r="H218" i="5"/>
  <c r="H217" i="5"/>
  <c r="H216" i="5"/>
  <c r="H215" i="5"/>
  <c r="H214" i="5"/>
  <c r="H213" i="5"/>
  <c r="H212" i="5"/>
  <c r="H211" i="5"/>
  <c r="H210" i="5"/>
  <c r="H209" i="5"/>
  <c r="H208" i="5"/>
  <c r="H207" i="5"/>
  <c r="H206" i="5"/>
  <c r="H205" i="5"/>
  <c r="H204" i="5"/>
  <c r="H203" i="5"/>
  <c r="H202" i="5"/>
  <c r="H201" i="5"/>
  <c r="H200" i="5"/>
  <c r="H199" i="5"/>
  <c r="H198" i="5"/>
  <c r="H197" i="5"/>
  <c r="H196" i="5"/>
  <c r="H195" i="5"/>
  <c r="H194" i="5"/>
  <c r="H193" i="5"/>
  <c r="G250" i="5"/>
  <c r="G249" i="5"/>
  <c r="G248" i="5"/>
  <c r="G247" i="5"/>
  <c r="G246" i="5"/>
  <c r="G245" i="5"/>
  <c r="G244" i="5"/>
  <c r="G243" i="5"/>
  <c r="G242" i="5"/>
  <c r="G241" i="5"/>
  <c r="G240" i="5"/>
  <c r="G239" i="5"/>
  <c r="G238" i="5"/>
  <c r="G237" i="5"/>
  <c r="G236" i="5"/>
  <c r="G235" i="5"/>
  <c r="G234" i="5"/>
  <c r="G233" i="5"/>
  <c r="G232" i="5"/>
  <c r="G231" i="5"/>
  <c r="G230" i="5"/>
  <c r="G229" i="5"/>
  <c r="G228" i="5"/>
  <c r="G227" i="5"/>
  <c r="G226" i="5"/>
  <c r="G225" i="5"/>
  <c r="G224" i="5"/>
  <c r="G223" i="5"/>
  <c r="G222" i="5"/>
  <c r="G221" i="5"/>
  <c r="G220" i="5"/>
  <c r="G219" i="5"/>
  <c r="G218" i="5"/>
  <c r="G217" i="5"/>
  <c r="G216" i="5"/>
  <c r="G215" i="5"/>
  <c r="G214" i="5"/>
  <c r="G213" i="5"/>
  <c r="G212" i="5"/>
  <c r="G211" i="5"/>
  <c r="G210" i="5"/>
  <c r="G209" i="5"/>
  <c r="G208" i="5"/>
  <c r="G207" i="5"/>
  <c r="G206" i="5"/>
  <c r="G205" i="5"/>
  <c r="G204" i="5"/>
  <c r="G203" i="5"/>
  <c r="G202" i="5"/>
  <c r="G201" i="5"/>
  <c r="G200" i="5"/>
  <c r="G199" i="5"/>
  <c r="G198" i="5"/>
  <c r="G197" i="5"/>
  <c r="G196" i="5"/>
  <c r="G195" i="5"/>
  <c r="G194" i="5"/>
  <c r="G193" i="5"/>
  <c r="F250" i="5"/>
  <c r="F249" i="5"/>
  <c r="F248" i="5"/>
  <c r="F247" i="5"/>
  <c r="F246" i="5"/>
  <c r="F245" i="5"/>
  <c r="F244" i="5"/>
  <c r="F243" i="5"/>
  <c r="F242" i="5"/>
  <c r="F241" i="5"/>
  <c r="F240" i="5"/>
  <c r="F239" i="5"/>
  <c r="F238" i="5"/>
  <c r="F237" i="5"/>
  <c r="F236" i="5"/>
  <c r="F235" i="5"/>
  <c r="F234" i="5"/>
  <c r="F233" i="5"/>
  <c r="F232" i="5"/>
  <c r="F231" i="5"/>
  <c r="F230" i="5"/>
  <c r="F229" i="5"/>
  <c r="F228" i="5"/>
  <c r="F227" i="5"/>
  <c r="F226" i="5"/>
  <c r="F225" i="5"/>
  <c r="F224" i="5"/>
  <c r="F223" i="5"/>
  <c r="F222" i="5"/>
  <c r="F221" i="5"/>
  <c r="F220" i="5"/>
  <c r="F219" i="5"/>
  <c r="F218" i="5"/>
  <c r="F217" i="5"/>
  <c r="F216" i="5"/>
  <c r="F215" i="5"/>
  <c r="F214" i="5"/>
  <c r="F213" i="5"/>
  <c r="F212" i="5"/>
  <c r="F211" i="5"/>
  <c r="F210" i="5"/>
  <c r="F209" i="5"/>
  <c r="F208" i="5"/>
  <c r="F207" i="5"/>
  <c r="F206" i="5"/>
  <c r="F205" i="5"/>
  <c r="F204" i="5"/>
  <c r="F203" i="5"/>
  <c r="F202" i="5"/>
  <c r="F201" i="5"/>
  <c r="F200" i="5"/>
  <c r="F199" i="5"/>
  <c r="F198" i="5"/>
  <c r="F197" i="5"/>
  <c r="F196" i="5"/>
  <c r="F195" i="5"/>
  <c r="F194" i="5"/>
  <c r="F193" i="5"/>
  <c r="E250" i="5"/>
  <c r="E249" i="5"/>
  <c r="E248" i="5"/>
  <c r="E247" i="5"/>
  <c r="E246" i="5"/>
  <c r="E245" i="5"/>
  <c r="E244" i="5"/>
  <c r="E243" i="5"/>
  <c r="E242" i="5"/>
  <c r="E241" i="5"/>
  <c r="E240" i="5"/>
  <c r="E239" i="5"/>
  <c r="E238" i="5"/>
  <c r="E237" i="5"/>
  <c r="E236" i="5"/>
  <c r="E235" i="5"/>
  <c r="E234" i="5"/>
  <c r="E233" i="5"/>
  <c r="E232" i="5"/>
  <c r="E231" i="5"/>
  <c r="E230" i="5"/>
  <c r="E229" i="5"/>
  <c r="E228" i="5"/>
  <c r="E227" i="5"/>
  <c r="E226" i="5"/>
  <c r="E225" i="5"/>
  <c r="E224" i="5"/>
  <c r="E223" i="5"/>
  <c r="E222" i="5"/>
  <c r="E221" i="5"/>
  <c r="E220" i="5"/>
  <c r="E219" i="5"/>
  <c r="E218" i="5"/>
  <c r="E217" i="5"/>
  <c r="E216" i="5"/>
  <c r="E215" i="5"/>
  <c r="E214" i="5"/>
  <c r="E213" i="5"/>
  <c r="E212" i="5"/>
  <c r="E211" i="5"/>
  <c r="E210" i="5"/>
  <c r="E209" i="5"/>
  <c r="E208" i="5"/>
  <c r="E207" i="5"/>
  <c r="E206" i="5"/>
  <c r="E205" i="5"/>
  <c r="E204" i="5"/>
  <c r="E203" i="5"/>
  <c r="E202" i="5"/>
  <c r="E201" i="5"/>
  <c r="E200" i="5"/>
  <c r="E199" i="5"/>
  <c r="E198" i="5"/>
  <c r="E197" i="5"/>
  <c r="E196" i="5"/>
  <c r="E195" i="5"/>
  <c r="E194" i="5"/>
  <c r="E193" i="5"/>
  <c r="D250" i="5"/>
  <c r="D249" i="5"/>
  <c r="D248" i="5"/>
  <c r="D247" i="5"/>
  <c r="D246" i="5"/>
  <c r="D245" i="5"/>
  <c r="D244" i="5"/>
  <c r="D243" i="5"/>
  <c r="D242" i="5"/>
  <c r="D241" i="5"/>
  <c r="D240" i="5"/>
  <c r="D239" i="5"/>
  <c r="D238" i="5"/>
  <c r="D237" i="5"/>
  <c r="D236" i="5"/>
  <c r="D235" i="5"/>
  <c r="D234" i="5"/>
  <c r="D233" i="5"/>
  <c r="D232" i="5"/>
  <c r="D231" i="5"/>
  <c r="D230" i="5"/>
  <c r="D229" i="5"/>
  <c r="D228" i="5"/>
  <c r="D227" i="5"/>
  <c r="D226" i="5"/>
  <c r="D225" i="5"/>
  <c r="D224" i="5"/>
  <c r="D223" i="5"/>
  <c r="D222" i="5"/>
  <c r="D221" i="5"/>
  <c r="D220" i="5"/>
  <c r="D219" i="5"/>
  <c r="D218" i="5"/>
  <c r="D217" i="5"/>
  <c r="D216" i="5"/>
  <c r="D215" i="5"/>
  <c r="D214" i="5"/>
  <c r="D213" i="5"/>
  <c r="D212" i="5"/>
  <c r="D211" i="5"/>
  <c r="D210" i="5"/>
  <c r="D209" i="5"/>
  <c r="D208" i="5"/>
  <c r="D207" i="5"/>
  <c r="D206" i="5"/>
  <c r="D205" i="5"/>
  <c r="D204" i="5"/>
  <c r="D203" i="5"/>
  <c r="D202" i="5"/>
  <c r="D201" i="5"/>
  <c r="D200" i="5"/>
  <c r="D199" i="5"/>
  <c r="D198" i="5"/>
  <c r="D197" i="5"/>
  <c r="D196" i="5"/>
  <c r="D195" i="5"/>
  <c r="D194" i="5"/>
  <c r="D193" i="5"/>
  <c r="B193" i="5" l="1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C193" i="5" l="1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</calcChain>
</file>

<file path=xl/sharedStrings.xml><?xml version="1.0" encoding="utf-8"?>
<sst xmlns="http://schemas.openxmlformats.org/spreadsheetml/2006/main" count="1272" uniqueCount="611">
  <si>
    <t>No.</t>
  </si>
  <si>
    <t>¿C?</t>
  </si>
  <si>
    <t xml:space="preserve">Fecha </t>
  </si>
  <si>
    <t xml:space="preserve">Cliente </t>
  </si>
  <si>
    <t>Folio</t>
  </si>
  <si>
    <t>Contacto</t>
  </si>
  <si>
    <t>Ciudad</t>
  </si>
  <si>
    <t>Telefono</t>
  </si>
  <si>
    <t>Direccion</t>
  </si>
  <si>
    <t>Obserbacion</t>
  </si>
  <si>
    <t xml:space="preserve">Forma de pago </t>
  </si>
  <si>
    <t xml:space="preserve">Modelo </t>
  </si>
  <si>
    <t xml:space="preserve">Descripcion </t>
  </si>
  <si>
    <t xml:space="preserve">Precio Unitario </t>
  </si>
  <si>
    <t>Cantidad</t>
  </si>
  <si>
    <t>Total</t>
  </si>
  <si>
    <t xml:space="preserve">Observasiones </t>
  </si>
  <si>
    <t>Subtotal</t>
  </si>
  <si>
    <t>S/IVA</t>
  </si>
  <si>
    <t>IVA</t>
  </si>
  <si>
    <t>Valor Total</t>
  </si>
  <si>
    <t>Modelo 2</t>
  </si>
  <si>
    <t>Descripcion 3</t>
  </si>
  <si>
    <t>Precio Unitario 5</t>
  </si>
  <si>
    <t>Modelo 7</t>
  </si>
  <si>
    <t>Descripcion 8</t>
  </si>
  <si>
    <t>Precio Unitario 10</t>
  </si>
  <si>
    <t>Modelo 12</t>
  </si>
  <si>
    <t>Descripcion 13</t>
  </si>
  <si>
    <t>Cotización</t>
  </si>
  <si>
    <r>
      <rPr>
        <b/>
        <sz val="14"/>
        <color theme="1"/>
        <rFont val="Century"/>
        <family val="1"/>
      </rPr>
      <t>D</t>
    </r>
    <r>
      <rPr>
        <sz val="14"/>
        <color theme="1"/>
        <rFont val="Century"/>
        <family val="1"/>
      </rPr>
      <t>ESIN</t>
    </r>
    <r>
      <rPr>
        <b/>
        <sz val="14"/>
        <color theme="1"/>
        <rFont val="Century"/>
        <family val="1"/>
      </rPr>
      <t>G</t>
    </r>
    <r>
      <rPr>
        <sz val="14"/>
        <color theme="1"/>
        <rFont val="Century"/>
        <family val="1"/>
      </rPr>
      <t xml:space="preserve">LASS </t>
    </r>
    <r>
      <rPr>
        <b/>
        <sz val="14"/>
        <color theme="1"/>
        <rFont val="Century"/>
        <family val="1"/>
      </rPr>
      <t>S</t>
    </r>
    <r>
      <rPr>
        <sz val="14"/>
        <color theme="1"/>
        <rFont val="Century"/>
        <family val="1"/>
      </rPr>
      <t xml:space="preserve">MART </t>
    </r>
    <r>
      <rPr>
        <b/>
        <sz val="14"/>
        <color theme="1"/>
        <rFont val="Century"/>
        <family val="1"/>
      </rPr>
      <t>W</t>
    </r>
    <r>
      <rPr>
        <sz val="14"/>
        <color theme="1"/>
        <rFont val="Century"/>
        <family val="1"/>
      </rPr>
      <t>INDOWS</t>
    </r>
  </si>
  <si>
    <t>Calle Loma Escondida Mz7 B, Colonia Lomas de Ixtapaluca. Estado de México. 
Tel: 56 1478 7701              WhatsApp: 56 1478 7701                                               Correo: desinglass.ventanasinteligentes@gmail.com</t>
  </si>
  <si>
    <t>CLIENTE</t>
  </si>
  <si>
    <t>CONTACTO</t>
  </si>
  <si>
    <t>CIUDAD</t>
  </si>
  <si>
    <t>FECHA</t>
  </si>
  <si>
    <t>TELEFONO</t>
  </si>
  <si>
    <t>DIRECCION</t>
  </si>
  <si>
    <t>FORMA DE PAGO</t>
  </si>
  <si>
    <t>NO.</t>
  </si>
  <si>
    <t>MODELO</t>
  </si>
  <si>
    <t>DESCRIPCION</t>
  </si>
  <si>
    <t>CANTIDAD</t>
  </si>
  <si>
    <t>P.UNITARIO</t>
  </si>
  <si>
    <t>TOTAL</t>
  </si>
  <si>
    <r>
      <t xml:space="preserve">NOTA: </t>
    </r>
    <r>
      <rPr>
        <u/>
        <sz val="10"/>
        <color theme="1"/>
        <rFont val="Arial"/>
        <family val="2"/>
      </rPr>
      <t>LOS PRECIOS ESTAN SUJETOS A CAMBIOS SIN PREVIO AVISO.</t>
    </r>
    <r>
      <rPr>
        <sz val="10"/>
        <color theme="1"/>
        <rFont val="Arial"/>
        <family val="2"/>
      </rPr>
      <t xml:space="preserve">
NO SE ACEPTAN DEVOLUCIONES SOLO CAMBIOS (PREVIA VALORACION)                                                                                                          </t>
    </r>
    <r>
      <rPr>
        <b/>
        <sz val="10"/>
        <color theme="1"/>
        <rFont val="Arial"/>
        <family val="2"/>
      </rPr>
      <t>EN ACCESORIOS Y PARTES ELECTRICAS DEL EQUIPO, INCLUYENDO LOS MOTORES; NO CUENTAN CON GARANTÍA</t>
    </r>
    <r>
      <rPr>
        <sz val="10"/>
        <color theme="1"/>
        <rFont val="Arial"/>
        <family val="2"/>
      </rPr>
      <t xml:space="preserve">
TODOS NUESTROS EQUIPOS DEBEN ESTAR LIQUIDADOS AL 100% ANTES DE SALIR DE NUESTRA ADUANA Y ALMACEN, EL PRECIO DEL PRODUCTO ESTA SUJETO A CAMBIO SIN PREVIO AVISO</t>
    </r>
  </si>
  <si>
    <t xml:space="preserve"> OBSERVACIONES: </t>
  </si>
  <si>
    <t>SUB TOTAL</t>
  </si>
  <si>
    <t>VALOR TOTAL</t>
  </si>
  <si>
    <t>REFERENCIA</t>
  </si>
  <si>
    <t>PRECIO UNITARIO</t>
  </si>
  <si>
    <t>VENDEDOR</t>
  </si>
  <si>
    <t>NUMERO TELEFONICO</t>
  </si>
  <si>
    <t>ID</t>
  </si>
  <si>
    <t>IMAGEN</t>
  </si>
  <si>
    <t>Transferencia Bancaria</t>
  </si>
  <si>
    <t>Efectivo</t>
  </si>
  <si>
    <t>NOMRE DEL PRODUCTO</t>
  </si>
  <si>
    <t xml:space="preserve">REFERENCIA </t>
  </si>
  <si>
    <t>MARCA</t>
  </si>
  <si>
    <t>COLOR</t>
  </si>
  <si>
    <t>UNIDAD</t>
  </si>
  <si>
    <t>STOCK</t>
  </si>
  <si>
    <t>LUGAR</t>
  </si>
  <si>
    <t>PRECIO DE OFICINA</t>
  </si>
  <si>
    <t>PRECIO DE MC</t>
  </si>
  <si>
    <t>PRECIO DE WIX</t>
  </si>
  <si>
    <t>ALARMAS</t>
  </si>
  <si>
    <t>DGSW002</t>
  </si>
  <si>
    <t>DesinGlass</t>
  </si>
  <si>
    <t>Blanco</t>
  </si>
  <si>
    <t>Pieza</t>
  </si>
  <si>
    <t>Oficina</t>
  </si>
  <si>
    <t>ALEXA</t>
  </si>
  <si>
    <t>Gris</t>
  </si>
  <si>
    <t>ALEXA BOLITA BLANCA</t>
  </si>
  <si>
    <t>Blanca</t>
  </si>
  <si>
    <t>Almacen</t>
  </si>
  <si>
    <t>ALEXA BOLITA NEGRA</t>
  </si>
  <si>
    <t>Negro</t>
  </si>
  <si>
    <t>APAGADOR BLANCO BOTONES AZULES PLACA DE CRISTAL</t>
  </si>
  <si>
    <t>APAGADOR BROADLINK MCB1</t>
  </si>
  <si>
    <t>APAGADOR WIFI 1 CANAL (Caja Azul)</t>
  </si>
  <si>
    <t>APAGADOR WI-FI + RADIO FRECUENCIA DE 1 APAGADOR</t>
  </si>
  <si>
    <t>DGSW009</t>
  </si>
  <si>
    <t>APAGADOR WIFI DE 1 APAGADOR</t>
  </si>
  <si>
    <t>DGSW010</t>
  </si>
  <si>
    <t>APAGADOR ZIGBEE BLANCO CON MARCO PLACA CRISTAL DE 1 APAGADOR</t>
  </si>
  <si>
    <t>APAGADOR ZIGBEE NEGRO CON MARCO PLACA CRISTAL DE 1 APAGADO</t>
  </si>
  <si>
    <t>APAGADOR ZIGBEE BLANCO CON MARCO METAL 1  APAGADOR</t>
  </si>
  <si>
    <t>DGSW013</t>
  </si>
  <si>
    <t>APAGADOR ZIGBEE NEGRO CON MARCO METAL 1 APAGADOR</t>
  </si>
  <si>
    <t>DGSW014</t>
  </si>
  <si>
    <t>APAGADOR WIFI +RADIO FRECUENCIA DE 2 APAGADOR</t>
  </si>
  <si>
    <t>DGSW015</t>
  </si>
  <si>
    <t xml:space="preserve">APAGADOR ZIGBEE BLANCO CON MARCO PLACA CRISTAL 2 APAGADOR </t>
  </si>
  <si>
    <t xml:space="preserve">APAGADOR ZIGBEE NEGRO CON MARCO PLACA CRISTAL 2 APAGADOR </t>
  </si>
  <si>
    <t>DGSW017</t>
  </si>
  <si>
    <t xml:space="preserve">APAGADOR ZIGBEE BLANCO CON MARCO METAL 2 APAGADOR </t>
  </si>
  <si>
    <t>DGSW018</t>
  </si>
  <si>
    <t>APAGADOR ZIGBEE NEGRO CON MARCO METAL 2 APAGADOR</t>
  </si>
  <si>
    <t>DGSW019</t>
  </si>
  <si>
    <t>APAGADOR WIFI + RADIO FRECUENCIA DE 3 APAGADOR</t>
  </si>
  <si>
    <t>DGSW020</t>
  </si>
  <si>
    <t>APAGADOR ZIGBEE BLANCO CON MARCO PLACA CRISTAL 3 APAGADOR</t>
  </si>
  <si>
    <t>DGSW021</t>
  </si>
  <si>
    <t>APAGADOR ZIGBEE NEGRO CON MARCO PLACA CRISTAL 3 APAGADOR</t>
  </si>
  <si>
    <t>DGSW022</t>
  </si>
  <si>
    <t>APAGADOR ZIGBEE BLANCO CON MARCO METAL 3 APAGADOR</t>
  </si>
  <si>
    <t>DGSW023</t>
  </si>
  <si>
    <t>APAGADOR ZIGBEE NEGRO MARCO METAL 3 APAGADOR</t>
  </si>
  <si>
    <t>DGSW024</t>
  </si>
  <si>
    <t>oficina</t>
  </si>
  <si>
    <t>DGSW025</t>
  </si>
  <si>
    <t>APAGADOR ZIGBEE SWITCH BLANCO SENCILLO</t>
  </si>
  <si>
    <t>DGSW026</t>
  </si>
  <si>
    <t>APAGADOR TOUCH PARA ESPEJO</t>
  </si>
  <si>
    <t>DGSW027</t>
  </si>
  <si>
    <t>DGSW028</t>
  </si>
  <si>
    <t xml:space="preserve">BATERIA 12V 9A </t>
  </si>
  <si>
    <t>DGSW029</t>
  </si>
  <si>
    <t xml:space="preserve">BESTCON INTERRUPTOR REMOTO </t>
  </si>
  <si>
    <t>DGSW030</t>
  </si>
  <si>
    <t>BRAKET EN U A280</t>
  </si>
  <si>
    <t>DGSW031</t>
  </si>
  <si>
    <t>BOTONERAS EN GENERAL</t>
  </si>
  <si>
    <t>DGSW032</t>
  </si>
  <si>
    <t>BOTON DORADO WIFI</t>
  </si>
  <si>
    <t>DGSW033</t>
  </si>
  <si>
    <t>BOTON NO TOUCH</t>
  </si>
  <si>
    <t>DGSW034</t>
  </si>
  <si>
    <t>BOTON PUSH D-001</t>
  </si>
  <si>
    <t>DGSW035</t>
  </si>
  <si>
    <t>BOTON DE SALIDA</t>
  </si>
  <si>
    <t>DGSW036</t>
  </si>
  <si>
    <t xml:space="preserve">BOTONERA DE GAJOS DE NARANJA </t>
  </si>
  <si>
    <t>DGSW037</t>
  </si>
  <si>
    <t>BOTONERA WIFI Y CONTROL REMOTO CAJA NARANJA /PEQUIPOS Juego 2</t>
  </si>
  <si>
    <t>DGSW038</t>
  </si>
  <si>
    <t>BOTONERA WIFI y RADIO FRECUENCIA</t>
  </si>
  <si>
    <t>DGSW039</t>
  </si>
  <si>
    <t>BOTONERA WIFI TACTIL</t>
  </si>
  <si>
    <t>DGSW040</t>
  </si>
  <si>
    <t>BRIDGE SONOFF CONVERTIDOR</t>
  </si>
  <si>
    <t>DGSW041</t>
  </si>
  <si>
    <t>BRIDGE SONOFF MINI</t>
  </si>
  <si>
    <t>DGSW042</t>
  </si>
  <si>
    <t>BROADLINK</t>
  </si>
  <si>
    <t>DGSW043</t>
  </si>
  <si>
    <t>DGSW044</t>
  </si>
  <si>
    <t>DGSW045</t>
  </si>
  <si>
    <t>CABLE SENSOR DE TEMPERATURA Y HUMEDAD SB-001</t>
  </si>
  <si>
    <t>DGSW046</t>
  </si>
  <si>
    <t>CABLE HDMI</t>
  </si>
  <si>
    <t>DGSW047</t>
  </si>
  <si>
    <t>CAJA P/BATERIA  FUENTE DE ALIMENTACION GK1205</t>
  </si>
  <si>
    <t>DGSW048</t>
  </si>
  <si>
    <t>CAJA TAPAS DE GRAPA SOPORTE</t>
  </si>
  <si>
    <t>DGSW049</t>
  </si>
  <si>
    <t>CAMARA ESPIA EN SOQUET</t>
  </si>
  <si>
    <t>DGSW050</t>
  </si>
  <si>
    <t xml:space="preserve">CARRETILLA PARA CANCEL </t>
  </si>
  <si>
    <t>DGSW051</t>
  </si>
  <si>
    <t xml:space="preserve">CERRADURA BIOMETRICA DE HUELLA </t>
  </si>
  <si>
    <t>DGSW052</t>
  </si>
  <si>
    <t>CERRADURA CONTRASEÑA DE HUELLA</t>
  </si>
  <si>
    <t>DGSW053</t>
  </si>
  <si>
    <t>CERRADURA ELECTRONICA 5 EN 1  CHICA</t>
  </si>
  <si>
    <t>DGSW054</t>
  </si>
  <si>
    <t>CERRADURA ELECTRONICA 5 EN 1 GRANDE</t>
  </si>
  <si>
    <t>DGSW055</t>
  </si>
  <si>
    <t>CERRADURA ELECTROMAGNETICA GK-11</t>
  </si>
  <si>
    <t>DGSW056</t>
  </si>
  <si>
    <t>CERRADURA ELECTROMAGNETICA GK-5818G</t>
  </si>
  <si>
    <t>DGSW057</t>
  </si>
  <si>
    <t>CERRADURA ELECTRONICA PARA VIDRIO</t>
  </si>
  <si>
    <t>DGSW058</t>
  </si>
  <si>
    <t>CERRADURA ELECTRICA DE PUERTA CON PERNO DE CAIDA ELECTRICA</t>
  </si>
  <si>
    <t>DGSW059</t>
  </si>
  <si>
    <t>CERRADURA DE PULSO</t>
  </si>
  <si>
    <t>DGSW060</t>
  </si>
  <si>
    <t xml:space="preserve">CONTROL DE ACCESO </t>
  </si>
  <si>
    <t>DGSW061</t>
  </si>
  <si>
    <t>CONTROL DE ACCESO 003 TECLADO +RFID+WIFI APP EWELINK</t>
  </si>
  <si>
    <t>DGSW062</t>
  </si>
  <si>
    <t>CONTACTO LUCEK</t>
  </si>
  <si>
    <t>DGSW063</t>
  </si>
  <si>
    <t>COMPUTADORA SISTEMAS A</t>
  </si>
  <si>
    <t>DGSW064</t>
  </si>
  <si>
    <t>COMPUTADORA ADICIONAL SISTEMA S-100</t>
  </si>
  <si>
    <t>DGSW065</t>
  </si>
  <si>
    <t>CONTROL DE ACCESO CA- 002</t>
  </si>
  <si>
    <t>DGSW066</t>
  </si>
  <si>
    <t>CONTROL DE ACCESO HUELLA DIGITAL CA-X9</t>
  </si>
  <si>
    <t>DGSW067</t>
  </si>
  <si>
    <t>CONTROL DE ACCESO WIEGAND EXTERIORES</t>
  </si>
  <si>
    <t>DGSW068</t>
  </si>
  <si>
    <t>CONTROL REMOTO Y BOTONERA NO TOUCH JUEGO(Caja Blanca)</t>
  </si>
  <si>
    <t>DGSW069</t>
  </si>
  <si>
    <t>CONTROL REMOTO RADIO FRECUENCIA</t>
  </si>
  <si>
    <t>DGSW070</t>
  </si>
  <si>
    <t>CONTROL REMOTO SOLO DE RADIO FRECUENCIA</t>
  </si>
  <si>
    <t>DGSW071</t>
  </si>
  <si>
    <t>CONTROL REMOTO UNIVERSAL RF BRIGE</t>
  </si>
  <si>
    <t>DGSW072</t>
  </si>
  <si>
    <t>CONTROLADOR LED</t>
  </si>
  <si>
    <t>DGSW073</t>
  </si>
  <si>
    <t xml:space="preserve">COMTROLADOR LED PARA ESCALERAS </t>
  </si>
  <si>
    <t>DGSW074</t>
  </si>
  <si>
    <t xml:space="preserve">CONTROLADOR LED SINGS </t>
  </si>
  <si>
    <t>DGSW075</t>
  </si>
  <si>
    <t>CHAPAS / CANDADOS CHICOS</t>
  </si>
  <si>
    <t>DGSW076</t>
  </si>
  <si>
    <t>CHAPAS / CANDADOS GRNADES</t>
  </si>
  <si>
    <t>DGSW077</t>
  </si>
  <si>
    <t>CHAPA ELECTROMAGNETICA PARA PUERTAS 600Ibs C / Led / 280 kg</t>
  </si>
  <si>
    <t>DGSW078</t>
  </si>
  <si>
    <t>ELECTROIMAN EM2805</t>
  </si>
  <si>
    <t>DGSW079</t>
  </si>
  <si>
    <t>ELIMINADOR 12V 1 A</t>
  </si>
  <si>
    <t>DGSW080</t>
  </si>
  <si>
    <t>ELIMINADOR 12V 2 A</t>
  </si>
  <si>
    <t>DGSW081</t>
  </si>
  <si>
    <t>ENCHUFE INTELIGENTE NEGRO</t>
  </si>
  <si>
    <t>DGSW082</t>
  </si>
  <si>
    <t>ENCHUFE INTELIGENTE WIFI</t>
  </si>
  <si>
    <t>DGSW083</t>
  </si>
  <si>
    <t>FOCO WI-FI</t>
  </si>
  <si>
    <t>DGSW084</t>
  </si>
  <si>
    <t>FUENTE DE PODER 3V =1A</t>
  </si>
  <si>
    <t>DGSW085</t>
  </si>
  <si>
    <t>FUENTE DE ALIMENTACION 5v</t>
  </si>
  <si>
    <t>DGSW086</t>
  </si>
  <si>
    <t>FUENTE DE PODER 24V = 1.6A</t>
  </si>
  <si>
    <t>DGSW087</t>
  </si>
  <si>
    <t>FUENTE DE ALIMENTACION 25v</t>
  </si>
  <si>
    <t>DGSW088</t>
  </si>
  <si>
    <t>FUENTE DE ALIMENTACION KK 1295</t>
  </si>
  <si>
    <t>DGSW089</t>
  </si>
  <si>
    <t>FUENTE DE PODER MINI 12V CONTROL DE ACCESO</t>
  </si>
  <si>
    <t>DGSW090</t>
  </si>
  <si>
    <t>DGSW091</t>
  </si>
  <si>
    <t>GRAPAS  SOPORTE</t>
  </si>
  <si>
    <t>DGSW092</t>
  </si>
  <si>
    <t>HUB ZIGBEE GATEWAY CON CABLE</t>
  </si>
  <si>
    <t>DGSW093</t>
  </si>
  <si>
    <t>HUB ZIGBEE GATEWAY MINI</t>
  </si>
  <si>
    <t>DGSW094</t>
  </si>
  <si>
    <t xml:space="preserve">HUB NEGRO </t>
  </si>
  <si>
    <t>DGSW095</t>
  </si>
  <si>
    <t>HUB ZIGBEE /WIFI</t>
  </si>
  <si>
    <t>DGSW096</t>
  </si>
  <si>
    <t>INTERRUPTOR DE LUZ INTELIGENTE WI-FI</t>
  </si>
  <si>
    <t>DGSW097</t>
  </si>
  <si>
    <t>INTERRUPOR INTELIGENTE MINI</t>
  </si>
  <si>
    <t>DGSW098</t>
  </si>
  <si>
    <t>INTERRUPTOR MODULADOR NS-105</t>
  </si>
  <si>
    <t>DGSW099</t>
  </si>
  <si>
    <t>INTERMEDIO PERSIANAS CLUTCH     (EXTENCIONES)</t>
  </si>
  <si>
    <t>DGSW100</t>
  </si>
  <si>
    <t xml:space="preserve">IR BULLET NETWORK CAMARA </t>
  </si>
  <si>
    <t>DGSW101</t>
  </si>
  <si>
    <t xml:space="preserve">JUEGO DE POLEAS RIEL DEL CABEZAL P/PUERTAS COMERCIALES </t>
  </si>
  <si>
    <t>DGSW102</t>
  </si>
  <si>
    <t>KIT CONTROL DE ACCESO WIRELES</t>
  </si>
  <si>
    <t>DGSW103</t>
  </si>
  <si>
    <t>KIT/DG SW A/3 DOBLE + SENSOR DE MOVIMIENTO</t>
  </si>
  <si>
    <t>DGSW104</t>
  </si>
  <si>
    <t>KIT/DG SW 100s/CONTROL DE ACCESO WIFI</t>
  </si>
  <si>
    <t>DGSW105</t>
  </si>
  <si>
    <t>LUCES DE COLORES CINTA LED</t>
  </si>
  <si>
    <t>DGSW106</t>
  </si>
  <si>
    <t xml:space="preserve">MODULO GENERADOR DE PULSO </t>
  </si>
  <si>
    <t>DGSW107</t>
  </si>
  <si>
    <t>MODULO ZIGBEE SWITCH</t>
  </si>
  <si>
    <t>DGSW108</t>
  </si>
  <si>
    <t>MODULO WIFI SWITCH 1 APAGADOR</t>
  </si>
  <si>
    <t>DGSW109</t>
  </si>
  <si>
    <t>MODULO WIFI SWITCH 2 APAGADOR</t>
  </si>
  <si>
    <t>DGSW110</t>
  </si>
  <si>
    <t>MODULO ZIGBEE SWICH 2 CANAL</t>
  </si>
  <si>
    <t>DGSW111</t>
  </si>
  <si>
    <t>MODULO WIFI 1 CANAL</t>
  </si>
  <si>
    <t>DGSW112</t>
  </si>
  <si>
    <t>MODULO ZIGBEE 1 CANAL</t>
  </si>
  <si>
    <t>DGSW113</t>
  </si>
  <si>
    <t xml:space="preserve">MOTOR Y BARRA DE CORTINA </t>
  </si>
  <si>
    <t>DGSW114</t>
  </si>
  <si>
    <t>MOTOR  TUBULAR ZIGBEE CHICO</t>
  </si>
  <si>
    <t>DGSW115</t>
  </si>
  <si>
    <t>MOTOR TUBULAR WIFI CHICO</t>
  </si>
  <si>
    <t>DGSW116</t>
  </si>
  <si>
    <t>MOTOR  TUBULAR ZIGBEE GRNADE</t>
  </si>
  <si>
    <t>DGSW117</t>
  </si>
  <si>
    <t>OPERADOR AUTOMATICO PARA PUERTA ABATIBLE S-100</t>
  </si>
  <si>
    <t>DGSW118</t>
  </si>
  <si>
    <t>OPERADOR PARA VENTANAS ABATABLE S-50</t>
  </si>
  <si>
    <t>DGSW119</t>
  </si>
  <si>
    <t>RELEVADOR 1 CANAL RADIO FRECUENCIA</t>
  </si>
  <si>
    <t>DGSW120</t>
  </si>
  <si>
    <t>RELEVADOR WIFI 2 CANALES</t>
  </si>
  <si>
    <t>DGSW121</t>
  </si>
  <si>
    <t>RELEVADOR 4 CANALES</t>
  </si>
  <si>
    <t>DGSW122</t>
  </si>
  <si>
    <t>RELEVADOR  ENCLAVAMIENTO WIFI 1 CANAL (Etiqueta Amarilla)</t>
  </si>
  <si>
    <t>DGSW123</t>
  </si>
  <si>
    <t>RELEVADOR DE CANALES RW-02</t>
  </si>
  <si>
    <t>DGSW124</t>
  </si>
  <si>
    <t>RELEVADOR 4 CANALES S-04</t>
  </si>
  <si>
    <t>DGSW125</t>
  </si>
  <si>
    <t>RELEVADOR WIFI 1 CANAL</t>
  </si>
  <si>
    <t>DGSW126</t>
  </si>
  <si>
    <t>REPETIDOR ZIGBEE  USB</t>
  </si>
  <si>
    <t>DGSW127</t>
  </si>
  <si>
    <t>REVESTIMIENTO ANTICORROCION EN AEROSOL</t>
  </si>
  <si>
    <t>DGSW128</t>
  </si>
  <si>
    <t>SENSOR DE GAS WIFI</t>
  </si>
  <si>
    <t>DGSW129</t>
  </si>
  <si>
    <t>SENSOR DE HUMO</t>
  </si>
  <si>
    <t>DGSW130</t>
  </si>
  <si>
    <t>SENSOR DE HUMO GENERAL (CAJA NARANJA)</t>
  </si>
  <si>
    <t>DGSW131</t>
  </si>
  <si>
    <t>SENSOR DE HUMO INDICADOR DE FLASH</t>
  </si>
  <si>
    <t>DGSW132</t>
  </si>
  <si>
    <t>SENSOR DE HUMO WIFI</t>
  </si>
  <si>
    <t>DGSW133</t>
  </si>
  <si>
    <t>SENSOR DE MOVIMIENTO</t>
  </si>
  <si>
    <t>DGSW134</t>
  </si>
  <si>
    <t>SENSOR DE MOVIMIENTO PIR ZIGBEE</t>
  </si>
  <si>
    <t>DGSW135</t>
  </si>
  <si>
    <t>SENSOR DE MOVIMIENTO AQARA</t>
  </si>
  <si>
    <t>DGSW136</t>
  </si>
  <si>
    <t>SENSOR DE MOVIMIENTO SONOFF</t>
  </si>
  <si>
    <t>DGSW137</t>
  </si>
  <si>
    <t>SENSOR DE PUERTA MINI</t>
  </si>
  <si>
    <t>DGSW138</t>
  </si>
  <si>
    <t>SENSOR D PUERTA / VENTANA BLANCO WI-FI</t>
  </si>
  <si>
    <t>DGSW139</t>
  </si>
  <si>
    <t>SENSOR DE PUERTA /VENTANA MINI</t>
  </si>
  <si>
    <t>DGSW140</t>
  </si>
  <si>
    <t xml:space="preserve">SENSOR  DE PUERTA /VENTANA SONOFF DW2 - WIFI </t>
  </si>
  <si>
    <t>DGSW141</t>
  </si>
  <si>
    <t>SENSOR DE PUERTA/VENTANA ZIGBEE</t>
  </si>
  <si>
    <t>DGSW142</t>
  </si>
  <si>
    <t>SENSOR PARA CORTINAS AUTO</t>
  </si>
  <si>
    <t>DGSW143</t>
  </si>
  <si>
    <t xml:space="preserve">SENSOR SWITCH DE NIVEL DE AGUA </t>
  </si>
  <si>
    <t>DGSW144</t>
  </si>
  <si>
    <t>SENSOR DE VIENTO Y LLUVIA</t>
  </si>
  <si>
    <t>DGSW145</t>
  </si>
  <si>
    <t>SENSOR SONOFF DW1</t>
  </si>
  <si>
    <t>DGSW146</t>
  </si>
  <si>
    <t>SENSOR WIFI PUERTA/VENTANA</t>
  </si>
  <si>
    <t>DGSW147</t>
  </si>
  <si>
    <t>DGSW148</t>
  </si>
  <si>
    <t>SISTEMA A/3</t>
  </si>
  <si>
    <t>DGSW149</t>
  </si>
  <si>
    <t>SISTEMA CORREDIZO 3 HOJAS</t>
  </si>
  <si>
    <t>DGSW150</t>
  </si>
  <si>
    <t>SISTEMA CORREDIZO "S"</t>
  </si>
  <si>
    <t>DGSW151</t>
  </si>
  <si>
    <t xml:space="preserve">Pieza </t>
  </si>
  <si>
    <t>DGSW152</t>
  </si>
  <si>
    <t xml:space="preserve">SISTEMA DGSW A/1  BLANCO </t>
  </si>
  <si>
    <t>DGSW153</t>
  </si>
  <si>
    <t>SISTEMA DGSW A/1 NEGRO</t>
  </si>
  <si>
    <t>DGSW154</t>
  </si>
  <si>
    <t>SISTEMA DE PROYECCION</t>
  </si>
  <si>
    <t>DGSW155</t>
  </si>
  <si>
    <t>CHAPA DE SEGURIDAD</t>
  </si>
  <si>
    <t>DGSW156</t>
  </si>
  <si>
    <t>N/A</t>
  </si>
  <si>
    <t>SISTEMA DE PROYECCION DOBLE CADENA</t>
  </si>
  <si>
    <t>DGSW157</t>
  </si>
  <si>
    <t>SISTEMA S1</t>
  </si>
  <si>
    <t>DGSW158</t>
  </si>
  <si>
    <t>SISTEMA S2</t>
  </si>
  <si>
    <t>DGSW159</t>
  </si>
  <si>
    <t>SMART GARAGE (Caja Azul)</t>
  </si>
  <si>
    <t>DGSW160</t>
  </si>
  <si>
    <t>SMART  IR  GRANDE CONTOL REMOTO</t>
  </si>
  <si>
    <t>DGSW161</t>
  </si>
  <si>
    <t>SMART  IR  MINI CONTROL REMOTO</t>
  </si>
  <si>
    <t>DGSW162</t>
  </si>
  <si>
    <t xml:space="preserve">SMART LOCK </t>
  </si>
  <si>
    <t>DGSW163</t>
  </si>
  <si>
    <t xml:space="preserve">SMART LOCK RECTANGULAR </t>
  </si>
  <si>
    <t>DGSW164</t>
  </si>
  <si>
    <t>SMART SWICH MINI WIFI</t>
  </si>
  <si>
    <t>DGSW165</t>
  </si>
  <si>
    <t>SOPORTE EN U</t>
  </si>
  <si>
    <t>DGSW166</t>
  </si>
  <si>
    <t>TARJETAS DE ACCESO</t>
  </si>
  <si>
    <t>DGSW167</t>
  </si>
  <si>
    <t xml:space="preserve">TARJETA DE MEMORIA ADATA </t>
  </si>
  <si>
    <t>DGSW168</t>
  </si>
  <si>
    <t>TARJETA RFID (Venta/Paquete 50Pz.)</t>
  </si>
  <si>
    <t>DGSW169</t>
  </si>
  <si>
    <t>TRASMISOR de HD VIDEO</t>
  </si>
  <si>
    <t>DGSW170</t>
  </si>
  <si>
    <t xml:space="preserve"> TIMBRE CON VIDEO WIFI</t>
  </si>
  <si>
    <t>DGSW171</t>
  </si>
  <si>
    <t xml:space="preserve">WIRELESS SWITCH </t>
  </si>
  <si>
    <t>DGSW172</t>
  </si>
  <si>
    <t>WIFI CONTROL VALVE</t>
  </si>
  <si>
    <t>DGSW173</t>
  </si>
  <si>
    <t>SISTEMA S2-A</t>
  </si>
  <si>
    <t>DGSW174</t>
  </si>
  <si>
    <t>CERRADURA INTELIGENTE  SLIM</t>
  </si>
  <si>
    <t>DGSW175</t>
  </si>
  <si>
    <t>CERRADURA INTELIGENTE APARTAMENTO</t>
  </si>
  <si>
    <t>DGSW176</t>
  </si>
  <si>
    <t>COMPLEMENTO DE CHAPA (PIEZAS SUELTAS)</t>
  </si>
  <si>
    <t>DGSW178</t>
  </si>
  <si>
    <t>POLEAS-CARRETILLAS PARA CRISTAL</t>
  </si>
  <si>
    <t>DGSW179</t>
  </si>
  <si>
    <t>Isaias Montes</t>
  </si>
  <si>
    <t>Cliente</t>
  </si>
  <si>
    <t>Observaciones</t>
  </si>
  <si>
    <t>Descripcion 2</t>
  </si>
  <si>
    <t>Precio Unitario 2</t>
  </si>
  <si>
    <t>Modelo 3</t>
  </si>
  <si>
    <t>Precio Unitario 3</t>
  </si>
  <si>
    <t>Modelo 4</t>
  </si>
  <si>
    <t>Precio Unitario 4</t>
  </si>
  <si>
    <t>Modelo 5</t>
  </si>
  <si>
    <t>Descripcion 5</t>
  </si>
  <si>
    <t>Modelo 6</t>
  </si>
  <si>
    <t>Descripcion 6</t>
  </si>
  <si>
    <t>Descripcion 7</t>
  </si>
  <si>
    <t>Precio Unitario 7</t>
  </si>
  <si>
    <t>Tota7</t>
  </si>
  <si>
    <t>Descripcion 4</t>
  </si>
  <si>
    <t>Cantidad 2</t>
  </si>
  <si>
    <t>Total 2</t>
  </si>
  <si>
    <t>Cantidad 3</t>
  </si>
  <si>
    <t>Total 3</t>
  </si>
  <si>
    <t>Cantidad 4</t>
  </si>
  <si>
    <t>Total 4</t>
  </si>
  <si>
    <t>Cantidad 5</t>
  </si>
  <si>
    <t>Total 5</t>
  </si>
  <si>
    <t>Cantidad 6</t>
  </si>
  <si>
    <t>Precio Unitario 6</t>
  </si>
  <si>
    <t>Total 6</t>
  </si>
  <si>
    <t>Cantidad 7</t>
  </si>
  <si>
    <t>Modelo 8</t>
  </si>
  <si>
    <t>Cantidad 8</t>
  </si>
  <si>
    <t>Precio Unitario 8</t>
  </si>
  <si>
    <t>Total 8</t>
  </si>
  <si>
    <t>Modelo 9</t>
  </si>
  <si>
    <t>Descripcion 9</t>
  </si>
  <si>
    <t>Cantidad 9</t>
  </si>
  <si>
    <t>Precio Unitario 9</t>
  </si>
  <si>
    <t>Total 9</t>
  </si>
  <si>
    <t>Modelo 10</t>
  </si>
  <si>
    <t>Descripcion 10</t>
  </si>
  <si>
    <t xml:space="preserve">Cantidad 10 </t>
  </si>
  <si>
    <t>Total 10</t>
  </si>
  <si>
    <t>Modelo 11</t>
  </si>
  <si>
    <t>Descripcion 11</t>
  </si>
  <si>
    <t>Cantidad 11</t>
  </si>
  <si>
    <t>Precio Unitario 11</t>
  </si>
  <si>
    <t>Total 11</t>
  </si>
  <si>
    <t>Descripcion 12</t>
  </si>
  <si>
    <t>Cantidad 12</t>
  </si>
  <si>
    <t>Precio Unitario 12</t>
  </si>
  <si>
    <t>Total 12</t>
  </si>
  <si>
    <t>Modelo 13</t>
  </si>
  <si>
    <t>Cantidad 13</t>
  </si>
  <si>
    <t>Precio Unitario 13</t>
  </si>
  <si>
    <t>Total 13</t>
  </si>
  <si>
    <t>Modelo 14</t>
  </si>
  <si>
    <t>Descripcion 14</t>
  </si>
  <si>
    <t>Cantidad 14</t>
  </si>
  <si>
    <t>Precio Unitario 14</t>
  </si>
  <si>
    <t>Total  14</t>
  </si>
  <si>
    <t>telefono</t>
  </si>
  <si>
    <t>Si</t>
  </si>
  <si>
    <t>DO0048</t>
  </si>
  <si>
    <t>Observaciones2</t>
  </si>
  <si>
    <t>OBSERVACIONES</t>
  </si>
  <si>
    <t>CORREO</t>
  </si>
  <si>
    <t>DGSW005</t>
  </si>
  <si>
    <t>DGSW007</t>
  </si>
  <si>
    <t>DGSW011</t>
  </si>
  <si>
    <t>DGSW012</t>
  </si>
  <si>
    <t>DGSW016</t>
  </si>
  <si>
    <t>DGSW003</t>
  </si>
  <si>
    <t>DGSW004</t>
  </si>
  <si>
    <t>DGSW006</t>
  </si>
  <si>
    <t>DGSW008</t>
  </si>
  <si>
    <t>DO0049</t>
  </si>
  <si>
    <t>Observacion1</t>
  </si>
  <si>
    <t>Observacion2</t>
  </si>
  <si>
    <t>-</t>
  </si>
  <si>
    <t>Nota: El producto Contiene Accesorios</t>
  </si>
  <si>
    <t>No</t>
  </si>
  <si>
    <t>DO0050</t>
  </si>
  <si>
    <t>cliente</t>
  </si>
  <si>
    <t>DO0051</t>
  </si>
  <si>
    <t>Nota De nota</t>
  </si>
  <si>
    <t>Compra</t>
  </si>
  <si>
    <t>observaciones 1</t>
  </si>
  <si>
    <t>Pago</t>
  </si>
  <si>
    <t>Obesrvaciones 2</t>
  </si>
  <si>
    <t>DFGHJHGFDSSDFGHJGFVDSDFGHJKJNHGBVFDCSDFGHJKLÑLKJHGFDSDFGHJKL</t>
  </si>
  <si>
    <t>GRAPAS PARA BANDA A/2</t>
  </si>
  <si>
    <t>Ing. Aquino</t>
  </si>
  <si>
    <t>Queretaro</t>
  </si>
  <si>
    <t>Fraccionamiento Campanario</t>
  </si>
  <si>
    <t>DO0071</t>
  </si>
  <si>
    <t>C:\Users\OFICINA\Documents\DESIN GLASS\trabajo desinglass\Imagenes Equipos\Alarma1.png</t>
  </si>
  <si>
    <t>C:\Users\OFICINA\Documents\DESIN GLASS\trabajo desinglass\Imagenes Equipos\AlexaMasapan2.png</t>
  </si>
  <si>
    <t>C:\Users\OFICINA\Documents\DESIN GLASS\trabajo desinglass\Imagenes Equipos\AlexaBolita1.png</t>
  </si>
  <si>
    <t>C:\Users\OFICINA\Documents\DESIN GLASS\trabajo desinglass\Imagenes Equipos\AlexaBolita2.png</t>
  </si>
  <si>
    <t>C:\Users\OFICINA\Documents\DESIN GLASS\trabajo desinglass\Imagenes Equipos\ApagadorTouch1.png</t>
  </si>
  <si>
    <t>Metro</t>
  </si>
  <si>
    <t>C:\Users\OFICINA\Documents\DESIN GLASS\trabajo desinglass\Imagenes Equipos\BotonDorado1.jpeg</t>
  </si>
  <si>
    <t>C:\Users\OFICINA\Documents\DESIN GLASS\trabajo desinglass\Imagenes Equipos\BotonTouch1.jpeg</t>
  </si>
  <si>
    <t>C:\Users\OFICINA\Documents\DESIN GLASS\trabajo desinglass\Imagenes Equipos\BotonPush1.jpeg</t>
  </si>
  <si>
    <t>C:\Users\OFICINA\Documents\DESIN GLASS\trabajo desinglass\Imagenes Equipos\BotonSalida3.jpeg</t>
  </si>
  <si>
    <t>C:\Users\OFICINA\Documents\DESIN GLASS\trabajo desinglass\Imagenes Equipos\Broadlink2.jpeg</t>
  </si>
  <si>
    <t>C:\Users\OFICINA\Documents\DESIN GLASS\trabajo desinglass\Imagenes Equipos\Cabezal1.jpeg</t>
  </si>
  <si>
    <t>C:\Users\OFICINA\Documents\DESIN GLASS\trabajo desinglass\Imagenes Equipos\CableSensorTem1.jpeg</t>
  </si>
  <si>
    <t>C:\Users\OFICINA\Documents\DESIN GLASS\trabajo desinglass\Imagenes Equipos\CamaraSocket1.png</t>
  </si>
  <si>
    <t>C:\Users\OFICINA\Documents\DESIN GLASS\trabajo desinglass\Imagenes Equipos\CerraduraBiometrica1.png</t>
  </si>
  <si>
    <t>C:\Users\OFICINA\Documents\DESIN GLASS\trabajo desinglass\Imagenes Equipos\Cerradura5en1-1.png</t>
  </si>
  <si>
    <t>C:\Users\OFICINA\Documents\DESIN GLASS\trabajo desinglass\Imagenes Equipos\CerraduraGK11-1.png</t>
  </si>
  <si>
    <t>C:\Users\OFICINA\Documents\DESIN GLASS\trabajo desinglass\Imagenes Equipos\ChapaElectromagnetica1.png</t>
  </si>
  <si>
    <t>C:\Users\OFICINA\Documents\DESIN GLASS\trabajo desinglass\Imagenes Equipos\CerraduraVidrio1.png</t>
  </si>
  <si>
    <t>C:\Users\OFICINA\Documents\DESIN GLASS\trabajo desinglass\Imagenes Equipos\CerraduraCaida1.png</t>
  </si>
  <si>
    <t>C:\Users\OFICINA\Documents\DESIN GLASS\trabajo desinglass\Imagenes Equipos\control de acceso 003 02.png</t>
  </si>
  <si>
    <t>C:\Users\OFICINA\Documents\DESIN GLASS\trabajo desinglass\Imagenes Equipos\control de acceso 002 01.png</t>
  </si>
  <si>
    <t>C:\Users\OFICINA\Documents\DESIN GLASS\trabajo desinglass\Imagenes Equipos\control de acceso X9 01.png</t>
  </si>
  <si>
    <t>C:\Users\OFICINA\Documents\DESIN GLASS\trabajo desinglass\Imagenes Equipos\control de acceso Exteriores 03.png</t>
  </si>
  <si>
    <t>C:\Users\OFICINA\Documents\DESIN GLASS\trabajo desinglass\Imagenes Equipos\controlRF.png</t>
  </si>
  <si>
    <t>C:\Users\OFICINA\Documents\DESIN GLASS\trabajo desinglass\Imagenes Equipos\ControladorLed1.jpg</t>
  </si>
  <si>
    <t>C:\Users\OFICINA\Documents\DESIN GLASS\trabajo desinglass\Imagenes Equipos\Enchufe Negro inteligente 04.png</t>
  </si>
  <si>
    <t>C:\Users\OFICINA\Documents\DESIN GLASS\trabajo desinglass\Imagenes Equipos\Foco Wifi 01.png</t>
  </si>
  <si>
    <t>C:\Users\OFICINA\Documents\DESIN GLASS\trabajo desinglass\Imagenes Equipos\Fuente de poder 3v-1a 01.png</t>
  </si>
  <si>
    <t>C:\Users\OFICINA\Documents\DESIN GLASS\trabajo desinglass\Imagenes Equipos\Fuente de poder 24v-1.6a 01.png</t>
  </si>
  <si>
    <t>C:\Users\OFICINA\Documents\DESIN GLASS\trabajo desinglass\Imagenes Equipos\Fuente de Poder mini 12V 3.png</t>
  </si>
  <si>
    <t>C:\Users\OFICINA\Documents\DESIN GLASS\trabajo desinglass\Imagenes Equipos\Grapa Soporte 01.png</t>
  </si>
  <si>
    <t>C:\Users\OFICINA\Documents\DESIN GLASS\trabajo desinglass\Imagenes Equipos\HubZigBee1.png</t>
  </si>
  <si>
    <t>C:\Users\OFICINA\Documents\DESIN GLASS\trabajo desinglass\Imagenes Equipos\Interruptor Wifi 01.png</t>
  </si>
  <si>
    <t>C:\Users\OFICINA\Documents\DESIN GLASS\trabajo desinglass\Imagenes Equipos\Kit Control de Acceso 01.png</t>
  </si>
  <si>
    <t>C:\Users\OFICINA\Documents\DESIN GLASS\trabajo desinglass\Imagenes Equipos\Modulo ZigBee 01.png</t>
  </si>
  <si>
    <t>C:\Users\OFICINA\Documents\DESIN GLASS\trabajo desinglass\Imagenes Equipos\Modulo Wifi 01.png</t>
  </si>
  <si>
    <t>C:\Users\OFICINA\Documents\DESIN GLASS\trabajo desinglass\Imagenes Equipos\Modulo Wifi 2 01.png</t>
  </si>
  <si>
    <t>C:\Users\OFICINA\Documents\DESIN GLASS\trabajo desinglass\Imagenes Equipos\Motor Tubular G ZigBee 02.png</t>
  </si>
  <si>
    <t>C:\Users\OFICINA\Documents\DESIN GLASS\trabajo desinglass\Imagenes Equipos\S100 01.png</t>
  </si>
  <si>
    <t>C:\Users\OFICINA\Documents\DESIN GLASS\trabajo desinglass\Imagenes Equipos\Relevador 1 C RC.png</t>
  </si>
  <si>
    <t>C:\Users\OFICINA\Documents\DESIN GLASS\trabajo desinglass\Imagenes Equipos\Relevador 2 C Wifi 01.png</t>
  </si>
  <si>
    <t>C:\Users\OFICINA\Documents\DESIN GLASS\trabajo desinglass\Imagenes Equipos\Relevador 4 C 01.png</t>
  </si>
  <si>
    <t>C:\Users\OFICINA\Documents\DESIN GLASS\trabajo desinglass\Imagenes Equipos\Relevador 4C S04  01.png</t>
  </si>
  <si>
    <t>C:\Users\OFICINA\Documents\DESIN GLASS\trabajo desinglass\Imagenes Equipos\Sensor de Humo General 01.png</t>
  </si>
  <si>
    <t>C:\Users\OFICINA\Documents\DESIN GLASS\trabajo desinglass\Imagenes Equipos\Sensor de Humo Sensor 01.png</t>
  </si>
  <si>
    <t>C:\Users\OFICINA\Documents\DESIN GLASS\trabajo desinglass\Imagenes Equipos\Sensor de Humo Wifi 01.png</t>
  </si>
  <si>
    <t>C:\Users\OFICINA\Documents\DESIN GLASS\trabajo desinglass\Imagenes Equipos\Sensor de Movimiento 02.png</t>
  </si>
  <si>
    <t>C:\Users\OFICINA\Documents\DESIN GLASS\trabajo desinglass\Imagenes Equipos\Sensor Pir 01.png</t>
  </si>
  <si>
    <t>C:\Users\OFICINA\Documents\DESIN GLASS\trabajo desinglass\Imagenes Equipos\SensorPuerVen2.png</t>
  </si>
  <si>
    <t>C:\Users\OFICINA\Documents\DESIN GLASS\trabajo desinglass\Imagenes Equipos\Sensor de Viento y lluvia 1.png</t>
  </si>
  <si>
    <t>C:\Users\OFICINA\Documents\DESIN GLASS\trabajo desinglass\Imagenes Equipos\SensorPuerVen3.jpg</t>
  </si>
  <si>
    <t>C:\Users\OFICINA\Documents\DESIN GLASS\trabajo desinglass\Imagenes Equipos\A2 01.png</t>
  </si>
  <si>
    <t>C:\Users\OFICINA\Documents\DESIN GLASS\trabajo desinglass\Imagenes Equipos\A3.jpg</t>
  </si>
  <si>
    <t>C:\Users\OFICINA\Documents\DESIN GLASS\trabajo desinglass\Imagenes Equipos\A1 04.png</t>
  </si>
  <si>
    <t>C:\Users\OFICINA\Documents\DESIN GLASS\trabajo desinglass\Imagenes Equipos\A1 02.png</t>
  </si>
  <si>
    <t>C:\Users\OFICINA\Documents\DESIN GLASS\trabajo desinglass\Imagenes Equipos\VP 01.png</t>
  </si>
  <si>
    <t>C:\Users\OFICINA\Documents\DESIN GLASS\trabajo desinglass\Imagenes Equipos\VP 02.png</t>
  </si>
  <si>
    <t>C:\Users\OFICINA\Documents\DESIN GLASS\trabajo desinglass\Imagenes Equipos\S1.jpg</t>
  </si>
  <si>
    <t>C:\Users\OFICINA\Documents\DESIN GLASS\trabajo desinglass\Imagenes Equipos\s2.jpg</t>
  </si>
  <si>
    <t>C:\Users\OFICINA\Documents\DESIN GLASS\trabajo desinglass\Imagenes Equipos\Smart garaje 03.jpeg</t>
  </si>
  <si>
    <t>C:\Users\OFICINA\Documents\DESIN GLASS\trabajo desinglass\Imagenes Equipos\Smart Ir Grande 01.png</t>
  </si>
  <si>
    <t>C:\Users\OFICINA\Documents\DESIN GLASS\trabajo desinglass\Imagenes Equipos\Smart Ir mini 01.png</t>
  </si>
  <si>
    <t>C:\Users\OFICINA\Documents\DESIN GLASS\trabajo desinglass\Imagenes Equipos\Soporte en U 1.png</t>
  </si>
  <si>
    <t>C:\Users\OFICINA\Documents\DESIN GLASS\trabajo desinglass\Imagenes Equipos\Timbre Wifi 01.png</t>
  </si>
  <si>
    <t>C:\Users\OFICINA\Documents\DESIN GLASS\trabajo desinglass\Imagenes Equipos\control valve 01.png</t>
  </si>
  <si>
    <t>DGSW177</t>
  </si>
  <si>
    <t>PERCIANAS BLACK OUT (METRO 2)</t>
  </si>
  <si>
    <t>SENSOR DE PRESENCIA</t>
  </si>
  <si>
    <t>DGSW180</t>
  </si>
  <si>
    <t xml:space="preserve">SELECTOR DE LLAVES </t>
  </si>
  <si>
    <t>DGSW181</t>
  </si>
  <si>
    <t>SOPORTE PALETA PARA PUERTAS DE CRISTAL</t>
  </si>
  <si>
    <t>DGSW182</t>
  </si>
  <si>
    <t xml:space="preserve">SISTEMA TELESCOPICO MANUAL </t>
  </si>
  <si>
    <t>DGSW183</t>
  </si>
  <si>
    <t>APAGADOR SWITCH DIMEABLE BLANCO</t>
  </si>
  <si>
    <t>BANDA DEL SISTEMA A/2  ( Metros )</t>
  </si>
  <si>
    <t>CABEZAL YSD 100F (PIEZAS)</t>
  </si>
  <si>
    <t>CABEZAL YSD 100F (RIELES)</t>
  </si>
  <si>
    <t xml:space="preserve">SISTEMA A/2 </t>
  </si>
  <si>
    <t>SISTEMA DGSW APP VENTANA SMART</t>
  </si>
  <si>
    <t>CARRETILLA PARA CANCEL</t>
  </si>
  <si>
    <t>DGSW184</t>
  </si>
  <si>
    <t>SWITCH CON LLAVE PLATEADO</t>
  </si>
  <si>
    <t>DGSW185</t>
  </si>
  <si>
    <t>PLATEADO</t>
  </si>
  <si>
    <t>SWITCH CON LLAVE DORADO</t>
  </si>
  <si>
    <t>DGSW186</t>
  </si>
  <si>
    <t>DORADO</t>
  </si>
  <si>
    <t>Pza.</t>
  </si>
  <si>
    <t>SISTEMA TELESCOPICO AUTOMATIZADO (Pieza)</t>
  </si>
  <si>
    <t>DGSW187</t>
  </si>
  <si>
    <t>Pza</t>
  </si>
  <si>
    <t xml:space="preserve">SENSOR DE FUNCION DUAL </t>
  </si>
  <si>
    <t>DGSW188</t>
  </si>
  <si>
    <t xml:space="preserve">SOPORTE PARA ELECTROIMAN EM2805 </t>
  </si>
  <si>
    <t>DGSW189</t>
  </si>
  <si>
    <t>SISTEMA TELESCOPICO AUTOMATIZADO (Rieles)</t>
  </si>
  <si>
    <t>DGSW190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</si>
</sst>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0;\-0;;@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0000"/>
      <name val="Century"/>
      <family val="1"/>
    </font>
    <font>
      <b/>
      <sz val="14"/>
      <color theme="1"/>
      <name val="Century"/>
      <family val="1"/>
    </font>
    <font>
      <sz val="14"/>
      <color theme="1"/>
      <name val="Century"/>
      <family val="1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entaur"/>
      <family val="1"/>
    </font>
    <font>
      <u/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37D9FF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 style="medium">
        <color indexed="64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/>
      <bottom/>
      <diagonal/>
    </border>
    <border>
      <left style="thin">
        <color theme="1"/>
      </left>
      <right style="medium">
        <color theme="1"/>
      </right>
      <top/>
      <bottom/>
      <diagonal/>
    </border>
    <border>
      <left style="medium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166" fontId="1" fillId="0" borderId="0" applyFont="0" applyFill="0" applyBorder="0" applyAlignment="0" applyProtection="0"/>
  </cellStyleXfs>
  <cellXfs count="135">
    <xf numFmtId="0" fontId="0" fillId="0" borderId="0" xfId="0"/>
    <xf numFmtId="0" fontId="0" fillId="0" borderId="1" xfId="0" applyBorder="1"/>
    <xf numFmtId="0" fontId="0" fillId="0" borderId="3" xfId="0" applyBorder="1"/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6" fontId="0" fillId="0" borderId="1" xfId="1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Alignment="1">
      <alignment wrapText="1"/>
    </xf>
    <xf numFmtId="167" fontId="0" fillId="0" borderId="1" xfId="0" applyNumberFormat="1" applyBorder="1"/>
    <xf numFmtId="167" fontId="0" fillId="0" borderId="5" xfId="0" applyNumberFormat="1" applyBorder="1"/>
    <xf numFmtId="167" fontId="0" fillId="0" borderId="7" xfId="0" applyNumberFormat="1" applyBorder="1" applyAlignment="1">
      <alignment wrapText="1"/>
    </xf>
    <xf numFmtId="167" fontId="0" fillId="0" borderId="12" xfId="0" applyNumberFormat="1" applyBorder="1" applyAlignment="1">
      <alignment wrapText="1"/>
    </xf>
    <xf numFmtId="0" fontId="0" fillId="0" borderId="1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1" xfId="0" applyBorder="1" applyAlignment="1">
      <alignment wrapText="1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66" fontId="0" fillId="0" borderId="0" xfId="1" applyFont="1"/>
    <xf numFmtId="0" fontId="0" fillId="0" borderId="25" xfId="0" applyBorder="1"/>
    <xf numFmtId="0" fontId="0" fillId="2" borderId="28" xfId="0" applyFill="1" applyBorder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30" xfId="0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0" xfId="0" applyBorder="1"/>
    <xf numFmtId="0" fontId="0" fillId="0" borderId="37" xfId="0" applyBorder="1"/>
    <xf numFmtId="166" fontId="0" fillId="2" borderId="28" xfId="1" applyFont="1" applyFill="1" applyBorder="1" applyAlignment="1">
      <alignment horizontal="center" vertical="center"/>
    </xf>
    <xf numFmtId="166" fontId="0" fillId="0" borderId="37" xfId="1" applyFont="1" applyBorder="1"/>
    <xf numFmtId="0" fontId="0" fillId="0" borderId="25" xfId="0" applyBorder="1" applyAlignment="1">
      <alignment horizontal="center" vertical="center"/>
    </xf>
    <xf numFmtId="166" fontId="0" fillId="2" borderId="26" xfId="1" applyFont="1" applyFill="1" applyBorder="1" applyAlignment="1">
      <alignment horizontal="center" vertical="center"/>
    </xf>
    <xf numFmtId="166" fontId="0" fillId="0" borderId="25" xfId="1" applyFont="1" applyBorder="1" applyAlignment="1">
      <alignment horizontal="right" vertical="center"/>
    </xf>
    <xf numFmtId="166" fontId="0" fillId="0" borderId="0" xfId="1" applyFont="1" applyAlignment="1">
      <alignment horizontal="right" vertical="center"/>
    </xf>
    <xf numFmtId="166" fontId="0" fillId="2" borderId="27" xfId="1" applyFont="1" applyFill="1" applyBorder="1" applyAlignment="1">
      <alignment horizontal="center" vertical="center"/>
    </xf>
    <xf numFmtId="166" fontId="0" fillId="0" borderId="34" xfId="1" applyFont="1" applyBorder="1"/>
    <xf numFmtId="166" fontId="0" fillId="0" borderId="25" xfId="1" applyFont="1" applyBorder="1"/>
    <xf numFmtId="0" fontId="0" fillId="0" borderId="30" xfId="0" applyBorder="1" applyAlignment="1">
      <alignment horizontal="center" vertical="center"/>
    </xf>
    <xf numFmtId="166" fontId="0" fillId="2" borderId="30" xfId="1" applyFont="1" applyFill="1" applyBorder="1" applyAlignment="1">
      <alignment horizontal="center" vertical="center"/>
    </xf>
    <xf numFmtId="166" fontId="0" fillId="0" borderId="30" xfId="1" applyFont="1" applyBorder="1"/>
    <xf numFmtId="166" fontId="0" fillId="2" borderId="31" xfId="1" applyFont="1" applyFill="1" applyBorder="1" applyAlignment="1">
      <alignment horizontal="center" vertical="center"/>
    </xf>
    <xf numFmtId="166" fontId="0" fillId="0" borderId="36" xfId="1" applyFont="1" applyBorder="1"/>
    <xf numFmtId="14" fontId="0" fillId="2" borderId="26" xfId="0" applyNumberFormat="1" applyFill="1" applyBorder="1" applyAlignment="1">
      <alignment horizontal="center" vertical="center"/>
    </xf>
    <xf numFmtId="14" fontId="0" fillId="0" borderId="25" xfId="0" applyNumberFormat="1" applyBorder="1"/>
    <xf numFmtId="14" fontId="0" fillId="0" borderId="0" xfId="0" applyNumberFormat="1"/>
    <xf numFmtId="14" fontId="8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167" fontId="6" fillId="0" borderId="1" xfId="0" applyNumberFormat="1" applyFont="1" applyBorder="1" applyAlignment="1">
      <alignment horizontal="center" vertical="center" wrapText="1"/>
    </xf>
    <xf numFmtId="166" fontId="6" fillId="0" borderId="1" xfId="1" applyFont="1" applyBorder="1" applyAlignment="1">
      <alignment horizontal="center" vertical="center" wrapText="1"/>
    </xf>
    <xf numFmtId="167" fontId="5" fillId="0" borderId="1" xfId="0" applyNumberFormat="1" applyFont="1" applyBorder="1" applyAlignment="1">
      <alignment horizontal="center" vertical="center" wrapText="1"/>
    </xf>
    <xf numFmtId="164" fontId="0" fillId="0" borderId="25" xfId="1" applyNumberFormat="1" applyFont="1" applyBorder="1" applyAlignment="1">
      <alignment horizontal="right" vertical="center"/>
    </xf>
    <xf numFmtId="0" fontId="7" fillId="3" borderId="1" xfId="0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0" fillId="2" borderId="14" xfId="1" applyFont="1" applyFill="1" applyBorder="1" applyAlignment="1">
      <alignment horizontal="center" vertical="center"/>
    </xf>
    <xf numFmtId="166" fontId="0" fillId="0" borderId="1" xfId="1" applyFont="1" applyBorder="1"/>
    <xf numFmtId="165" fontId="0" fillId="0" borderId="1" xfId="1" applyNumberFormat="1" applyFont="1" applyBorder="1"/>
    <xf numFmtId="44" fontId="0" fillId="0" borderId="3" xfId="0" applyNumberFormat="1" applyBorder="1"/>
    <xf numFmtId="44" fontId="0" fillId="0" borderId="1" xfId="0" applyNumberFormat="1" applyBorder="1"/>
    <xf numFmtId="44" fontId="0" fillId="0" borderId="5" xfId="0" applyNumberFormat="1" applyBorder="1"/>
    <xf numFmtId="0" fontId="15" fillId="0" borderId="5" xfId="0" applyFont="1" applyBorder="1"/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7" fillId="3" borderId="6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67" fontId="13" fillId="0" borderId="6" xfId="0" applyNumberFormat="1" applyFont="1" applyBorder="1" applyAlignment="1">
      <alignment horizontal="center" vertical="center" wrapText="1"/>
    </xf>
    <xf numFmtId="167" fontId="13" fillId="0" borderId="11" xfId="0" applyNumberFormat="1" applyFont="1" applyBorder="1" applyAlignment="1">
      <alignment horizontal="center" vertical="center" wrapText="1"/>
    </xf>
    <xf numFmtId="167" fontId="13" fillId="0" borderId="7" xfId="0" applyNumberFormat="1" applyFont="1" applyBorder="1" applyAlignment="1">
      <alignment horizontal="center" vertical="center" wrapText="1"/>
    </xf>
    <xf numFmtId="0" fontId="7" fillId="3" borderId="6" xfId="0" applyFont="1" applyFill="1" applyBorder="1" applyAlignment="1">
      <alignment horizontal="center" vertical="center" wrapText="1"/>
    </xf>
    <xf numFmtId="0" fontId="7" fillId="3" borderId="11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167" fontId="8" fillId="0" borderId="6" xfId="0" applyNumberFormat="1" applyFont="1" applyBorder="1" applyAlignment="1">
      <alignment horizontal="center" vertical="center" wrapText="1"/>
    </xf>
    <xf numFmtId="167" fontId="8" fillId="0" borderId="11" xfId="0" applyNumberFormat="1" applyFont="1" applyBorder="1" applyAlignment="1">
      <alignment horizontal="center" vertical="center" wrapText="1"/>
    </xf>
    <xf numFmtId="167" fontId="8" fillId="0" borderId="7" xfId="0" applyNumberFormat="1" applyFont="1" applyBorder="1" applyAlignment="1">
      <alignment horizontal="center" vertical="center" wrapText="1"/>
    </xf>
    <xf numFmtId="167" fontId="8" fillId="0" borderId="6" xfId="0" applyNumberFormat="1" applyFont="1" applyBorder="1" applyAlignment="1">
      <alignment horizontal="center" vertical="center"/>
    </xf>
    <xf numFmtId="167" fontId="8" fillId="0" borderId="7" xfId="0" applyNumberFormat="1" applyFont="1" applyBorder="1" applyAlignment="1">
      <alignment horizontal="center" vertical="center"/>
    </xf>
    <xf numFmtId="166" fontId="0" fillId="0" borderId="5" xfId="1" applyFont="1" applyBorder="1" applyAlignment="1">
      <alignment horizontal="center" vertical="center"/>
    </xf>
    <xf numFmtId="166" fontId="0" fillId="0" borderId="3" xfId="1" applyFont="1" applyBorder="1" applyAlignment="1">
      <alignment horizontal="center" vertical="center"/>
    </xf>
    <xf numFmtId="0" fontId="0" fillId="0" borderId="17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167" fontId="5" fillId="0" borderId="20" xfId="0" applyNumberFormat="1" applyFont="1" applyBorder="1" applyAlignment="1">
      <alignment horizontal="left" vertical="top"/>
    </xf>
    <xf numFmtId="167" fontId="5" fillId="0" borderId="21" xfId="0" applyNumberFormat="1" applyFont="1" applyBorder="1" applyAlignment="1">
      <alignment horizontal="left" vertical="top"/>
    </xf>
    <xf numFmtId="167" fontId="5" fillId="0" borderId="22" xfId="0" applyNumberFormat="1" applyFont="1" applyBorder="1" applyAlignment="1">
      <alignment horizontal="left" vertical="top"/>
    </xf>
    <xf numFmtId="167" fontId="5" fillId="0" borderId="8" xfId="0" applyNumberFormat="1" applyFont="1" applyBorder="1" applyAlignment="1">
      <alignment horizontal="left" vertical="top"/>
    </xf>
    <xf numFmtId="167" fontId="5" fillId="0" borderId="0" xfId="0" applyNumberFormat="1" applyFont="1" applyAlignment="1">
      <alignment horizontal="left" vertical="top"/>
    </xf>
    <xf numFmtId="167" fontId="5" fillId="0" borderId="13" xfId="0" applyNumberFormat="1" applyFont="1" applyBorder="1" applyAlignment="1">
      <alignment horizontal="left" vertical="top"/>
    </xf>
    <xf numFmtId="167" fontId="5" fillId="0" borderId="14" xfId="0" applyNumberFormat="1" applyFont="1" applyBorder="1" applyAlignment="1">
      <alignment horizontal="left" vertical="top"/>
    </xf>
    <xf numFmtId="167" fontId="5" fillId="0" borderId="15" xfId="0" applyNumberFormat="1" applyFont="1" applyBorder="1" applyAlignment="1">
      <alignment horizontal="left" vertical="top"/>
    </xf>
    <xf numFmtId="167" fontId="5" fillId="0" borderId="16" xfId="0" applyNumberFormat="1" applyFont="1" applyBorder="1" applyAlignment="1">
      <alignment horizontal="left" vertical="top"/>
    </xf>
    <xf numFmtId="0" fontId="8" fillId="0" borderId="9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28">
    <dxf>
      <numFmt numFmtId="167" formatCode="0;\-0;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0;\-0;;@"/>
      <alignment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_(&quot;$&quot;* #,##0.00_);_(&quot;$&quot;* \(#,##0.00\);_(&quot;$&quot;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&quot;$&quot;* #,##0.00_);_(&quot;$&quot;* \(#,##0.00\);_(&quot;$&quot;* &quot;-&quot;??_);_(@_)"/>
      <border diagonalUp="0" diagonalDown="0">
        <left style="medium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numFmt numFmtId="166" formatCode="_(&quot;$&quot;* #,##0.00_);_(&quot;$&quot;* \(#,##0.00\);_(&quot;$&quot;* &quot;-&quot;??_);_(@_)"/>
      <border diagonalUp="0" diagonalDown="0">
        <left style="medium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numFmt numFmtId="166" formatCode="_(&quot;$&quot;* #,##0.00_);_(&quot;$&quot;* \(#,##0.00\);_(&quot;$&quot;* &quot;-&quot;??_);_(@_)"/>
      <border diagonalUp="0" diagonalDown="0">
        <left style="medium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numFmt numFmtId="166" formatCode="_(&quot;$&quot;* #,##0.00_);_(&quot;$&quot;* \(#,##0.00\);_(&quot;$&quot;* &quot;-&quot;??_);_(@_)"/>
      <border diagonalUp="0" diagonalDown="0">
        <left style="medium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border diagonalUp="0" diagonalDown="0">
        <left style="medium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border diagonalUp="0" diagonalDown="0">
        <left style="thin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medium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medium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medium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medium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medium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medium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medium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medium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medium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medium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medium">
          <color theme="1"/>
        </right>
        <top/>
        <bottom/>
        <vertical style="thin">
          <color theme="1"/>
        </vertical>
        <horizontal/>
      </border>
    </dxf>
    <dxf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/>
      </border>
    </dxf>
    <dxf>
      <border diagonalUp="0" diagonalDown="0">
        <left style="medium">
          <color theme="1"/>
        </left>
        <right style="thin">
          <color theme="1"/>
        </right>
        <top/>
        <bottom/>
        <vertical style="thin">
          <color theme="1"/>
        </vertical>
        <horizontal/>
      </border>
    </dxf>
    <dxf>
      <border diagonalUp="0" diagonalDown="0">
        <left style="thin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medium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medium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medium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numFmt numFmtId="168" formatCode="m/d/yyyy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 diagonalUp="0" diagonalDown="0">
        <left style="medium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>
        <top style="thin">
          <color theme="1"/>
        </top>
      </border>
    </dxf>
    <dxf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</border>
    </dxf>
    <dxf>
      <border>
        <bottom style="thin">
          <color theme="1"/>
        </bottom>
      </border>
    </dxf>
    <dxf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</dxf>
  </dxfs>
  <tableStyles count="0" defaultTableStyle="TableStyleMedium2" defaultPivotStyle="PivotStyleLight16"/>
  <colors>
    <mruColors>
      <color rgb="FF37D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1</xdr:row>
      <xdr:rowOff>142875</xdr:rowOff>
    </xdr:from>
    <xdr:to>
      <xdr:col>2</xdr:col>
      <xdr:colOff>19050</xdr:colOff>
      <xdr:row>5</xdr:row>
      <xdr:rowOff>150417</xdr:rowOff>
    </xdr:to>
    <xdr:pic macro="[0]!MostrarCotizacion">
      <xdr:nvPicPr>
        <xdr:cNvPr id="3" name="Imagen 2">
          <a:extLst>
            <a:ext uri="{FF2B5EF4-FFF2-40B4-BE49-F238E27FC236}">
              <a16:creationId xmlns:a16="http://schemas.microsoft.com/office/drawing/2014/main" id="{0A4897C6-BF43-45C8-C5D1-4ECD675C48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333375"/>
          <a:ext cx="1495425" cy="836217"/>
        </a:xfrm>
        <a:prstGeom prst="rect">
          <a:avLst/>
        </a:prstGeom>
      </xdr:spPr>
    </xdr:pic>
    <xdr:clientData/>
  </xdr:twoCellAnchor>
  <xdr:twoCellAnchor editAs="oneCell">
    <xdr:from>
      <xdr:col>6</xdr:col>
      <xdr:colOff>752474</xdr:colOff>
      <xdr:row>37</xdr:row>
      <xdr:rowOff>144869</xdr:rowOff>
    </xdr:from>
    <xdr:to>
      <xdr:col>7</xdr:col>
      <xdr:colOff>872112</xdr:colOff>
      <xdr:row>39</xdr:row>
      <xdr:rowOff>65533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E926DB66-F2E3-5906-A8C2-C5989C29E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49" y="8774519"/>
          <a:ext cx="1119763" cy="30166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ograma%20DGS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os"/>
      <sheetName val="Movimientos"/>
      <sheetName val="DESINGLASS "/>
      <sheetName val="HOJA MAESTRA"/>
      <sheetName val="Tabla de Precios"/>
      <sheetName val="Conversor de precios "/>
      <sheetName val="Hoja para inventario"/>
      <sheetName val="Lista de Precios"/>
      <sheetName val="Programa DGSW"/>
      <sheetName val="Tabla CT Prec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DBB762-0002-495A-8103-F10B29DA33C4}" name="BD" displayName="BD" ref="A1:CH6" totalsRowShown="0" headerRowDxfId="127" headerRowBorderDxfId="126" tableBorderDxfId="125" totalsRowBorderDxfId="124">
  <autoFilter ref="A1:CH6" xr:uid="{58DBB762-0002-495A-8103-F10B29DA33C4}"/>
  <tableColumns count="86">
    <tableColumn id="1" xr3:uid="{5CCD3094-FA7B-441B-ADDD-B6C7A83DB8D9}" name="No." dataDxfId="123"/>
    <tableColumn id="2" xr3:uid="{2F0CCD75-4BAA-44A4-B703-C03AF74F39D5}" name="¿C?" dataDxfId="122"/>
    <tableColumn id="3" xr3:uid="{378FD560-A6C8-47CF-9576-07FCD487B2B8}" name="Folio" dataDxfId="121"/>
    <tableColumn id="4" xr3:uid="{25688A2F-F9E3-40D7-BC96-40409ECD16F1}" name="Fecha " dataDxfId="120"/>
    <tableColumn id="5" xr3:uid="{305C1163-292E-4AFE-86A2-0591B92535CD}" name="Cliente " dataDxfId="119"/>
    <tableColumn id="6" xr3:uid="{5C1E6ED0-6C76-4AD1-9AA2-81E2C175942B}" name="Contacto" dataDxfId="118"/>
    <tableColumn id="7" xr3:uid="{464619D1-C318-4CBD-8BD0-79DC32A3838E}" name="Ciudad" dataDxfId="117"/>
    <tableColumn id="8" xr3:uid="{928790CE-1011-4D18-9DC0-EEA986A15DCD}" name="Telefono" dataDxfId="116"/>
    <tableColumn id="9" xr3:uid="{555D0494-77A5-45D3-8520-A22356AA6120}" name="Direccion" dataDxfId="115"/>
    <tableColumn id="10" xr3:uid="{2807AFF0-2925-415B-BCB3-6A3C3D9D64F0}" name="Obserbacion" dataDxfId="114"/>
    <tableColumn id="11" xr3:uid="{6ED82E86-BEC4-489C-AB35-744BF3ABE534}" name="Forma de pago " dataDxfId="113"/>
    <tableColumn id="12" xr3:uid="{38F93781-9E2B-49E5-BA0B-A3219D4109BA}" name="Modelo " dataDxfId="112"/>
    <tableColumn id="13" xr3:uid="{23CED460-FFD1-4BFB-8D3B-2D118CA9FB60}" name="Descripcion " dataDxfId="111"/>
    <tableColumn id="14" xr3:uid="{44DA8FFA-8B95-4352-96DA-F9142A837831}" name="Cantidad" dataDxfId="110"/>
    <tableColumn id="15" xr3:uid="{6B56AB45-A21A-4014-B026-51791D64F0BA}" name="Precio Unitario " dataDxfId="109" dataCellStyle="Moneda"/>
    <tableColumn id="16" xr3:uid="{F3F9666F-88A8-4E08-A42B-0B3713F590F3}" name="Total" dataDxfId="108" dataCellStyle="Moneda">
      <calculatedColumnFormula>BD[[#This Row],[Precio Unitario ]]*BD[[#This Row],[Cantidad]]</calculatedColumnFormula>
    </tableColumn>
    <tableColumn id="17" xr3:uid="{67CE540F-2331-4BCC-8808-EFF29A88FD70}" name="Modelo 2" dataDxfId="107"/>
    <tableColumn id="18" xr3:uid="{A3C64051-459C-4DFC-94BB-79AEA8B79644}" name="Descripcion 2" dataDxfId="106"/>
    <tableColumn id="19" xr3:uid="{CFC617A7-FE83-474B-A192-E9091C8326B2}" name="Cantidad 2" dataDxfId="105"/>
    <tableColumn id="20" xr3:uid="{30C4018D-A1C4-4C43-A6BF-220DEBC829C4}" name="Precio Unitario 2" dataDxfId="104" dataCellStyle="Moneda"/>
    <tableColumn id="21" xr3:uid="{1268769F-3371-460B-B8DB-110931DAA9C5}" name="Total 2" dataDxfId="103" dataCellStyle="Moneda">
      <calculatedColumnFormula>BD[[#This Row],[Precio Unitario 2]]*BD[[#This Row],[Cantidad 2]]</calculatedColumnFormula>
    </tableColumn>
    <tableColumn id="22" xr3:uid="{77BFAC26-4AAA-492B-A482-64D20735A557}" name="Modelo 3" dataDxfId="102"/>
    <tableColumn id="23" xr3:uid="{A2A603F8-CE59-416A-838B-4ADA993F3780}" name="Descripcion 3" dataDxfId="101"/>
    <tableColumn id="24" xr3:uid="{BF8BB429-7DFD-4C88-A587-8B2B73BA78AE}" name="Cantidad 3" dataDxfId="100"/>
    <tableColumn id="25" xr3:uid="{3B1DD8E9-E077-404B-BF88-9AC73F8EF015}" name="Precio Unitario 3" dataDxfId="99" dataCellStyle="Moneda"/>
    <tableColumn id="26" xr3:uid="{C9F7BB1F-C978-4088-B27D-ECF21AC65D61}" name="Total 3" dataDxfId="98" dataCellStyle="Moneda">
      <calculatedColumnFormula>BD[[#This Row],[Precio Unitario 3]]*BD[[#This Row],[Cantidad 3]]</calculatedColumnFormula>
    </tableColumn>
    <tableColumn id="27" xr3:uid="{029A8BED-103A-43DB-806D-D4B1527B4623}" name="Modelo 4" dataDxfId="97"/>
    <tableColumn id="28" xr3:uid="{A8E578B1-11D4-43AC-AA58-631ABB215E6A}" name="Descripcion 4" dataDxfId="96"/>
    <tableColumn id="29" xr3:uid="{AD54CA9D-17DD-41B7-B415-077C0E3E4561}" name="Cantidad 4" dataDxfId="95"/>
    <tableColumn id="30" xr3:uid="{8452CC52-47E0-4E69-AE8E-5A87F5D40DC0}" name="Precio Unitario 4" dataDxfId="94" dataCellStyle="Moneda"/>
    <tableColumn id="31" xr3:uid="{3EBC24EA-CE1C-4CB0-AC52-9D0BB18BB0AD}" name="Total 4" dataDxfId="93" dataCellStyle="Moneda">
      <calculatedColumnFormula>BD[[#This Row],[Precio Unitario 4]]*BD[[#This Row],[Cantidad 4]]</calculatedColumnFormula>
    </tableColumn>
    <tableColumn id="32" xr3:uid="{241B1096-C4AE-4923-8B55-8527E282C1A8}" name="Modelo 5" dataDxfId="92"/>
    <tableColumn id="33" xr3:uid="{E08F8C72-AF5F-469E-865E-4CCE7486B769}" name="Descripcion 5" dataDxfId="91"/>
    <tableColumn id="34" xr3:uid="{FAF6BA4F-539B-4CD0-BB5C-A59D70DF6BEC}" name="Cantidad 5" dataDxfId="90"/>
    <tableColumn id="35" xr3:uid="{2EC527BA-C0FA-4DAF-8FF0-1AF74B51B3C2}" name="Precio Unitario 5" dataDxfId="89" dataCellStyle="Moneda"/>
    <tableColumn id="36" xr3:uid="{00DFC15F-0C9A-47BE-B44E-B246F1C90DB2}" name="Total 5" dataDxfId="88" dataCellStyle="Moneda">
      <calculatedColumnFormula>BD[[#This Row],[Precio Unitario 5]]*BD[[#This Row],[Cantidad 5]]</calculatedColumnFormula>
    </tableColumn>
    <tableColumn id="37" xr3:uid="{E07C424B-25C9-4C03-B708-8FF36CD0640D}" name="Modelo 6" dataDxfId="87"/>
    <tableColumn id="38" xr3:uid="{C5289205-111F-47C8-A54C-0727ECFF52CA}" name="Descripcion 6" dataDxfId="86"/>
    <tableColumn id="39" xr3:uid="{44A1CFD4-5C0D-496C-9857-862688F4504A}" name="Cantidad 6" dataDxfId="85"/>
    <tableColumn id="40" xr3:uid="{D6EE5240-5764-45EB-B22E-54163C5E58A5}" name="Precio Unitario 6" dataDxfId="84" dataCellStyle="Moneda"/>
    <tableColumn id="41" xr3:uid="{832215CD-C72D-4723-9A4C-CFE3BD001325}" name="Total 6" dataDxfId="83" dataCellStyle="Moneda">
      <calculatedColumnFormula>BD[[#This Row],[Precio Unitario 6]]*BD[[#This Row],[Cantidad 6]]</calculatedColumnFormula>
    </tableColumn>
    <tableColumn id="42" xr3:uid="{8032DF32-9C1F-4EFD-98C9-4C299587263F}" name="Modelo 7" dataDxfId="82"/>
    <tableColumn id="43" xr3:uid="{8BB3AF76-8798-4FCA-810F-638240A083F8}" name="Descripcion 7" dataDxfId="81"/>
    <tableColumn id="44" xr3:uid="{256CD0C5-5426-4FC8-88D1-84EBBBC32D5D}" name="Cantidad 7" dataDxfId="80"/>
    <tableColumn id="45" xr3:uid="{DE06F6E3-B0EB-4586-B230-C32A6C4350B9}" name="Precio Unitario 7" dataDxfId="79" dataCellStyle="Moneda"/>
    <tableColumn id="46" xr3:uid="{A28FEE43-2E35-4F1F-B1FE-1830B50A739C}" name="Tota7" dataDxfId="78" dataCellStyle="Moneda">
      <calculatedColumnFormula>BD[[#This Row],[Precio Unitario 7]]*BD[[#This Row],[Cantidad 7]]</calculatedColumnFormula>
    </tableColumn>
    <tableColumn id="47" xr3:uid="{C5D89198-4283-47B8-BBBC-E9E1DFB861C8}" name="Modelo 8" dataDxfId="77"/>
    <tableColumn id="48" xr3:uid="{C089D561-13D6-4183-95D8-540F942AB72B}" name="Descripcion 8" dataDxfId="76"/>
    <tableColumn id="49" xr3:uid="{85697DA3-84EC-4534-8A9A-AF56C79D2BB7}" name="Cantidad 8" dataDxfId="75"/>
    <tableColumn id="50" xr3:uid="{8116071E-3DFC-4D8F-A330-3F42BE11A505}" name="Precio Unitario 8" dataDxfId="74" dataCellStyle="Moneda"/>
    <tableColumn id="51" xr3:uid="{C5B2556D-E5CE-4DF5-ACC4-CD8C2998A88D}" name="Total 8" dataDxfId="73" dataCellStyle="Moneda">
      <calculatedColumnFormula>BD[[#This Row],[Precio Unitario 8]]*BD[[#This Row],[Cantidad 8]]</calculatedColumnFormula>
    </tableColumn>
    <tableColumn id="52" xr3:uid="{DF115C70-5B8B-44DA-8FBF-4C8328F1424E}" name="Modelo 9" dataDxfId="72"/>
    <tableColumn id="53" xr3:uid="{8CD03F67-26A6-43A5-8421-CDD9579D37BF}" name="Descripcion 9" dataDxfId="71"/>
    <tableColumn id="54" xr3:uid="{92A64866-C2BB-4BCA-BEE2-A488953325DB}" name="Cantidad 9" dataDxfId="70"/>
    <tableColumn id="55" xr3:uid="{0C2A8A16-C67E-4BC5-8F5B-DA80A4BD2CFF}" name="Precio Unitario 9" dataDxfId="69" dataCellStyle="Moneda"/>
    <tableColumn id="56" xr3:uid="{D15118F6-6E7F-4EDC-BE58-C73094751EA0}" name="Total 9" dataDxfId="68" dataCellStyle="Moneda">
      <calculatedColumnFormula>BD[[#This Row],[Precio Unitario 9]]*BD[[#This Row],[Cantidad 9]]</calculatedColumnFormula>
    </tableColumn>
    <tableColumn id="57" xr3:uid="{718F8299-C04C-4A19-812F-348F11C9B4A3}" name="Modelo 10" dataDxfId="67"/>
    <tableColumn id="58" xr3:uid="{32390611-9A6B-463E-B3B3-7539B2B87380}" name="Descripcion 10" dataDxfId="66"/>
    <tableColumn id="59" xr3:uid="{BE908B08-ED37-49BD-B29B-F6706F49FCAF}" name="Cantidad 10 " dataDxfId="65"/>
    <tableColumn id="60" xr3:uid="{D93260CA-DEC1-47B6-811B-B6509CC1B9A6}" name="Precio Unitario 10" dataDxfId="64" dataCellStyle="Moneda"/>
    <tableColumn id="61" xr3:uid="{73E51CAF-A280-4CA6-BD2B-79AC25469B95}" name="Total 10" dataDxfId="63" dataCellStyle="Moneda">
      <calculatedColumnFormula>BD[[#This Row],[Precio Unitario 10]]*BD[[#This Row],[Cantidad 10 ]]</calculatedColumnFormula>
    </tableColumn>
    <tableColumn id="62" xr3:uid="{533E90C6-008E-46A3-8F99-98E9254F60EB}" name="Modelo 11" dataDxfId="62"/>
    <tableColumn id="63" xr3:uid="{7C6184B7-A7F3-4512-8779-1CE18BD44BA1}" name="Descripcion 11" dataDxfId="61"/>
    <tableColumn id="64" xr3:uid="{3D20617E-8EE3-464E-B12D-B9D42F043048}" name="Cantidad 11" dataDxfId="60"/>
    <tableColumn id="65" xr3:uid="{8CC360A3-5074-460C-BB3A-924FECE954F4}" name="Precio Unitario 11" dataDxfId="59" dataCellStyle="Moneda"/>
    <tableColumn id="66" xr3:uid="{729BAC0D-C71F-4254-B0AE-EA41C5FC0D37}" name="Total 11" dataDxfId="58" dataCellStyle="Moneda">
      <calculatedColumnFormula>BD[[#This Row],[Precio Unitario 11]]*BD[[#This Row],[Cantidad 11]]</calculatedColumnFormula>
    </tableColumn>
    <tableColumn id="67" xr3:uid="{AB317F81-9FA6-4021-BE9A-D8C663B3B65C}" name="Modelo 12" dataDxfId="57"/>
    <tableColumn id="68" xr3:uid="{DF140FAF-5AC8-48B6-B60F-2F1FB6331ECB}" name="Descripcion 12" dataDxfId="56"/>
    <tableColumn id="69" xr3:uid="{9650AF30-C85C-4686-AB5F-AD59E81E586F}" name="Cantidad 12" dataDxfId="55"/>
    <tableColumn id="70" xr3:uid="{01BF97B1-ECF6-4075-AAB3-1FAA6C081BE6}" name="Precio Unitario 12" dataDxfId="54" dataCellStyle="Moneda"/>
    <tableColumn id="71" xr3:uid="{D476765B-D55A-4428-A80B-F93BEF4C747E}" name="Total 12" dataDxfId="53" dataCellStyle="Moneda">
      <calculatedColumnFormula>BD[[#This Row],[Precio Unitario 12]]*BD[[#This Row],[Cantidad 12]]</calculatedColumnFormula>
    </tableColumn>
    <tableColumn id="72" xr3:uid="{8438A973-6012-4E6C-9B49-4FC3365C5542}" name="Modelo 13" dataDxfId="52"/>
    <tableColumn id="73" xr3:uid="{8DCC8B3C-9C5D-4E90-B22B-712753B34FD6}" name="Descripcion 13" dataDxfId="51"/>
    <tableColumn id="74" xr3:uid="{98792493-4341-4E03-B230-BCEAF188E515}" name="Cantidad 13" dataDxfId="50"/>
    <tableColumn id="75" xr3:uid="{A31E65F3-6261-4545-9123-885A049153EB}" name="Precio Unitario 13" dataDxfId="49" dataCellStyle="Moneda"/>
    <tableColumn id="76" xr3:uid="{CD38048D-F7DF-44AD-BE0C-745A00B5DDB6}" name="Total 13" dataDxfId="48" dataCellStyle="Moneda">
      <calculatedColumnFormula>BD[[#This Row],[Precio Unitario 13]]*BD[[#This Row],[Cantidad 13]]</calculatedColumnFormula>
    </tableColumn>
    <tableColumn id="77" xr3:uid="{5DF24D5C-75DF-4BEE-8145-4BF92BA33FCC}" name="Modelo 14" dataDxfId="47"/>
    <tableColumn id="78" xr3:uid="{ED6835FE-2643-44A1-B718-35617F9DCCDE}" name="Descripcion 14" dataDxfId="46"/>
    <tableColumn id="79" xr3:uid="{2AA3C9DD-6020-4625-9F26-B38AA92EC576}" name="Cantidad 14" dataDxfId="45"/>
    <tableColumn id="80" xr3:uid="{98EEA0F0-4186-42C2-88EB-A16B74A9033E}" name="Precio Unitario 14" dataDxfId="44" dataCellStyle="Moneda"/>
    <tableColumn id="81" xr3:uid="{F084446D-380B-4AFD-ADE2-F6B0E230D26C}" name="Total  14" dataDxfId="43" dataCellStyle="Moneda">
      <calculatedColumnFormula>BD[[#This Row],[Precio Unitario 14]]*BD[[#This Row],[Cantidad 14]]</calculatedColumnFormula>
    </tableColumn>
    <tableColumn id="82" xr3:uid="{3CC951BF-220D-4AD5-A08B-101B9808FE2F}" name="Observasiones " dataDxfId="42"/>
    <tableColumn id="83" xr3:uid="{C1ADAFCA-6D51-4929-AC1A-31EE8F83EAEB}" name="Subtotal" dataDxfId="41" dataCellStyle="Moneda">
      <calculatedColumnFormula>BD[[#This Row],[Total]]+BD[[#This Row],[Total 2]]+BD[[#This Row],[Total 3]]+BD[[#This Row],[Total 4]]+BD[[#This Row],[Total 5]]+BD[[#This Row],[Total 6]]+BD[[#This Row],[Tota7]]+BD[[#This Row],[Total 8]]+BD[[#This Row],[Total 9]]+BD[[#This Row],[Total 10]]+BD[[#This Row],[Total 11]]+BD[[#This Row],[Total 12]]+BD[[#This Row],[Total 13]]+BD[[#This Row],[Total  14]]</calculatedColumnFormula>
    </tableColumn>
    <tableColumn id="84" xr3:uid="{EBAA3B06-5EAD-4E1F-A7F3-5F184D69F912}" name="S/IVA" dataDxfId="40" dataCellStyle="Moneda">
      <calculatedColumnFormula>BD[[#This Row],[Subtotal]]*-16%+BD[[#This Row],[Subtotal]]</calculatedColumnFormula>
    </tableColumn>
    <tableColumn id="85" xr3:uid="{B15B361C-812D-44A7-A8E2-4B1114ABBB85}" name="IVA" dataDxfId="39" dataCellStyle="Moneda">
      <calculatedColumnFormula>BD[[#This Row],[Subtotal]]*16%</calculatedColumnFormula>
    </tableColumn>
    <tableColumn id="86" xr3:uid="{EE030E86-14F3-41F2-B6CB-8DAE397C82D4}" name="Valor Total" dataDxfId="38" dataCellStyle="Moneda">
      <calculatedColumnFormula>BD[[#This Row],[S/IVA]]+BD[[#This Row],[IVA]]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E785EF8-98E5-4506-AEAB-B93D47111AA1}" name="LISTA" displayName="LISTA" ref="A1:N5" totalsRowShown="0" headerRowDxfId="37" headerRowBorderDxfId="36" tableBorderDxfId="35" totalsRowBorderDxfId="34">
  <autoFilter ref="A1:N5" xr:uid="{AE785EF8-98E5-4506-AEAB-B93D47111AA1}"/>
  <tableColumns count="14">
    <tableColumn id="1" xr3:uid="{984C9976-9E95-41FF-99FE-84AD5D59EF8F}" name="REFERENCIA" dataDxfId="33"/>
    <tableColumn id="2" xr3:uid="{E1714CB8-D677-468C-958C-17B4AA19D895}" name="DESCRIPCION" dataDxfId="32"/>
    <tableColumn id="3" xr3:uid="{770CDC51-5FB1-4FB6-BE87-331BA01B0F32}" name="CANTIDAD" dataDxfId="31"/>
    <tableColumn id="4" xr3:uid="{30661061-1B6D-4EEE-B85B-7A6D6F78EC2C}" name="PRECIO UNITARIO" dataDxfId="30" dataCellStyle="Moneda"/>
    <tableColumn id="5" xr3:uid="{3D21A428-95F2-4965-B252-7DCE3BC7DB25}" name="Compra" dataDxfId="29"/>
    <tableColumn id="6" xr3:uid="{344EA603-1149-44B3-948C-4B91F1F5AA84}" name="Folio" dataDxfId="28"/>
    <tableColumn id="7" xr3:uid="{41F0D5B0-8F4F-44E3-B4A5-667DD184DD60}" name="Cliente" dataDxfId="27"/>
    <tableColumn id="8" xr3:uid="{67B409DD-1C5B-4714-A943-A2F495CE478F}" name="Contacto" dataDxfId="26"/>
    <tableColumn id="9" xr3:uid="{F1BF868A-F8C5-4160-ABE1-F8A2308BB386}" name="Ciudad" dataDxfId="25"/>
    <tableColumn id="10" xr3:uid="{A91F0204-7467-4359-852D-5D3D1DF382FA}" name="Telefono" dataDxfId="24"/>
    <tableColumn id="11" xr3:uid="{0A6EB7CB-D70B-42F0-B27C-8E2EC9A7B6FC}" name="Direccion" dataDxfId="23"/>
    <tableColumn id="12" xr3:uid="{AF35C007-EA36-4C9F-984F-FEB1ED642C16}" name="observaciones 1" dataDxfId="22"/>
    <tableColumn id="13" xr3:uid="{8BBAE044-4262-416D-9016-008E42DAD4EC}" name="Pago" dataDxfId="21"/>
    <tableColumn id="14" xr3:uid="{E58BB92C-26F8-4ECF-BF95-CED360ADC450}" name="Obesrvaciones 2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C23BDB-3798-4633-A8FF-99C93610D987}" name="VENDEDORES" displayName="VENDEDORES" ref="A1:D4" totalsRowShown="0" headerRowDxfId="19" headerRowBorderDxfId="18" tableBorderDxfId="17" totalsRowBorderDxfId="16">
  <autoFilter ref="A1:D4" xr:uid="{2DC23BDB-3798-4633-A8FF-99C93610D987}"/>
  <tableColumns count="4">
    <tableColumn id="1" xr3:uid="{76EBAFD9-A99D-45A0-AA27-228DA35A0598}" name="ID" dataDxfId="15"/>
    <tableColumn id="3" xr3:uid="{788F23E6-CAA9-4D75-84F9-BBE6D001C598}" name="VENDEDOR" dataDxfId="14"/>
    <tableColumn id="2" xr3:uid="{55F4DBD3-3A40-474C-AB2E-F8DA94D40180}" name="NUMERO TELEFONICO" dataDxfId="13"/>
    <tableColumn id="4" xr3:uid="{AF55B09A-FC98-488C-B754-60F5E8A4A0DA}" name="CORREO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BD1BEE4-60A8-4395-80E9-148576205B6A}" name="PAGO" displayName="PAGO" ref="A1:A4" totalsRowShown="0" headerRowDxfId="11" headerRowBorderDxfId="10" tableBorderDxfId="9" totalsRowBorderDxfId="8">
  <autoFilter ref="A1:A4" xr:uid="{4BD1BEE4-60A8-4395-80E9-148576205B6A}"/>
  <tableColumns count="1">
    <tableColumn id="3" xr3:uid="{04AB542E-A2DE-4FE2-8FA8-53EF62946F86}" name="VENDEDOR" dataDxf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5A8B7F-9457-4995-A145-76437F0EDD52}" name="PRO" displayName="PRO" ref="A1:L250" totalsRowShown="0" headerRowDxfId="6" headerRowBorderDxfId="5" tableBorderDxfId="4" totalsRowBorderDxfId="3">
  <autoFilter ref="A1:L250" xr:uid="{1E5A8B7F-9457-4995-A145-76437F0EDD52}"/>
  <tableColumns count="12">
    <tableColumn id="1" xr3:uid="{7D3897C7-E77B-4622-ABE7-4561A01309C9}" name="NOMRE DEL PRODUCTO" dataDxfId="2">
      <calculatedColumnFormula>IFERROR([1]!SW[[#This Row],[NOMRE DEL PRODUCTO]],"")</calculatedColumnFormula>
    </tableColumn>
    <tableColumn id="2" xr3:uid="{283DD78E-6B12-4D54-9495-60BF1392E623}" name="ID" dataDxfId="1">
      <calculatedColumnFormula>ROW(B1)</calculatedColumnFormula>
    </tableColumn>
    <tableColumn id="4" xr3:uid="{83A990E0-C3E1-49D1-A675-AC16B38E01EF}" name="REFERENCIA " dataDxfId="0">
      <calculatedColumnFormula>IFERROR([1]!SW[[#This Row],[IMAGEN]],"")</calculatedColumnFormula>
    </tableColumn>
    <tableColumn id="3" xr3:uid="{621F4588-66A5-4B04-B853-A89EAA971887}" name="MARCA"/>
    <tableColumn id="5" xr3:uid="{36C2AC46-4160-459A-870B-426E52D059F2}" name="COLOR"/>
    <tableColumn id="6" xr3:uid="{7F26BB40-7665-4A4B-BB2C-C6FBF5253300}" name="UNIDAD"/>
    <tableColumn id="7" xr3:uid="{6C9DDC16-82B3-460A-B593-75AE9B886B98}" name="STOCK"/>
    <tableColumn id="8" xr3:uid="{30A38FC7-6F43-4C4B-9A60-2D6BF381FE7D}" name="LUGAR"/>
    <tableColumn id="9" xr3:uid="{B24EA615-1379-497B-B87B-59D62F37ED78}" name="PRECIO DE OFICINA"/>
    <tableColumn id="10" xr3:uid="{850B551E-4D78-4C2F-A638-E51DF6360C1B}" name="PRECIO DE MC"/>
    <tableColumn id="11" xr3:uid="{7856D614-53B6-4A4D-8FD9-EA6DF4FB10A7}" name="PRECIO DE WIX"/>
    <tableColumn id="12" xr3:uid="{013753DE-0CC3-4E54-A849-F7685A40874A}" name="IMAGE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D28CA-B460-4ECA-B84D-BD5C0B9A64BC}">
  <sheetPr codeName="Hoja1">
    <tabColor rgb="FF002060"/>
  </sheetPr>
  <dimension ref="A1:CH6"/>
  <sheetViews>
    <sheetView zoomScaleNormal="100" workbookViewId="0">
      <pane ySplit="1" topLeftCell="A2" activePane="bottomLeft" state="frozen"/>
      <selection pane="bottomLeft" activeCell="C22" sqref="C22"/>
    </sheetView>
  </sheetViews>
  <sheetFormatPr baseColWidth="10" defaultRowHeight="15" x14ac:dyDescent="0.25"/>
  <cols>
    <col min="1" max="2" width="6.28515625" customWidth="1"/>
    <col min="3" max="3" width="13.42578125" customWidth="1"/>
    <col min="4" max="4" width="21.7109375" style="55" customWidth="1"/>
    <col min="5" max="5" width="22.28515625" customWidth="1"/>
    <col min="6" max="6" width="17.140625" customWidth="1"/>
    <col min="9" max="9" width="17.140625" customWidth="1"/>
    <col min="10" max="10" width="27.28515625" customWidth="1"/>
    <col min="11" max="11" width="30.140625" customWidth="1"/>
    <col min="12" max="13" width="20.7109375" customWidth="1"/>
    <col min="14" max="14" width="20.7109375" style="15" customWidth="1"/>
    <col min="15" max="15" width="20.7109375" style="44" customWidth="1"/>
    <col min="16" max="16" width="20.7109375" style="26" customWidth="1"/>
    <col min="17" max="18" width="20.7109375" customWidth="1"/>
    <col min="19" max="19" width="20.7109375" style="15" customWidth="1"/>
    <col min="20" max="21" width="20.7109375" style="26" customWidth="1"/>
    <col min="22" max="23" width="20.7109375" customWidth="1"/>
    <col min="24" max="24" width="20.7109375" style="15" customWidth="1"/>
    <col min="25" max="26" width="20.7109375" style="26" customWidth="1"/>
    <col min="27" max="28" width="20.7109375" customWidth="1"/>
    <col min="29" max="29" width="20.7109375" style="15" customWidth="1"/>
    <col min="30" max="31" width="20.7109375" style="26" customWidth="1"/>
    <col min="32" max="33" width="20.7109375" customWidth="1"/>
    <col min="34" max="34" width="20.7109375" style="15" customWidth="1"/>
    <col min="35" max="36" width="20.7109375" style="26" customWidth="1"/>
    <col min="37" max="38" width="20.7109375" customWidth="1"/>
    <col min="39" max="39" width="20.7109375" style="15" customWidth="1"/>
    <col min="40" max="41" width="20.7109375" style="26" customWidth="1"/>
    <col min="42" max="43" width="20.7109375" customWidth="1"/>
    <col min="44" max="44" width="20.7109375" style="15" customWidth="1"/>
    <col min="45" max="46" width="20.7109375" style="26" customWidth="1"/>
    <col min="47" max="48" width="20.7109375" customWidth="1"/>
    <col min="49" max="49" width="20.7109375" style="15" customWidth="1"/>
    <col min="50" max="51" width="20.7109375" style="26" customWidth="1"/>
    <col min="52" max="53" width="20.7109375" customWidth="1"/>
    <col min="54" max="54" width="20.7109375" style="15" customWidth="1"/>
    <col min="55" max="56" width="20.7109375" style="26" customWidth="1"/>
    <col min="57" max="58" width="20.7109375" customWidth="1"/>
    <col min="59" max="59" width="20.7109375" style="15" customWidth="1"/>
    <col min="60" max="61" width="20.7109375" style="26" customWidth="1"/>
    <col min="62" max="63" width="20.7109375" customWidth="1"/>
    <col min="64" max="64" width="20.7109375" style="15" customWidth="1"/>
    <col min="65" max="66" width="20.7109375" style="26" customWidth="1"/>
    <col min="67" max="68" width="20.7109375" customWidth="1"/>
    <col min="69" max="69" width="20.7109375" style="15" customWidth="1"/>
    <col min="70" max="71" width="20.7109375" style="26" customWidth="1"/>
    <col min="72" max="73" width="20.7109375" customWidth="1"/>
    <col min="74" max="74" width="20.7109375" style="15" customWidth="1"/>
    <col min="75" max="76" width="20.7109375" style="26" customWidth="1"/>
    <col min="77" max="78" width="20.7109375" customWidth="1"/>
    <col min="79" max="79" width="20.7109375" style="15" customWidth="1"/>
    <col min="80" max="81" width="20.7109375" style="26" customWidth="1"/>
    <col min="82" max="82" width="20.7109375" customWidth="1"/>
    <col min="83" max="86" width="20.7109375" style="26" customWidth="1"/>
  </cols>
  <sheetData>
    <row r="1" spans="1:86" x14ac:dyDescent="0.25">
      <c r="A1" s="29" t="s">
        <v>0</v>
      </c>
      <c r="B1" s="30" t="s">
        <v>1</v>
      </c>
      <c r="C1" s="30" t="s">
        <v>4</v>
      </c>
      <c r="D1" s="53" t="s">
        <v>2</v>
      </c>
      <c r="E1" s="30" t="s">
        <v>3</v>
      </c>
      <c r="F1" s="30" t="s">
        <v>5</v>
      </c>
      <c r="G1" s="30" t="s">
        <v>6</v>
      </c>
      <c r="H1" s="30" t="s">
        <v>7</v>
      </c>
      <c r="I1" s="30" t="s">
        <v>8</v>
      </c>
      <c r="J1" s="30" t="s">
        <v>9</v>
      </c>
      <c r="K1" s="31" t="s">
        <v>10</v>
      </c>
      <c r="L1" s="29" t="s">
        <v>11</v>
      </c>
      <c r="M1" s="30" t="s">
        <v>12</v>
      </c>
      <c r="N1" s="30" t="s">
        <v>14</v>
      </c>
      <c r="O1" s="42" t="s">
        <v>13</v>
      </c>
      <c r="P1" s="45" t="s">
        <v>15</v>
      </c>
      <c r="Q1" s="29" t="s">
        <v>21</v>
      </c>
      <c r="R1" s="30" t="s">
        <v>419</v>
      </c>
      <c r="S1" s="30" t="s">
        <v>433</v>
      </c>
      <c r="T1" s="42" t="s">
        <v>420</v>
      </c>
      <c r="U1" s="45" t="s">
        <v>434</v>
      </c>
      <c r="V1" s="29" t="s">
        <v>421</v>
      </c>
      <c r="W1" s="30" t="s">
        <v>22</v>
      </c>
      <c r="X1" s="30" t="s">
        <v>435</v>
      </c>
      <c r="Y1" s="42" t="s">
        <v>422</v>
      </c>
      <c r="Z1" s="45" t="s">
        <v>436</v>
      </c>
      <c r="AA1" s="33" t="s">
        <v>423</v>
      </c>
      <c r="AB1" s="32" t="s">
        <v>432</v>
      </c>
      <c r="AC1" s="32" t="s">
        <v>437</v>
      </c>
      <c r="AD1" s="49" t="s">
        <v>424</v>
      </c>
      <c r="AE1" s="51" t="s">
        <v>438</v>
      </c>
      <c r="AF1" s="29" t="s">
        <v>425</v>
      </c>
      <c r="AG1" s="30" t="s">
        <v>426</v>
      </c>
      <c r="AH1" s="30" t="s">
        <v>439</v>
      </c>
      <c r="AI1" s="42" t="s">
        <v>23</v>
      </c>
      <c r="AJ1" s="45" t="s">
        <v>440</v>
      </c>
      <c r="AK1" s="29" t="s">
        <v>427</v>
      </c>
      <c r="AL1" s="30" t="s">
        <v>428</v>
      </c>
      <c r="AM1" s="30" t="s">
        <v>441</v>
      </c>
      <c r="AN1" s="42" t="s">
        <v>442</v>
      </c>
      <c r="AO1" s="45" t="s">
        <v>443</v>
      </c>
      <c r="AP1" s="29" t="s">
        <v>24</v>
      </c>
      <c r="AQ1" s="30" t="s">
        <v>429</v>
      </c>
      <c r="AR1" s="30" t="s">
        <v>444</v>
      </c>
      <c r="AS1" s="42" t="s">
        <v>430</v>
      </c>
      <c r="AT1" s="45" t="s">
        <v>431</v>
      </c>
      <c r="AU1" s="29" t="s">
        <v>445</v>
      </c>
      <c r="AV1" s="30" t="s">
        <v>25</v>
      </c>
      <c r="AW1" s="30" t="s">
        <v>446</v>
      </c>
      <c r="AX1" s="42" t="s">
        <v>447</v>
      </c>
      <c r="AY1" s="45" t="s">
        <v>448</v>
      </c>
      <c r="AZ1" s="29" t="s">
        <v>449</v>
      </c>
      <c r="BA1" s="30" t="s">
        <v>450</v>
      </c>
      <c r="BB1" s="30" t="s">
        <v>451</v>
      </c>
      <c r="BC1" s="42" t="s">
        <v>452</v>
      </c>
      <c r="BD1" s="45" t="s">
        <v>453</v>
      </c>
      <c r="BE1" s="29" t="s">
        <v>454</v>
      </c>
      <c r="BF1" s="30" t="s">
        <v>455</v>
      </c>
      <c r="BG1" s="30" t="s">
        <v>456</v>
      </c>
      <c r="BH1" s="42" t="s">
        <v>26</v>
      </c>
      <c r="BI1" s="45" t="s">
        <v>457</v>
      </c>
      <c r="BJ1" s="29" t="s">
        <v>458</v>
      </c>
      <c r="BK1" s="30" t="s">
        <v>459</v>
      </c>
      <c r="BL1" s="30" t="s">
        <v>460</v>
      </c>
      <c r="BM1" s="42" t="s">
        <v>461</v>
      </c>
      <c r="BN1" s="45" t="s">
        <v>462</v>
      </c>
      <c r="BO1" s="29" t="s">
        <v>27</v>
      </c>
      <c r="BP1" s="30" t="s">
        <v>463</v>
      </c>
      <c r="BQ1" s="30" t="s">
        <v>464</v>
      </c>
      <c r="BR1" s="42" t="s">
        <v>465</v>
      </c>
      <c r="BS1" s="45" t="s">
        <v>466</v>
      </c>
      <c r="BT1" s="29" t="s">
        <v>467</v>
      </c>
      <c r="BU1" s="30" t="s">
        <v>28</v>
      </c>
      <c r="BV1" s="30" t="s">
        <v>468</v>
      </c>
      <c r="BW1" s="42" t="s">
        <v>469</v>
      </c>
      <c r="BX1" s="45" t="s">
        <v>470</v>
      </c>
      <c r="BY1" s="29" t="s">
        <v>471</v>
      </c>
      <c r="BZ1" s="30" t="s">
        <v>472</v>
      </c>
      <c r="CA1" s="30" t="s">
        <v>473</v>
      </c>
      <c r="CB1" s="42" t="s">
        <v>474</v>
      </c>
      <c r="CC1" s="45" t="s">
        <v>475</v>
      </c>
      <c r="CD1" s="28" t="s">
        <v>16</v>
      </c>
      <c r="CE1" s="39" t="s">
        <v>17</v>
      </c>
      <c r="CF1" s="39" t="s">
        <v>18</v>
      </c>
      <c r="CG1" s="39" t="s">
        <v>19</v>
      </c>
      <c r="CH1" s="39" t="s">
        <v>20</v>
      </c>
    </row>
    <row r="2" spans="1:86" x14ac:dyDescent="0.25">
      <c r="A2" s="34"/>
      <c r="B2" s="27"/>
      <c r="C2" s="27"/>
      <c r="D2" s="54"/>
      <c r="E2" s="27"/>
      <c r="F2" s="27"/>
      <c r="G2" s="27"/>
      <c r="H2" s="27"/>
      <c r="I2" s="27"/>
      <c r="J2" s="27"/>
      <c r="K2" s="35"/>
      <c r="L2" s="34"/>
      <c r="M2" s="27"/>
      <c r="N2" s="41"/>
      <c r="O2" s="43"/>
      <c r="P2" s="46">
        <f>BD[[#This Row],[Precio Unitario ]]*BD[[#This Row],[Cantidad]]</f>
        <v>0</v>
      </c>
      <c r="Q2" s="34"/>
      <c r="R2" s="27"/>
      <c r="S2" s="41"/>
      <c r="T2" s="47"/>
      <c r="U2" s="46">
        <f>BD[[#This Row],[Precio Unitario 2]]*BD[[#This Row],[Cantidad 2]]</f>
        <v>0</v>
      </c>
      <c r="V2" s="34"/>
      <c r="W2" s="27"/>
      <c r="X2" s="41"/>
      <c r="Y2" s="47"/>
      <c r="Z2" s="46">
        <f>BD[[#This Row],[Precio Unitario 3]]*BD[[#This Row],[Cantidad 3]]</f>
        <v>0</v>
      </c>
      <c r="AA2" s="36"/>
      <c r="AB2" s="37"/>
      <c r="AC2" s="48"/>
      <c r="AD2" s="50"/>
      <c r="AE2" s="52">
        <f>BD[[#This Row],[Precio Unitario 4]]*BD[[#This Row],[Cantidad 4]]</f>
        <v>0</v>
      </c>
      <c r="AF2" s="34"/>
      <c r="AG2" s="27"/>
      <c r="AH2" s="41"/>
      <c r="AI2" s="47"/>
      <c r="AJ2" s="46">
        <f>BD[[#This Row],[Precio Unitario 5]]*BD[[#This Row],[Cantidad 5]]</f>
        <v>0</v>
      </c>
      <c r="AK2" s="34"/>
      <c r="AL2" s="27"/>
      <c r="AM2" s="41"/>
      <c r="AN2" s="47"/>
      <c r="AO2" s="46">
        <f>BD[[#This Row],[Precio Unitario 6]]*BD[[#This Row],[Cantidad 6]]</f>
        <v>0</v>
      </c>
      <c r="AP2" s="34"/>
      <c r="AQ2" s="27"/>
      <c r="AR2" s="41"/>
      <c r="AS2" s="47"/>
      <c r="AT2" s="46">
        <f>BD[[#This Row],[Precio Unitario 7]]*BD[[#This Row],[Cantidad 7]]</f>
        <v>0</v>
      </c>
      <c r="AU2" s="34"/>
      <c r="AV2" s="27"/>
      <c r="AW2" s="41"/>
      <c r="AX2" s="47"/>
      <c r="AY2" s="46">
        <f>BD[[#This Row],[Precio Unitario 8]]*BD[[#This Row],[Cantidad 8]]</f>
        <v>0</v>
      </c>
      <c r="AZ2" s="34"/>
      <c r="BA2" s="27"/>
      <c r="BB2" s="41"/>
      <c r="BC2" s="47"/>
      <c r="BD2" s="46">
        <f>BD[[#This Row],[Precio Unitario 9]]*BD[[#This Row],[Cantidad 9]]</f>
        <v>0</v>
      </c>
      <c r="BE2" s="34"/>
      <c r="BF2" s="27"/>
      <c r="BG2" s="41"/>
      <c r="BH2" s="47"/>
      <c r="BI2" s="46">
        <f>BD[[#This Row],[Precio Unitario 10]]*BD[[#This Row],[Cantidad 10 ]]</f>
        <v>0</v>
      </c>
      <c r="BJ2" s="34"/>
      <c r="BK2" s="27"/>
      <c r="BL2" s="41"/>
      <c r="BM2" s="47"/>
      <c r="BN2" s="46">
        <f>BD[[#This Row],[Precio Unitario 11]]*BD[[#This Row],[Cantidad 11]]</f>
        <v>0</v>
      </c>
      <c r="BO2" s="34"/>
      <c r="BP2" s="27"/>
      <c r="BQ2" s="41"/>
      <c r="BR2" s="47"/>
      <c r="BS2" s="46">
        <f>BD[[#This Row],[Precio Unitario 12]]*BD[[#This Row],[Cantidad 12]]</f>
        <v>0</v>
      </c>
      <c r="BT2" s="34"/>
      <c r="BU2" s="27"/>
      <c r="BV2" s="41"/>
      <c r="BW2" s="47"/>
      <c r="BX2" s="46">
        <f>BD[[#This Row],[Precio Unitario 13]]*BD[[#This Row],[Cantidad 13]]</f>
        <v>0</v>
      </c>
      <c r="BY2" s="34"/>
      <c r="BZ2" s="27"/>
      <c r="CA2" s="41"/>
      <c r="CB2" s="47"/>
      <c r="CC2" s="46">
        <f>BD[[#This Row],[Precio Unitario 14]]*BD[[#This Row],[Cantidad 14]]</f>
        <v>0</v>
      </c>
      <c r="CD2" s="38"/>
      <c r="CE2" s="40">
        <f>BD[[#This Row],[Total]]+BD[[#This Row],[Total 2]]+BD[[#This Row],[Total 3]]+BD[[#This Row],[Total 4]]+BD[[#This Row],[Total 5]]+BD[[#This Row],[Total 6]]+BD[[#This Row],[Tota7]]+BD[[#This Row],[Total 8]]+BD[[#This Row],[Total 9]]+BD[[#This Row],[Total 10]]+BD[[#This Row],[Total 11]]+BD[[#This Row],[Total 12]]+BD[[#This Row],[Total 13]]+BD[[#This Row],[Total  14]]</f>
        <v>0</v>
      </c>
      <c r="CF2" s="40">
        <f>BD[[#This Row],[Subtotal]]*-16%+BD[[#This Row],[Subtotal]]</f>
        <v>0</v>
      </c>
      <c r="CG2" s="40">
        <f>BD[[#This Row],[Subtotal]]*16%</f>
        <v>0</v>
      </c>
      <c r="CH2" s="40">
        <f>BD[[#This Row],[S/IVA]]+BD[[#This Row],[IVA]]</f>
        <v>0</v>
      </c>
    </row>
    <row r="3" spans="1:86" x14ac:dyDescent="0.25">
      <c r="A3" s="34"/>
      <c r="B3" s="27" t="s">
        <v>496</v>
      </c>
      <c r="C3" s="27" t="s">
        <v>499</v>
      </c>
      <c r="D3" s="54">
        <v>44747.397118055553</v>
      </c>
      <c r="E3" s="27" t="s">
        <v>32</v>
      </c>
      <c r="F3" s="27" t="s">
        <v>416</v>
      </c>
      <c r="G3" s="27"/>
      <c r="H3" s="27"/>
      <c r="I3" s="27"/>
      <c r="J3" s="27"/>
      <c r="K3" s="35" t="s">
        <v>55</v>
      </c>
      <c r="L3" s="34"/>
      <c r="M3" s="27" t="s">
        <v>500</v>
      </c>
      <c r="N3" s="41">
        <v>1</v>
      </c>
      <c r="O3" s="43"/>
      <c r="P3" s="46">
        <f>BD[[#This Row],[Precio Unitario ]]*BD[[#This Row],[Cantidad]]</f>
        <v>0</v>
      </c>
      <c r="Q3" s="34"/>
      <c r="R3" s="27" t="s">
        <v>505</v>
      </c>
      <c r="S3" s="41"/>
      <c r="T3" s="47"/>
      <c r="U3" s="46">
        <f>BD[[#This Row],[Precio Unitario 2]]*BD[[#This Row],[Cantidad 2]]</f>
        <v>0</v>
      </c>
      <c r="V3" s="34"/>
      <c r="W3" s="27"/>
      <c r="X3" s="41"/>
      <c r="Y3" s="47"/>
      <c r="Z3" s="46">
        <f>BD[[#This Row],[Precio Unitario 3]]*BD[[#This Row],[Cantidad 3]]</f>
        <v>0</v>
      </c>
      <c r="AA3" s="36"/>
      <c r="AB3" s="37"/>
      <c r="AC3" s="48"/>
      <c r="AD3" s="50"/>
      <c r="AE3" s="52">
        <f>BD[[#This Row],[Precio Unitario 4]]*BD[[#This Row],[Cantidad 4]]</f>
        <v>0</v>
      </c>
      <c r="AF3" s="34"/>
      <c r="AG3" s="27"/>
      <c r="AH3" s="41"/>
      <c r="AI3" s="47"/>
      <c r="AJ3" s="46">
        <f>BD[[#This Row],[Precio Unitario 5]]*BD[[#This Row],[Cantidad 5]]</f>
        <v>0</v>
      </c>
      <c r="AK3" s="34"/>
      <c r="AL3" s="27"/>
      <c r="AM3" s="41"/>
      <c r="AN3" s="47"/>
      <c r="AO3" s="46">
        <f>BD[[#This Row],[Precio Unitario 6]]*BD[[#This Row],[Cantidad 6]]</f>
        <v>0</v>
      </c>
      <c r="AP3" s="34"/>
      <c r="AQ3" s="27"/>
      <c r="AR3" s="41"/>
      <c r="AS3" s="47"/>
      <c r="AT3" s="46">
        <f>BD[[#This Row],[Precio Unitario 7]]*BD[[#This Row],[Cantidad 7]]</f>
        <v>0</v>
      </c>
      <c r="AU3" s="34"/>
      <c r="AV3" s="27"/>
      <c r="AW3" s="41"/>
      <c r="AX3" s="47"/>
      <c r="AY3" s="46">
        <f>BD[[#This Row],[Precio Unitario 8]]*BD[[#This Row],[Cantidad 8]]</f>
        <v>0</v>
      </c>
      <c r="AZ3" s="34"/>
      <c r="BA3" s="27"/>
      <c r="BB3" s="41"/>
      <c r="BC3" s="47"/>
      <c r="BD3" s="46">
        <f>BD[[#This Row],[Precio Unitario 9]]*BD[[#This Row],[Cantidad 9]]</f>
        <v>0</v>
      </c>
      <c r="BE3" s="34"/>
      <c r="BF3" s="27"/>
      <c r="BG3" s="41"/>
      <c r="BH3" s="47"/>
      <c r="BI3" s="46">
        <f>BD[[#This Row],[Precio Unitario 10]]*BD[[#This Row],[Cantidad 10 ]]</f>
        <v>0</v>
      </c>
      <c r="BJ3" s="34"/>
      <c r="BK3" s="27"/>
      <c r="BL3" s="41"/>
      <c r="BM3" s="47"/>
      <c r="BN3" s="46">
        <f>BD[[#This Row],[Precio Unitario 11]]*BD[[#This Row],[Cantidad 11]]</f>
        <v>0</v>
      </c>
      <c r="BO3" s="34"/>
      <c r="BP3" s="27"/>
      <c r="BQ3" s="41"/>
      <c r="BR3" s="47"/>
      <c r="BS3" s="46">
        <f>BD[[#This Row],[Precio Unitario 12]]*BD[[#This Row],[Cantidad 12]]</f>
        <v>0</v>
      </c>
      <c r="BT3" s="34"/>
      <c r="BU3" s="27"/>
      <c r="BV3" s="41"/>
      <c r="BW3" s="47"/>
      <c r="BX3" s="46">
        <f>BD[[#This Row],[Precio Unitario 13]]*BD[[#This Row],[Cantidad 13]]</f>
        <v>0</v>
      </c>
      <c r="BY3" s="34"/>
      <c r="BZ3" s="27"/>
      <c r="CA3" s="41"/>
      <c r="CB3" s="47"/>
      <c r="CC3" s="46">
        <f>BD[[#This Row],[Precio Unitario 14]]*BD[[#This Row],[Cantidad 14]]</f>
        <v>0</v>
      </c>
      <c r="CD3" s="38"/>
      <c r="CE3" s="40">
        <f>BD[[#This Row],[Total]]+BD[[#This Row],[Total 2]]+BD[[#This Row],[Total 3]]+BD[[#This Row],[Total 4]]+BD[[#This Row],[Total 5]]+BD[[#This Row],[Total 6]]+BD[[#This Row],[Tota7]]+BD[[#This Row],[Total 8]]+BD[[#This Row],[Total 9]]+BD[[#This Row],[Total 10]]+BD[[#This Row],[Total 11]]+BD[[#This Row],[Total 12]]+BD[[#This Row],[Total 13]]+BD[[#This Row],[Total  14]]</f>
        <v>0</v>
      </c>
      <c r="CF3" s="40">
        <f>BD[[#This Row],[Subtotal]]*-16%+BD[[#This Row],[Subtotal]]</f>
        <v>0</v>
      </c>
      <c r="CG3" s="40">
        <f>BD[[#This Row],[Subtotal]]*16%</f>
        <v>0</v>
      </c>
      <c r="CH3" s="40">
        <f>BD[[#This Row],[S/IVA]]+BD[[#This Row],[IVA]]</f>
        <v>0</v>
      </c>
    </row>
    <row r="4" spans="1:86" x14ac:dyDescent="0.25">
      <c r="A4" s="34"/>
      <c r="B4" s="27" t="s">
        <v>496</v>
      </c>
      <c r="C4" s="27" t="s">
        <v>497</v>
      </c>
      <c r="D4" s="54">
        <v>44747.380474537036</v>
      </c>
      <c r="E4" s="27" t="s">
        <v>498</v>
      </c>
      <c r="F4" s="27" t="s">
        <v>416</v>
      </c>
      <c r="G4" s="27"/>
      <c r="H4" s="27"/>
      <c r="I4" s="27"/>
      <c r="J4" s="27"/>
      <c r="K4" s="35" t="s">
        <v>55</v>
      </c>
      <c r="L4" s="34" t="s">
        <v>68</v>
      </c>
      <c r="M4" s="27" t="s">
        <v>67</v>
      </c>
      <c r="N4" s="41">
        <v>1</v>
      </c>
      <c r="O4" s="63">
        <v>100</v>
      </c>
      <c r="P4" s="46">
        <f>BD[[#This Row],[Precio Unitario ]]*BD[[#This Row],[Cantidad]]</f>
        <v>100</v>
      </c>
      <c r="Q4" s="34" t="s">
        <v>494</v>
      </c>
      <c r="R4" s="27" t="s">
        <v>495</v>
      </c>
      <c r="S4" s="41">
        <v>1</v>
      </c>
      <c r="T4" s="47">
        <v>0</v>
      </c>
      <c r="U4" s="46">
        <f>BD[[#This Row],[Precio Unitario 2]]*BD[[#This Row],[Cantidad 2]]</f>
        <v>0</v>
      </c>
      <c r="V4" s="34"/>
      <c r="W4" s="27"/>
      <c r="X4" s="41"/>
      <c r="Y4" s="47"/>
      <c r="Z4" s="46">
        <f>BD[[#This Row],[Precio Unitario 3]]*BD[[#This Row],[Cantidad 3]]</f>
        <v>0</v>
      </c>
      <c r="AA4" s="36"/>
      <c r="AB4" s="37"/>
      <c r="AC4" s="48"/>
      <c r="AD4" s="50"/>
      <c r="AE4" s="52">
        <f>BD[[#This Row],[Precio Unitario 4]]*BD[[#This Row],[Cantidad 4]]</f>
        <v>0</v>
      </c>
      <c r="AF4" s="34"/>
      <c r="AG4" s="27"/>
      <c r="AH4" s="41"/>
      <c r="AI4" s="47"/>
      <c r="AJ4" s="46">
        <f>BD[[#This Row],[Precio Unitario 5]]*BD[[#This Row],[Cantidad 5]]</f>
        <v>0</v>
      </c>
      <c r="AK4" s="34"/>
      <c r="AL4" s="27"/>
      <c r="AM4" s="41"/>
      <c r="AN4" s="47"/>
      <c r="AO4" s="46">
        <f>BD[[#This Row],[Precio Unitario 6]]*BD[[#This Row],[Cantidad 6]]</f>
        <v>0</v>
      </c>
      <c r="AP4" s="34"/>
      <c r="AQ4" s="27"/>
      <c r="AR4" s="41"/>
      <c r="AS4" s="47"/>
      <c r="AT4" s="46">
        <f>BD[[#This Row],[Precio Unitario 7]]*BD[[#This Row],[Cantidad 7]]</f>
        <v>0</v>
      </c>
      <c r="AU4" s="34"/>
      <c r="AV4" s="27"/>
      <c r="AW4" s="41"/>
      <c r="AX4" s="47"/>
      <c r="AY4" s="46">
        <f>BD[[#This Row],[Precio Unitario 8]]*BD[[#This Row],[Cantidad 8]]</f>
        <v>0</v>
      </c>
      <c r="AZ4" s="34"/>
      <c r="BA4" s="27"/>
      <c r="BB4" s="41"/>
      <c r="BC4" s="47"/>
      <c r="BD4" s="46">
        <f>BD[[#This Row],[Precio Unitario 9]]*BD[[#This Row],[Cantidad 9]]</f>
        <v>0</v>
      </c>
      <c r="BE4" s="34"/>
      <c r="BF4" s="27"/>
      <c r="BG4" s="41"/>
      <c r="BH4" s="47"/>
      <c r="BI4" s="46">
        <f>BD[[#This Row],[Precio Unitario 10]]*BD[[#This Row],[Cantidad 10 ]]</f>
        <v>0</v>
      </c>
      <c r="BJ4" s="34"/>
      <c r="BK4" s="27"/>
      <c r="BL4" s="41"/>
      <c r="BM4" s="47"/>
      <c r="BN4" s="46">
        <f>BD[[#This Row],[Precio Unitario 11]]*BD[[#This Row],[Cantidad 11]]</f>
        <v>0</v>
      </c>
      <c r="BO4" s="34"/>
      <c r="BP4" s="27"/>
      <c r="BQ4" s="41"/>
      <c r="BR4" s="47"/>
      <c r="BS4" s="46">
        <f>BD[[#This Row],[Precio Unitario 12]]*BD[[#This Row],[Cantidad 12]]</f>
        <v>0</v>
      </c>
      <c r="BT4" s="34"/>
      <c r="BU4" s="27"/>
      <c r="BV4" s="41"/>
      <c r="BW4" s="47"/>
      <c r="BX4" s="46">
        <f>BD[[#This Row],[Precio Unitario 13]]*BD[[#This Row],[Cantidad 13]]</f>
        <v>0</v>
      </c>
      <c r="BY4" s="34"/>
      <c r="BZ4" s="27"/>
      <c r="CA4" s="41"/>
      <c r="CB4" s="47"/>
      <c r="CC4" s="46">
        <f>BD[[#This Row],[Precio Unitario 14]]*BD[[#This Row],[Cantidad 14]]</f>
        <v>0</v>
      </c>
      <c r="CD4" s="38"/>
      <c r="CE4" s="40">
        <f>BD[[#This Row],[Total]]+BD[[#This Row],[Total 2]]+BD[[#This Row],[Total 3]]+BD[[#This Row],[Total 4]]+BD[[#This Row],[Total 5]]+BD[[#This Row],[Total 6]]+BD[[#This Row],[Tota7]]+BD[[#This Row],[Total 8]]+BD[[#This Row],[Total 9]]+BD[[#This Row],[Total 10]]+BD[[#This Row],[Total 11]]+BD[[#This Row],[Total 12]]+BD[[#This Row],[Total 13]]+BD[[#This Row],[Total  14]]</f>
        <v>100</v>
      </c>
      <c r="CF4" s="40">
        <f>BD[[#This Row],[Subtotal]]*-16%+BD[[#This Row],[Subtotal]]</f>
        <v>84</v>
      </c>
      <c r="CG4" s="40">
        <f>BD[[#This Row],[Subtotal]]*16%</f>
        <v>16</v>
      </c>
      <c r="CH4" s="40">
        <f>BD[[#This Row],[S/IVA]]+BD[[#This Row],[IVA]]</f>
        <v>100</v>
      </c>
    </row>
    <row r="5" spans="1:86" x14ac:dyDescent="0.25">
      <c r="A5" s="34"/>
      <c r="B5" s="27" t="s">
        <v>477</v>
      </c>
      <c r="C5" s="27" t="s">
        <v>491</v>
      </c>
      <c r="D5" s="54">
        <v>44744.405497685184</v>
      </c>
      <c r="E5" s="27" t="s">
        <v>417</v>
      </c>
      <c r="F5" s="27" t="s">
        <v>416</v>
      </c>
      <c r="G5" s="27" t="s">
        <v>6</v>
      </c>
      <c r="H5" s="27" t="s">
        <v>7</v>
      </c>
      <c r="I5" s="27" t="s">
        <v>8</v>
      </c>
      <c r="J5" s="27" t="s">
        <v>492</v>
      </c>
      <c r="K5" s="35" t="s">
        <v>55</v>
      </c>
      <c r="L5" s="34" t="s">
        <v>68</v>
      </c>
      <c r="M5" s="27" t="s">
        <v>67</v>
      </c>
      <c r="N5" s="41">
        <v>1</v>
      </c>
      <c r="O5" s="43">
        <v>100</v>
      </c>
      <c r="P5" s="46">
        <f>BD[[#This Row],[Precio Unitario ]]*BD[[#This Row],[Cantidad]]</f>
        <v>100</v>
      </c>
      <c r="Q5" s="34" t="s">
        <v>487</v>
      </c>
      <c r="R5" s="27" t="s">
        <v>73</v>
      </c>
      <c r="S5" s="41">
        <v>2</v>
      </c>
      <c r="T5" s="47">
        <v>200</v>
      </c>
      <c r="U5" s="46">
        <f>BD[[#This Row],[Precio Unitario 2]]*BD[[#This Row],[Cantidad 2]]</f>
        <v>400</v>
      </c>
      <c r="V5" s="34" t="s">
        <v>488</v>
      </c>
      <c r="W5" s="27" t="s">
        <v>75</v>
      </c>
      <c r="X5" s="41">
        <v>3</v>
      </c>
      <c r="Y5" s="47">
        <v>300</v>
      </c>
      <c r="Z5" s="46">
        <f>BD[[#This Row],[Precio Unitario 3]]*BD[[#This Row],[Cantidad 3]]</f>
        <v>900</v>
      </c>
      <c r="AA5" s="36" t="s">
        <v>482</v>
      </c>
      <c r="AB5" s="37" t="s">
        <v>78</v>
      </c>
      <c r="AC5" s="48">
        <v>4</v>
      </c>
      <c r="AD5" s="50">
        <v>400</v>
      </c>
      <c r="AE5" s="52">
        <f>BD[[#This Row],[Precio Unitario 4]]*BD[[#This Row],[Cantidad 4]]</f>
        <v>1600</v>
      </c>
      <c r="AF5" s="34" t="s">
        <v>489</v>
      </c>
      <c r="AG5" s="27" t="s">
        <v>80</v>
      </c>
      <c r="AH5" s="41">
        <v>5</v>
      </c>
      <c r="AI5" s="47">
        <v>500</v>
      </c>
      <c r="AJ5" s="46">
        <f>BD[[#This Row],[Precio Unitario 5]]*BD[[#This Row],[Cantidad 5]]</f>
        <v>2500</v>
      </c>
      <c r="AK5" s="34" t="s">
        <v>483</v>
      </c>
      <c r="AL5" s="27" t="s">
        <v>81</v>
      </c>
      <c r="AM5" s="41">
        <v>6</v>
      </c>
      <c r="AN5" s="47">
        <v>600</v>
      </c>
      <c r="AO5" s="46">
        <f>BD[[#This Row],[Precio Unitario 6]]*BD[[#This Row],[Cantidad 6]]</f>
        <v>3600</v>
      </c>
      <c r="AP5" s="34" t="s">
        <v>490</v>
      </c>
      <c r="AQ5" s="27" t="s">
        <v>82</v>
      </c>
      <c r="AR5" s="41">
        <v>7</v>
      </c>
      <c r="AS5" s="47">
        <v>700</v>
      </c>
      <c r="AT5" s="46">
        <f>BD[[#This Row],[Precio Unitario 7]]*BD[[#This Row],[Cantidad 7]]</f>
        <v>4900</v>
      </c>
      <c r="AU5" s="34" t="s">
        <v>84</v>
      </c>
      <c r="AV5" s="27" t="s">
        <v>83</v>
      </c>
      <c r="AW5" s="41">
        <v>8</v>
      </c>
      <c r="AX5" s="47">
        <v>800</v>
      </c>
      <c r="AY5" s="46">
        <f>BD[[#This Row],[Precio Unitario 8]]*BD[[#This Row],[Cantidad 8]]</f>
        <v>6400</v>
      </c>
      <c r="AZ5" s="34" t="s">
        <v>86</v>
      </c>
      <c r="BA5" s="27" t="s">
        <v>85</v>
      </c>
      <c r="BB5" s="41">
        <v>9</v>
      </c>
      <c r="BC5" s="47">
        <v>900</v>
      </c>
      <c r="BD5" s="46">
        <f>BD[[#This Row],[Precio Unitario 9]]*BD[[#This Row],[Cantidad 9]]</f>
        <v>8100</v>
      </c>
      <c r="BE5" s="34" t="s">
        <v>484</v>
      </c>
      <c r="BF5" s="27" t="s">
        <v>87</v>
      </c>
      <c r="BG5" s="41">
        <v>10</v>
      </c>
      <c r="BH5" s="47">
        <v>110</v>
      </c>
      <c r="BI5" s="46">
        <f>BD[[#This Row],[Precio Unitario 10]]*BD[[#This Row],[Cantidad 10 ]]</f>
        <v>1100</v>
      </c>
      <c r="BJ5" s="34" t="s">
        <v>485</v>
      </c>
      <c r="BK5" s="27" t="s">
        <v>88</v>
      </c>
      <c r="BL5" s="41">
        <v>11</v>
      </c>
      <c r="BM5" s="47">
        <v>111</v>
      </c>
      <c r="BN5" s="46">
        <f>BD[[#This Row],[Precio Unitario 11]]*BD[[#This Row],[Cantidad 11]]</f>
        <v>1221</v>
      </c>
      <c r="BO5" s="34" t="s">
        <v>90</v>
      </c>
      <c r="BP5" s="27" t="s">
        <v>89</v>
      </c>
      <c r="BQ5" s="41">
        <v>12</v>
      </c>
      <c r="BR5" s="47">
        <v>112</v>
      </c>
      <c r="BS5" s="46">
        <f>BD[[#This Row],[Precio Unitario 12]]*BD[[#This Row],[Cantidad 12]]</f>
        <v>1344</v>
      </c>
      <c r="BT5" s="34" t="s">
        <v>92</v>
      </c>
      <c r="BU5" s="27" t="s">
        <v>91</v>
      </c>
      <c r="BV5" s="41">
        <v>13</v>
      </c>
      <c r="BW5" s="47">
        <v>113</v>
      </c>
      <c r="BX5" s="46">
        <f>BD[[#This Row],[Precio Unitario 13]]*BD[[#This Row],[Cantidad 13]]</f>
        <v>1469</v>
      </c>
      <c r="BY5" s="34" t="s">
        <v>94</v>
      </c>
      <c r="BZ5" s="27" t="s">
        <v>93</v>
      </c>
      <c r="CA5" s="41">
        <v>14</v>
      </c>
      <c r="CB5" s="47">
        <v>114</v>
      </c>
      <c r="CC5" s="46">
        <f>BD[[#This Row],[Precio Unitario 14]]*BD[[#This Row],[Cantidad 14]]</f>
        <v>1596</v>
      </c>
      <c r="CD5" s="38" t="s">
        <v>493</v>
      </c>
      <c r="CE5" s="40">
        <f>BD[[#This Row],[Total]]+BD[[#This Row],[Total 2]]+BD[[#This Row],[Total 3]]+BD[[#This Row],[Total 4]]+BD[[#This Row],[Total 5]]+BD[[#This Row],[Total 6]]+BD[[#This Row],[Tota7]]+BD[[#This Row],[Total 8]]+BD[[#This Row],[Total 9]]+BD[[#This Row],[Total 10]]+BD[[#This Row],[Total 11]]+BD[[#This Row],[Total 12]]+BD[[#This Row],[Total 13]]+BD[[#This Row],[Total  14]]</f>
        <v>35230</v>
      </c>
      <c r="CF5" s="40">
        <f>BD[[#This Row],[Subtotal]]*-16%+BD[[#This Row],[Subtotal]]</f>
        <v>29593.200000000001</v>
      </c>
      <c r="CG5" s="40">
        <f>BD[[#This Row],[Subtotal]]*16%</f>
        <v>5636.8</v>
      </c>
      <c r="CH5" s="40">
        <f>BD[[#This Row],[S/IVA]]+BD[[#This Row],[IVA]]</f>
        <v>35230</v>
      </c>
    </row>
    <row r="6" spans="1:86" x14ac:dyDescent="0.25">
      <c r="A6" s="34"/>
      <c r="B6" s="27" t="s">
        <v>477</v>
      </c>
      <c r="C6" s="27" t="s">
        <v>478</v>
      </c>
      <c r="D6" s="54">
        <v>44742.589548611111</v>
      </c>
      <c r="E6" s="27" t="s">
        <v>417</v>
      </c>
      <c r="F6" s="27" t="s">
        <v>416</v>
      </c>
      <c r="G6" s="27" t="s">
        <v>6</v>
      </c>
      <c r="H6" s="27" t="s">
        <v>476</v>
      </c>
      <c r="I6" s="27" t="s">
        <v>8</v>
      </c>
      <c r="J6" s="27" t="s">
        <v>418</v>
      </c>
      <c r="K6" s="35" t="s">
        <v>55</v>
      </c>
      <c r="L6" s="34" t="s">
        <v>68</v>
      </c>
      <c r="M6" s="27" t="s">
        <v>67</v>
      </c>
      <c r="N6" s="41">
        <v>1</v>
      </c>
      <c r="O6" s="43">
        <v>100</v>
      </c>
      <c r="P6" s="46">
        <f>BD[[#This Row],[Precio Unitario ]]*BD[[#This Row],[Cantidad]]</f>
        <v>100</v>
      </c>
      <c r="Q6" s="34"/>
      <c r="R6" s="27"/>
      <c r="S6" s="41"/>
      <c r="T6" s="47"/>
      <c r="U6" s="46">
        <f>BD[[#This Row],[Precio Unitario 2]]*BD[[#This Row],[Cantidad 2]]</f>
        <v>0</v>
      </c>
      <c r="V6" s="34"/>
      <c r="W6" s="27"/>
      <c r="X6" s="41"/>
      <c r="Y6" s="47"/>
      <c r="Z6" s="46">
        <f>BD[[#This Row],[Precio Unitario 3]]*BD[[#This Row],[Cantidad 3]]</f>
        <v>0</v>
      </c>
      <c r="AA6" s="36"/>
      <c r="AB6" s="37"/>
      <c r="AC6" s="48"/>
      <c r="AD6" s="50"/>
      <c r="AE6" s="52">
        <f>BD[[#This Row],[Precio Unitario 4]]*BD[[#This Row],[Cantidad 4]]</f>
        <v>0</v>
      </c>
      <c r="AF6" s="34"/>
      <c r="AG6" s="27"/>
      <c r="AH6" s="41"/>
      <c r="AI6" s="47"/>
      <c r="AJ6" s="46">
        <f>BD[[#This Row],[Precio Unitario 5]]*BD[[#This Row],[Cantidad 5]]</f>
        <v>0</v>
      </c>
      <c r="AK6" s="34"/>
      <c r="AL6" s="27"/>
      <c r="AM6" s="41"/>
      <c r="AN6" s="47"/>
      <c r="AO6" s="46">
        <f>BD[[#This Row],[Precio Unitario 6]]*BD[[#This Row],[Cantidad 6]]</f>
        <v>0</v>
      </c>
      <c r="AP6" s="34"/>
      <c r="AQ6" s="27"/>
      <c r="AR6" s="41"/>
      <c r="AS6" s="47"/>
      <c r="AT6" s="46">
        <f>BD[[#This Row],[Precio Unitario 7]]*BD[[#This Row],[Cantidad 7]]</f>
        <v>0</v>
      </c>
      <c r="AU6" s="34"/>
      <c r="AV6" s="27"/>
      <c r="AW6" s="41"/>
      <c r="AX6" s="47"/>
      <c r="AY6" s="46">
        <f>BD[[#This Row],[Precio Unitario 8]]*BD[[#This Row],[Cantidad 8]]</f>
        <v>0</v>
      </c>
      <c r="AZ6" s="34"/>
      <c r="BA6" s="27"/>
      <c r="BB6" s="41"/>
      <c r="BC6" s="47"/>
      <c r="BD6" s="46">
        <f>BD[[#This Row],[Precio Unitario 9]]*BD[[#This Row],[Cantidad 9]]</f>
        <v>0</v>
      </c>
      <c r="BE6" s="34"/>
      <c r="BF6" s="27"/>
      <c r="BG6" s="41"/>
      <c r="BH6" s="47"/>
      <c r="BI6" s="46">
        <f>BD[[#This Row],[Precio Unitario 10]]*BD[[#This Row],[Cantidad 10 ]]</f>
        <v>0</v>
      </c>
      <c r="BJ6" s="34"/>
      <c r="BK6" s="27"/>
      <c r="BL6" s="41"/>
      <c r="BM6" s="47"/>
      <c r="BN6" s="46">
        <f>BD[[#This Row],[Precio Unitario 11]]*BD[[#This Row],[Cantidad 11]]</f>
        <v>0</v>
      </c>
      <c r="BO6" s="34"/>
      <c r="BP6" s="27"/>
      <c r="BQ6" s="41"/>
      <c r="BR6" s="47"/>
      <c r="BS6" s="46">
        <f>BD[[#This Row],[Precio Unitario 12]]*BD[[#This Row],[Cantidad 12]]</f>
        <v>0</v>
      </c>
      <c r="BT6" s="34"/>
      <c r="BU6" s="27"/>
      <c r="BV6" s="41"/>
      <c r="BW6" s="47"/>
      <c r="BX6" s="46">
        <f>BD[[#This Row],[Precio Unitario 13]]*BD[[#This Row],[Cantidad 13]]</f>
        <v>0</v>
      </c>
      <c r="BY6" s="34"/>
      <c r="BZ6" s="27"/>
      <c r="CA6" s="41"/>
      <c r="CB6" s="47"/>
      <c r="CC6" s="46">
        <f>BD[[#This Row],[Precio Unitario 14]]*BD[[#This Row],[Cantidad 14]]</f>
        <v>0</v>
      </c>
      <c r="CD6" s="38" t="s">
        <v>479</v>
      </c>
      <c r="CE6" s="40">
        <f>BD[[#This Row],[Total]]+BD[[#This Row],[Total 2]]+BD[[#This Row],[Total 3]]+BD[[#This Row],[Total 4]]+BD[[#This Row],[Total 5]]+BD[[#This Row],[Total 6]]+BD[[#This Row],[Tota7]]+BD[[#This Row],[Total 8]]+BD[[#This Row],[Total 9]]+BD[[#This Row],[Total 10]]+BD[[#This Row],[Total 11]]+BD[[#This Row],[Total 12]]+BD[[#This Row],[Total 13]]+BD[[#This Row],[Total  14]]</f>
        <v>100</v>
      </c>
      <c r="CF6" s="40">
        <f>BD[[#This Row],[Subtotal]]*-16%+BD[[#This Row],[Subtotal]]</f>
        <v>84</v>
      </c>
      <c r="CG6" s="40">
        <f>BD[[#This Row],[Subtotal]]*16%</f>
        <v>16</v>
      </c>
      <c r="CH6" s="40">
        <f>BD[[#This Row],[S/IVA]]+BD[[#This Row],[IVA]]</f>
        <v>100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84A5F-6C69-4759-9D26-A47FC99E9EE8}">
  <sheetPr codeName="Hoja2">
    <tabColor rgb="FF0070C0"/>
  </sheetPr>
  <dimension ref="A1:H36"/>
  <sheetViews>
    <sheetView tabSelected="1" view="pageLayout" topLeftCell="A2" zoomScaleNormal="100" workbookViewId="0">
      <selection activeCell="C9" sqref="C9:E9"/>
    </sheetView>
  </sheetViews>
  <sheetFormatPr baseColWidth="10" defaultRowHeight="15" x14ac:dyDescent="0.25"/>
  <cols>
    <col min="1" max="1" width="5.5703125" customWidth="1"/>
    <col min="2" max="2" width="16.140625" customWidth="1"/>
    <col min="3" max="3" width="10.28515625" style="8" customWidth="1"/>
    <col min="4" max="5" width="10.140625" style="8" customWidth="1"/>
    <col min="6" max="6" width="15.42578125" customWidth="1"/>
    <col min="7" max="7" width="14" customWidth="1"/>
    <col min="8" max="8" width="14.85546875" customWidth="1"/>
  </cols>
  <sheetData>
    <row r="1" spans="1:8" hidden="1" x14ac:dyDescent="0.25"/>
    <row r="2" spans="1:8" ht="15" customHeight="1" x14ac:dyDescent="0.25">
      <c r="A2" s="91"/>
      <c r="B2" s="92"/>
      <c r="C2" s="73" t="s">
        <v>30</v>
      </c>
      <c r="D2" s="74"/>
      <c r="E2" s="74"/>
      <c r="F2" s="74"/>
      <c r="G2" s="74"/>
      <c r="H2" s="75"/>
    </row>
    <row r="3" spans="1:8" ht="15" customHeight="1" x14ac:dyDescent="0.25">
      <c r="A3" s="93"/>
      <c r="B3" s="94"/>
      <c r="C3" s="76"/>
      <c r="D3" s="77"/>
      <c r="E3" s="77"/>
      <c r="F3" s="77"/>
      <c r="G3" s="77"/>
      <c r="H3" s="78"/>
    </row>
    <row r="4" spans="1:8" ht="15.75" customHeight="1" x14ac:dyDescent="0.25">
      <c r="A4" s="93"/>
      <c r="B4" s="94"/>
      <c r="C4" s="79" t="s">
        <v>31</v>
      </c>
      <c r="D4" s="80"/>
      <c r="E4" s="80"/>
      <c r="F4" s="80"/>
      <c r="G4" s="81"/>
      <c r="H4" s="3" t="s">
        <v>29</v>
      </c>
    </row>
    <row r="5" spans="1:8" ht="19.5" customHeight="1" x14ac:dyDescent="0.25">
      <c r="A5" s="93"/>
      <c r="B5" s="94"/>
      <c r="C5" s="82"/>
      <c r="D5" s="83"/>
      <c r="E5" s="83"/>
      <c r="F5" s="83"/>
      <c r="G5" s="84"/>
      <c r="H5" s="57" t="s">
        <v>499</v>
      </c>
    </row>
    <row r="6" spans="1:8" ht="24" customHeight="1" x14ac:dyDescent="0.25">
      <c r="A6" s="95"/>
      <c r="B6" s="96"/>
      <c r="C6" s="85"/>
      <c r="D6" s="86"/>
      <c r="E6" s="86"/>
      <c r="F6" s="86"/>
      <c r="G6" s="87"/>
      <c r="H6" s="1"/>
    </row>
    <row r="7" spans="1:8" ht="15" customHeight="1" x14ac:dyDescent="0.25">
      <c r="A7" s="88"/>
      <c r="B7" s="89"/>
      <c r="C7" s="89"/>
      <c r="D7" s="89"/>
      <c r="E7" s="89"/>
      <c r="F7" s="89"/>
      <c r="G7" s="89"/>
      <c r="H7" s="90"/>
    </row>
    <row r="8" spans="1:8" ht="15" customHeight="1" x14ac:dyDescent="0.25">
      <c r="A8" s="97" t="s">
        <v>32</v>
      </c>
      <c r="B8" s="98"/>
      <c r="C8" s="102" t="s">
        <v>33</v>
      </c>
      <c r="D8" s="103"/>
      <c r="E8" s="104"/>
      <c r="F8" s="64" t="s">
        <v>35</v>
      </c>
      <c r="G8" s="97" t="s">
        <v>34</v>
      </c>
      <c r="H8" s="98"/>
    </row>
    <row r="9" spans="1:8" ht="15" customHeight="1" x14ac:dyDescent="0.25">
      <c r="A9" s="108" t="str">
        <f>IFERROR(VLOOKUP(H5,BASE!C2:CH1048576,3,0),"")</f>
        <v>CLIENTE</v>
      </c>
      <c r="B9" s="109"/>
      <c r="C9" s="105" t="str">
        <f>IFERROR(VLOOKUP(H5,BASE!C2:CH1048576,4,0),"")</f>
        <v>Isaias Montes</v>
      </c>
      <c r="D9" s="106"/>
      <c r="E9" s="107"/>
      <c r="F9" s="56">
        <f>IFERROR(VLOOKUP(H5,BASE!C2:CH1048576,2,0),"")</f>
        <v>44747.397118055553</v>
      </c>
      <c r="G9" s="108">
        <f>IFERROR(VLOOKUP(H5,BASE!C2:CH1048576,5,0),"")</f>
        <v>0</v>
      </c>
      <c r="H9" s="109"/>
    </row>
    <row r="10" spans="1:8" ht="15" customHeight="1" x14ac:dyDescent="0.25">
      <c r="A10" s="97" t="s">
        <v>36</v>
      </c>
      <c r="B10" s="98"/>
      <c r="C10" s="102" t="s">
        <v>37</v>
      </c>
      <c r="D10" s="103"/>
      <c r="E10" s="104"/>
      <c r="F10" s="58" t="s">
        <v>480</v>
      </c>
      <c r="G10" s="97" t="s">
        <v>38</v>
      </c>
      <c r="H10" s="98"/>
    </row>
    <row r="11" spans="1:8" ht="15" customHeight="1" x14ac:dyDescent="0.25">
      <c r="A11" s="108">
        <f>IFERROR(VLOOKUP(H5,BASE!C2:CH1048576,6,0),"")</f>
        <v>0</v>
      </c>
      <c r="B11" s="109"/>
      <c r="C11" s="105">
        <f>IFERROR(VLOOKUP(H5,BASE!C2:CH1048576,7,0),"")</f>
        <v>0</v>
      </c>
      <c r="D11" s="106"/>
      <c r="E11" s="107"/>
      <c r="F11" s="65">
        <f>IFERROR(VLOOKUP(H5,BASE!C2:CH1048576,8,0),"")</f>
        <v>0</v>
      </c>
      <c r="G11" s="108" t="str">
        <f>IFERROR(VLOOKUP(H5,BASE!C2:CH1048576,9,0),"")</f>
        <v>Transferencia Bancaria</v>
      </c>
      <c r="H11" s="109"/>
    </row>
    <row r="12" spans="1:8" ht="15" customHeight="1" x14ac:dyDescent="0.25">
      <c r="A12" s="88"/>
      <c r="B12" s="89"/>
      <c r="C12" s="89"/>
      <c r="D12" s="89"/>
      <c r="E12" s="89"/>
      <c r="F12" s="89"/>
      <c r="G12" s="89"/>
      <c r="H12" s="90"/>
    </row>
    <row r="13" spans="1:8" ht="15" customHeight="1" x14ac:dyDescent="0.25">
      <c r="A13" s="64" t="s">
        <v>39</v>
      </c>
      <c r="B13" s="64" t="s">
        <v>40</v>
      </c>
      <c r="C13" s="102" t="s">
        <v>41</v>
      </c>
      <c r="D13" s="103"/>
      <c r="E13" s="104"/>
      <c r="F13" s="64" t="s">
        <v>42</v>
      </c>
      <c r="G13" s="64" t="s">
        <v>43</v>
      </c>
      <c r="H13" s="64" t="s">
        <v>44</v>
      </c>
    </row>
    <row r="14" spans="1:8" s="8" customFormat="1" ht="21.6" customHeight="1" x14ac:dyDescent="0.25">
      <c r="A14" s="59">
        <v>1</v>
      </c>
      <c r="B14" s="60">
        <f>IFERROR(VLOOKUP(H5,BASE!C2:CH1048576,10,0),"")</f>
        <v>0</v>
      </c>
      <c r="C14" s="99" t="str">
        <f>IFERROR(VLOOKUP(H5,BASE!C2:CH1048576,11,0),"")</f>
        <v>Nota De nota</v>
      </c>
      <c r="D14" s="100"/>
      <c r="E14" s="101"/>
      <c r="F14" s="62">
        <f>IFERROR(VLOOKUP(H5,BASE!C2:CH1048576,12,0),"")</f>
        <v>1</v>
      </c>
      <c r="G14" s="61">
        <f>IFERROR(VLOOKUP(H5,BASE!C2:CH1048576,13,0),"")</f>
        <v>0</v>
      </c>
      <c r="H14" s="61">
        <f>IFERROR(VLOOKUP(H5,BASE!C2:CH1048576,14,0),"")</f>
        <v>0</v>
      </c>
    </row>
    <row r="15" spans="1:8" s="8" customFormat="1" ht="21" customHeight="1" x14ac:dyDescent="0.25">
      <c r="A15" s="59">
        <v>2</v>
      </c>
      <c r="B15" s="60">
        <f>IFERROR(VLOOKUP(H5,BASE!C2:CH1048576,15,0),"")</f>
        <v>0</v>
      </c>
      <c r="C15" s="99" t="str">
        <f>IFERROR(VLOOKUP(H5,BASE!C2:CH1048576,16,0),"")</f>
        <v>DFGHJHGFDSSDFGHJGFVDSDFGHJKJNHGBVFDCSDFGHJKLÑLKJHGFDSDFGHJKL</v>
      </c>
      <c r="D15" s="100"/>
      <c r="E15" s="101"/>
      <c r="F15" s="62">
        <f>IFERROR(VLOOKUP(H5,BASE!C2:CH1048576,17,0),"")</f>
        <v>0</v>
      </c>
      <c r="G15" s="61">
        <f>IFERROR(VLOOKUP(H5,BASE!C2:CH1048576,18,0),"")</f>
        <v>0</v>
      </c>
      <c r="H15" s="61">
        <f>IFERROR(VLOOKUP(H5,BASE!C2:CH1048576,19,0),"")</f>
        <v>0</v>
      </c>
    </row>
    <row r="16" spans="1:8" s="8" customFormat="1" ht="21.6" customHeight="1" x14ac:dyDescent="0.25">
      <c r="A16" s="59">
        <v>3</v>
      </c>
      <c r="B16" s="60">
        <f>IFERROR(VLOOKUP(H5,BASE!C2:CH1048576,20,0),"")</f>
        <v>0</v>
      </c>
      <c r="C16" s="99">
        <f>IFERROR(VLOOKUP(H5,BASE!C2:CH1048576,21,0),"")</f>
        <v>0</v>
      </c>
      <c r="D16" s="100"/>
      <c r="E16" s="101"/>
      <c r="F16" s="62">
        <f>IFERROR(VLOOKUP(H5,BASE!C2:CH1048576,22,0),"")</f>
        <v>0</v>
      </c>
      <c r="G16" s="61">
        <f>IFERROR(VLOOKUP(H5,BASE!C2:CH1048576,23,0),"")</f>
        <v>0</v>
      </c>
      <c r="H16" s="61">
        <f>IFERROR(VLOOKUP(H5,BASE!C2:CH1048576,24,0),"")</f>
        <v>0</v>
      </c>
    </row>
    <row r="17" spans="1:8" s="8" customFormat="1" ht="21.6" customHeight="1" x14ac:dyDescent="0.25">
      <c r="A17" s="59">
        <v>4</v>
      </c>
      <c r="B17" s="60">
        <f>IFERROR(VLOOKUP(H5,BASE!C2:CH1048576,25,0),"")</f>
        <v>0</v>
      </c>
      <c r="C17" s="99">
        <f>IFERROR(VLOOKUP(H5,BASE!C2:CH1048576,26,0),"")</f>
        <v>0</v>
      </c>
      <c r="D17" s="100"/>
      <c r="E17" s="101"/>
      <c r="F17" s="62">
        <f>IFERROR(VLOOKUP(H5,BASE!C2:CH1048576,27,0),"")</f>
        <v>0</v>
      </c>
      <c r="G17" s="61">
        <f>IFERROR(VLOOKUP(H5,BASE!C2:CH1048576,28,0),"")</f>
        <v>0</v>
      </c>
      <c r="H17" s="61">
        <f>IFERROR(VLOOKUP(H5,BASE!C2:CH1048576,29,0),"")</f>
        <v>0</v>
      </c>
    </row>
    <row r="18" spans="1:8" s="8" customFormat="1" ht="21.6" customHeight="1" x14ac:dyDescent="0.25">
      <c r="A18" s="59">
        <v>5</v>
      </c>
      <c r="B18" s="60">
        <f>IFERROR(VLOOKUP(H5,BASE!C2:CH1048576,30,0),"")</f>
        <v>0</v>
      </c>
      <c r="C18" s="99">
        <f>IFERROR(VLOOKUP(H5,BASE!C2:CH1048576,31,0),"")</f>
        <v>0</v>
      </c>
      <c r="D18" s="100"/>
      <c r="E18" s="101"/>
      <c r="F18" s="62">
        <f>IFERROR(VLOOKUP(H5,BASE!C2:CH1048576,32,0),"")</f>
        <v>0</v>
      </c>
      <c r="G18" s="61">
        <f>IFERROR(VLOOKUP(H5,BASE!C2:CH1048576,33,0),"")</f>
        <v>0</v>
      </c>
      <c r="H18" s="61">
        <f>IFERROR(VLOOKUP(H5,BASE!C2:CH1048576,34,0),"")</f>
        <v>0</v>
      </c>
    </row>
    <row r="19" spans="1:8" s="8" customFormat="1" ht="21.6" customHeight="1" x14ac:dyDescent="0.25">
      <c r="A19" s="59">
        <v>6</v>
      </c>
      <c r="B19" s="60">
        <f>IFERROR(VLOOKUP(H5,BASE!C2:CH1048576,35,0),"")</f>
        <v>0</v>
      </c>
      <c r="C19" s="99">
        <f>IFERROR(VLOOKUP(H5,BASE!C2:CH1048576,36,0),"")</f>
        <v>0</v>
      </c>
      <c r="D19" s="100"/>
      <c r="E19" s="101"/>
      <c r="F19" s="62">
        <f>IFERROR(VLOOKUP(H5,BASE!C2:CH1048576,37,0),"")</f>
        <v>0</v>
      </c>
      <c r="G19" s="61">
        <f>IFERROR(VLOOKUP(H5,BASE!C2:CH1048576,38,0),"")</f>
        <v>0</v>
      </c>
      <c r="H19" s="61">
        <f>IFERROR(VLOOKUP(H5,BASE!C2:CH1048576,39,0),"")</f>
        <v>0</v>
      </c>
    </row>
    <row r="20" spans="1:8" s="8" customFormat="1" ht="21.6" customHeight="1" x14ac:dyDescent="0.25">
      <c r="A20" s="59">
        <v>7</v>
      </c>
      <c r="B20" s="60">
        <f>IFERROR(VLOOKUP(H5,BASE!C2:CH1048576,40,0),"")</f>
        <v>0</v>
      </c>
      <c r="C20" s="99">
        <f>IFERROR(VLOOKUP(H5,BASE!C2:CH1048576,41,0),"")</f>
        <v>0</v>
      </c>
      <c r="D20" s="100"/>
      <c r="E20" s="101"/>
      <c r="F20" s="62">
        <f>IFERROR(VLOOKUP(H5,BASE!C2:CH1048576,42,0),"")</f>
        <v>0</v>
      </c>
      <c r="G20" s="61">
        <f>IFERROR(VLOOKUP(H5,BASE!C2:CH1048576,43,0),"")</f>
        <v>0</v>
      </c>
      <c r="H20" s="61">
        <f>IFERROR(VLOOKUP(H5,BASE!C2:CH1048576,44,0),"")</f>
        <v>0</v>
      </c>
    </row>
    <row r="21" spans="1:8" s="8" customFormat="1" ht="21.6" customHeight="1" x14ac:dyDescent="0.25">
      <c r="A21" s="59">
        <v>8</v>
      </c>
      <c r="B21" s="60">
        <f>IFERROR(VLOOKUP(H5,BASE!C2:CH1048576,45,0),"")</f>
        <v>0</v>
      </c>
      <c r="C21" s="99">
        <f>IFERROR(VLOOKUP(H5,BASE!C2:CH1048576,46,0),"")</f>
        <v>0</v>
      </c>
      <c r="D21" s="100"/>
      <c r="E21" s="101"/>
      <c r="F21" s="62">
        <f>IFERROR(VLOOKUP(H5,BASE!C2:CH1048576,47,0),"")</f>
        <v>0</v>
      </c>
      <c r="G21" s="61">
        <f>IFERROR(VLOOKUP(H5,BASE!C2:CH1048576,48,0),"")</f>
        <v>0</v>
      </c>
      <c r="H21" s="61">
        <f>IFERROR(VLOOKUP(H5,BASE!C2:CH1048576,49,0),"")</f>
        <v>0</v>
      </c>
    </row>
    <row r="22" spans="1:8" s="8" customFormat="1" ht="21.6" customHeight="1" x14ac:dyDescent="0.25">
      <c r="A22" s="59">
        <v>9</v>
      </c>
      <c r="B22" s="60">
        <f>IFERROR(VLOOKUP(H5,BASE!C2:CH1048576,50,0),"")</f>
        <v>0</v>
      </c>
      <c r="C22" s="99">
        <f>IFERROR(VLOOKUP(H5,BASE!C2:CH1048576,51,0),"")</f>
        <v>0</v>
      </c>
      <c r="D22" s="100"/>
      <c r="E22" s="101"/>
      <c r="F22" s="62">
        <f>IFERROR(VLOOKUP(H5,BASE!C2:CH1048576,52,0),"")</f>
        <v>0</v>
      </c>
      <c r="G22" s="61">
        <f>IFERROR(VLOOKUP(H5,BASE!C2:CH1048576,53,0),"")</f>
        <v>0</v>
      </c>
      <c r="H22" s="61">
        <f>IFERROR(VLOOKUP(H5,BASE!C2:CH1048576,54,0),"")</f>
        <v>0</v>
      </c>
    </row>
    <row r="23" spans="1:8" s="8" customFormat="1" ht="21.6" customHeight="1" x14ac:dyDescent="0.25">
      <c r="A23" s="59">
        <v>10</v>
      </c>
      <c r="B23" s="60">
        <f>IFERROR(VLOOKUP(H5,BASE!C2:CH1048576,55,0),"")</f>
        <v>0</v>
      </c>
      <c r="C23" s="99">
        <f>IFERROR(VLOOKUP(H5,BASE!C2:CH1048576,56,0),"")</f>
        <v>0</v>
      </c>
      <c r="D23" s="100"/>
      <c r="E23" s="101"/>
      <c r="F23" s="62">
        <f>IFERROR(VLOOKUP(H5,BASE!C2:CH1048576,57,0),"")</f>
        <v>0</v>
      </c>
      <c r="G23" s="61">
        <f>IFERROR(VLOOKUP(H5,BASE!C2:CH1048576,58,0),"")</f>
        <v>0</v>
      </c>
      <c r="H23" s="61">
        <f>IFERROR(VLOOKUP(H5,BASE!C2:CH1048576,59,0),"")</f>
        <v>0</v>
      </c>
    </row>
    <row r="24" spans="1:8" s="8" customFormat="1" ht="21.6" customHeight="1" x14ac:dyDescent="0.25">
      <c r="A24" s="59">
        <v>11</v>
      </c>
      <c r="B24" s="60">
        <f>IFERROR(VLOOKUP(H5,BASE!C2:CH1048576,60,0),"")</f>
        <v>0</v>
      </c>
      <c r="C24" s="99">
        <f>IFERROR(VLOOKUP(H5,BASE!C2:CH1048576,61,0),"")</f>
        <v>0</v>
      </c>
      <c r="D24" s="100"/>
      <c r="E24" s="101"/>
      <c r="F24" s="62">
        <f>IFERROR(VLOOKUP(H5,BASE!C2:CH1048576,62,0),"")</f>
        <v>0</v>
      </c>
      <c r="G24" s="61">
        <f>IFERROR(VLOOKUP(H5,BASE!C2:CH1048576,63,0),"")</f>
        <v>0</v>
      </c>
      <c r="H24" s="61">
        <f>IFERROR(VLOOKUP(H5,BASE!C2:CH1048576,64,0),"")</f>
        <v>0</v>
      </c>
    </row>
    <row r="25" spans="1:8" s="8" customFormat="1" ht="21.6" customHeight="1" x14ac:dyDescent="0.25">
      <c r="A25" s="59">
        <v>12</v>
      </c>
      <c r="B25" s="60">
        <f>IFERROR(VLOOKUP(H5,BASE!C2:CH1048576,65,0),"")</f>
        <v>0</v>
      </c>
      <c r="C25" s="99">
        <f>IFERROR(VLOOKUP(H5,BASE!C2:CH1048576,66,0),"")</f>
        <v>0</v>
      </c>
      <c r="D25" s="100"/>
      <c r="E25" s="101"/>
      <c r="F25" s="62">
        <f>IFERROR(VLOOKUP(H5,BASE!C2:CH1048576,67,0),"")</f>
        <v>0</v>
      </c>
      <c r="G25" s="61">
        <f>IFERROR(VLOOKUP(H5,BASE!C2:CH1048576,68,0),"")</f>
        <v>0</v>
      </c>
      <c r="H25" s="61">
        <f>IFERROR(VLOOKUP(H5,BASE!C2:CH1048576,69,0),"")</f>
        <v>0</v>
      </c>
    </row>
    <row r="26" spans="1:8" s="8" customFormat="1" ht="21.6" customHeight="1" x14ac:dyDescent="0.25">
      <c r="A26" s="59">
        <v>13</v>
      </c>
      <c r="B26" s="60">
        <f>IFERROR(VLOOKUP(H5,BASE!C2:CH1048576,70,0),"")</f>
        <v>0</v>
      </c>
      <c r="C26" s="99">
        <f>IFERROR(VLOOKUP(H5,BASE!C2:CH1048576,71,0),"")</f>
        <v>0</v>
      </c>
      <c r="D26" s="100"/>
      <c r="E26" s="101"/>
      <c r="F26" s="62">
        <f>IFERROR(VLOOKUP(H5,BASE!C2:CH1048576,72,0),"")</f>
        <v>0</v>
      </c>
      <c r="G26" s="61">
        <f>IFERROR(VLOOKUP(H5,BASE!C2:CH1048576,73,0),"")</f>
        <v>0</v>
      </c>
      <c r="H26" s="61">
        <f>IFERROR(VLOOKUP(H5,BASE!C2:CH1048576,74,0),"")</f>
        <v>0</v>
      </c>
    </row>
    <row r="27" spans="1:8" s="8" customFormat="1" ht="21.6" customHeight="1" x14ac:dyDescent="0.25">
      <c r="A27" s="59">
        <v>14</v>
      </c>
      <c r="B27" s="60">
        <f>IFERROR(VLOOKUP(H5,BASE!C2:CH1048576,75,0),"")</f>
        <v>0</v>
      </c>
      <c r="C27" s="99">
        <f>IFERROR(VLOOKUP(H5,BASE!C2:CH1048576,76,0),"")</f>
        <v>0</v>
      </c>
      <c r="D27" s="100"/>
      <c r="E27" s="101"/>
      <c r="F27" s="62">
        <f>IFERROR(VLOOKUP(H5,BASE!C2:CH1048576,77,0),"")</f>
        <v>0</v>
      </c>
      <c r="G27" s="61">
        <f>IFERROR(VLOOKUP(H5,BASE!C2:CH1048576,78,0),"")</f>
        <v>0</v>
      </c>
      <c r="H27" s="61">
        <f>IFERROR(VLOOKUP(H5,BASE!C2:CH1048576,79,0),"")</f>
        <v>0</v>
      </c>
    </row>
    <row r="28" spans="1:8" ht="15" customHeight="1" x14ac:dyDescent="0.25">
      <c r="A28" s="112" t="s">
        <v>46</v>
      </c>
      <c r="B28" s="113"/>
      <c r="C28" s="113"/>
      <c r="D28" s="113"/>
      <c r="E28" s="113"/>
      <c r="F28" s="113"/>
      <c r="G28" s="113"/>
      <c r="H28" s="114"/>
    </row>
    <row r="29" spans="1:8" ht="15" customHeight="1" x14ac:dyDescent="0.25">
      <c r="A29" s="115">
        <f>IFERROR(VLOOKUP(H5,BASE!C2:CH1048576,80,0),"")</f>
        <v>0</v>
      </c>
      <c r="B29" s="116"/>
      <c r="C29" s="116"/>
      <c r="D29" s="116"/>
      <c r="E29" s="116"/>
      <c r="F29" s="116"/>
      <c r="G29" s="116"/>
      <c r="H29" s="117"/>
    </row>
    <row r="30" spans="1:8" ht="15" customHeight="1" x14ac:dyDescent="0.25">
      <c r="A30" s="118"/>
      <c r="B30" s="119"/>
      <c r="C30" s="119"/>
      <c r="D30" s="119"/>
      <c r="E30" s="119"/>
      <c r="F30" s="119"/>
      <c r="G30" s="119"/>
      <c r="H30" s="120"/>
    </row>
    <row r="31" spans="1:8" ht="15" customHeight="1" x14ac:dyDescent="0.25">
      <c r="A31" s="121"/>
      <c r="B31" s="122"/>
      <c r="C31" s="122"/>
      <c r="D31" s="122"/>
      <c r="E31" s="122"/>
      <c r="F31" s="122"/>
      <c r="G31" s="122"/>
      <c r="H31" s="123"/>
    </row>
    <row r="32" spans="1:8" ht="20.85" customHeight="1" x14ac:dyDescent="0.25">
      <c r="A32" s="124" t="s">
        <v>45</v>
      </c>
      <c r="B32" s="125"/>
      <c r="C32" s="125"/>
      <c r="D32" s="125"/>
      <c r="E32" s="125"/>
      <c r="F32" s="126"/>
      <c r="G32" s="4" t="s">
        <v>47</v>
      </c>
      <c r="H32" s="5">
        <f>IFERROR(VLOOKUP(H5,BASE!C2:CH1048576,81,0),"")</f>
        <v>0</v>
      </c>
    </row>
    <row r="33" spans="1:8" ht="20.85" customHeight="1" x14ac:dyDescent="0.25">
      <c r="A33" s="127"/>
      <c r="B33" s="128"/>
      <c r="C33" s="128"/>
      <c r="D33" s="128"/>
      <c r="E33" s="128"/>
      <c r="F33" s="129"/>
      <c r="G33" s="4" t="s">
        <v>18</v>
      </c>
      <c r="H33" s="5">
        <f>IFERROR(VLOOKUP(H5,BASE!C2:CH1048576,82,0),"")</f>
        <v>0</v>
      </c>
    </row>
    <row r="34" spans="1:8" ht="20.85" customHeight="1" x14ac:dyDescent="0.25">
      <c r="A34" s="127"/>
      <c r="B34" s="128"/>
      <c r="C34" s="128"/>
      <c r="D34" s="128"/>
      <c r="E34" s="128"/>
      <c r="F34" s="129"/>
      <c r="G34" s="4" t="s">
        <v>19</v>
      </c>
      <c r="H34" s="5">
        <f>IFERROR(VLOOKUP(H5,BASE!C2:CH1048576,83,0),"")</f>
        <v>0</v>
      </c>
    </row>
    <row r="35" spans="1:8" ht="20.85" customHeight="1" x14ac:dyDescent="0.25">
      <c r="A35" s="127"/>
      <c r="B35" s="128"/>
      <c r="C35" s="128"/>
      <c r="D35" s="128"/>
      <c r="E35" s="128"/>
      <c r="F35" s="129"/>
      <c r="G35" s="133" t="s">
        <v>48</v>
      </c>
      <c r="H35" s="110">
        <f>IFERROR(VLOOKUP(H5,BASE!C2:CH1048576,84,0),"")</f>
        <v>0</v>
      </c>
    </row>
    <row r="36" spans="1:8" ht="20.85" customHeight="1" x14ac:dyDescent="0.25">
      <c r="A36" s="130"/>
      <c r="B36" s="131"/>
      <c r="C36" s="131"/>
      <c r="D36" s="131"/>
      <c r="E36" s="131"/>
      <c r="F36" s="132"/>
      <c r="G36" s="134"/>
      <c r="H36" s="111"/>
    </row>
  </sheetData>
  <mergeCells count="37">
    <mergeCell ref="C16:E16"/>
    <mergeCell ref="C17:E17"/>
    <mergeCell ref="H35:H36"/>
    <mergeCell ref="A28:H28"/>
    <mergeCell ref="A29:H31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A32:F36"/>
    <mergeCell ref="G35:G36"/>
    <mergeCell ref="C18:E18"/>
    <mergeCell ref="A12:H12"/>
    <mergeCell ref="C8:E8"/>
    <mergeCell ref="C10:E10"/>
    <mergeCell ref="C9:E9"/>
    <mergeCell ref="C11:E11"/>
    <mergeCell ref="G8:H8"/>
    <mergeCell ref="G9:H9"/>
    <mergeCell ref="G10:H10"/>
    <mergeCell ref="G11:H11"/>
    <mergeCell ref="A10:B10"/>
    <mergeCell ref="A9:B9"/>
    <mergeCell ref="A11:B11"/>
    <mergeCell ref="C13:E13"/>
    <mergeCell ref="C14:E14"/>
    <mergeCell ref="C15:E15"/>
    <mergeCell ref="C2:H3"/>
    <mergeCell ref="C4:G6"/>
    <mergeCell ref="A7:H7"/>
    <mergeCell ref="A2:B6"/>
    <mergeCell ref="A8:B8"/>
  </mergeCells>
  <pageMargins left="0.43307086614173201" right="0.43307086614173201" top="0.55118110236220497" bottom="0.55118110236220497" header="0.31496062992126" footer="0.31496062992126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6B7B6-6B00-4675-9D9A-E9E5C07FD655}">
  <sheetPr codeName="Hoja3">
    <tabColor theme="0" tint="-0.499984740745262"/>
  </sheetPr>
  <dimension ref="A1:N5"/>
  <sheetViews>
    <sheetView workbookViewId="0">
      <selection activeCell="C12" sqref="C12"/>
    </sheetView>
  </sheetViews>
  <sheetFormatPr baseColWidth="10" defaultRowHeight="15" x14ac:dyDescent="0.25"/>
  <cols>
    <col min="1" max="1" width="24.140625" customWidth="1"/>
    <col min="2" max="2" width="88.7109375" customWidth="1"/>
    <col min="3" max="3" width="18.28515625" customWidth="1"/>
    <col min="4" max="4" width="22.7109375" style="26" customWidth="1"/>
    <col min="12" max="12" width="15.42578125" customWidth="1"/>
    <col min="14" max="14" width="15.85546875" customWidth="1"/>
  </cols>
  <sheetData>
    <row r="1" spans="1:14" ht="30" customHeight="1" x14ac:dyDescent="0.25">
      <c r="A1" s="24" t="s">
        <v>49</v>
      </c>
      <c r="B1" s="25" t="s">
        <v>41</v>
      </c>
      <c r="C1" s="25" t="s">
        <v>42</v>
      </c>
      <c r="D1" s="66" t="s">
        <v>50</v>
      </c>
      <c r="E1" s="25" t="s">
        <v>501</v>
      </c>
      <c r="F1" s="25" t="s">
        <v>4</v>
      </c>
      <c r="G1" s="25" t="s">
        <v>417</v>
      </c>
      <c r="H1" s="25" t="s">
        <v>5</v>
      </c>
      <c r="I1" s="25" t="s">
        <v>6</v>
      </c>
      <c r="J1" s="25" t="s">
        <v>7</v>
      </c>
      <c r="K1" s="25" t="s">
        <v>8</v>
      </c>
      <c r="L1" s="25" t="s">
        <v>502</v>
      </c>
      <c r="M1" s="25" t="s">
        <v>503</v>
      </c>
      <c r="N1" s="25" t="s">
        <v>504</v>
      </c>
    </row>
    <row r="2" spans="1:14" x14ac:dyDescent="0.25">
      <c r="A2" s="1"/>
      <c r="B2" s="1"/>
      <c r="C2" s="1"/>
      <c r="D2" s="67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 t="s">
        <v>356</v>
      </c>
      <c r="B3" s="1" t="s">
        <v>355</v>
      </c>
      <c r="C3" s="1">
        <v>4</v>
      </c>
      <c r="D3" s="67">
        <v>11000</v>
      </c>
      <c r="E3" s="1" t="s">
        <v>496</v>
      </c>
      <c r="F3" s="1" t="s">
        <v>510</v>
      </c>
      <c r="G3" s="1" t="s">
        <v>507</v>
      </c>
      <c r="H3" s="1" t="s">
        <v>416</v>
      </c>
      <c r="I3" s="1" t="s">
        <v>508</v>
      </c>
      <c r="J3" s="1"/>
      <c r="K3" s="1" t="s">
        <v>509</v>
      </c>
      <c r="L3" s="1"/>
      <c r="M3" s="1" t="s">
        <v>55</v>
      </c>
      <c r="N3" s="1"/>
    </row>
    <row r="4" spans="1:14" x14ac:dyDescent="0.25">
      <c r="A4" s="1" t="s">
        <v>140</v>
      </c>
      <c r="B4" s="1" t="s">
        <v>139</v>
      </c>
      <c r="C4" s="1">
        <v>4</v>
      </c>
      <c r="D4" s="67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68"/>
      <c r="E5" s="1"/>
      <c r="F5" s="1"/>
      <c r="G5" s="1"/>
      <c r="H5" s="1"/>
      <c r="I5" s="1"/>
      <c r="J5" s="1"/>
      <c r="K5" s="1"/>
      <c r="L5" s="1"/>
      <c r="M5" s="1"/>
      <c r="N5" s="1"/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4DD24-6611-406D-A524-BAB61AE924EB}">
  <sheetPr codeName="Hoja4">
    <tabColor theme="1"/>
  </sheetPr>
  <dimension ref="A1:D4"/>
  <sheetViews>
    <sheetView workbookViewId="0">
      <selection activeCell="A4" sqref="A4"/>
    </sheetView>
  </sheetViews>
  <sheetFormatPr baseColWidth="10" defaultRowHeight="15" x14ac:dyDescent="0.25"/>
  <cols>
    <col min="1" max="1" width="7.7109375" style="15" customWidth="1"/>
    <col min="2" max="2" width="35.140625" style="15" customWidth="1"/>
    <col min="3" max="3" width="42.5703125" style="15" customWidth="1"/>
    <col min="4" max="4" width="57.28515625" style="15" customWidth="1"/>
    <col min="5" max="5" width="34.42578125" customWidth="1"/>
  </cols>
  <sheetData>
    <row r="1" spans="1:4" ht="15.75" thickBot="1" x14ac:dyDescent="0.3">
      <c r="A1" s="7" t="s">
        <v>53</v>
      </c>
      <c r="B1" s="7" t="s">
        <v>51</v>
      </c>
      <c r="C1" s="6" t="s">
        <v>52</v>
      </c>
      <c r="D1" s="7" t="s">
        <v>481</v>
      </c>
    </row>
    <row r="2" spans="1:4" x14ac:dyDescent="0.25">
      <c r="A2" s="13"/>
      <c r="B2" s="13"/>
      <c r="C2" s="23"/>
    </row>
    <row r="3" spans="1:4" x14ac:dyDescent="0.25">
      <c r="A3" s="22">
        <v>1</v>
      </c>
      <c r="B3" s="13" t="s">
        <v>416</v>
      </c>
      <c r="C3" s="4"/>
    </row>
    <row r="4" spans="1:4" x14ac:dyDescent="0.25">
      <c r="A4" s="14"/>
      <c r="B4" s="14"/>
      <c r="C4" s="4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8EEFE-0737-433F-8008-D9CF267CC523}">
  <sheetPr codeName="Hoja6">
    <tabColor theme="1"/>
  </sheetPr>
  <dimension ref="A1:A4"/>
  <sheetViews>
    <sheetView workbookViewId="0">
      <selection activeCell="F18" sqref="F18"/>
    </sheetView>
  </sheetViews>
  <sheetFormatPr baseColWidth="10" defaultRowHeight="15" x14ac:dyDescent="0.25"/>
  <cols>
    <col min="1" max="1" width="35.140625" customWidth="1"/>
  </cols>
  <sheetData>
    <row r="1" spans="1:1" ht="15.75" thickBot="1" x14ac:dyDescent="0.3">
      <c r="A1" s="7" t="s">
        <v>51</v>
      </c>
    </row>
    <row r="2" spans="1:1" x14ac:dyDescent="0.25">
      <c r="A2" s="18"/>
    </row>
    <row r="3" spans="1:1" x14ac:dyDescent="0.25">
      <c r="A3" s="17" t="s">
        <v>55</v>
      </c>
    </row>
    <row r="4" spans="1:1" x14ac:dyDescent="0.25">
      <c r="A4" s="16" t="s">
        <v>56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D037-D546-43EB-B14F-AB3888CA1A0A}">
  <sheetPr codeName="Hoja5">
    <tabColor rgb="FF7030A0"/>
  </sheetPr>
  <dimension ref="A1:L250"/>
  <sheetViews>
    <sheetView topLeftCell="A130" workbookViewId="0">
      <selection activeCell="A6" sqref="A6"/>
    </sheetView>
  </sheetViews>
  <sheetFormatPr baseColWidth="10" defaultRowHeight="15" x14ac:dyDescent="0.25"/>
  <cols>
    <col min="1" max="1" width="54" style="8" customWidth="1"/>
    <col min="2" max="2" width="9" customWidth="1"/>
    <col min="3" max="3" width="20.28515625" customWidth="1"/>
    <col min="4" max="4" width="16" customWidth="1"/>
    <col min="5" max="5" width="14" customWidth="1"/>
    <col min="6" max="6" width="13.28515625" customWidth="1"/>
    <col min="7" max="7" width="12.5703125" customWidth="1"/>
    <col min="8" max="8" width="13.5703125" customWidth="1"/>
    <col min="9" max="9" width="16.85546875" customWidth="1"/>
    <col min="10" max="10" width="15.5703125" customWidth="1"/>
    <col min="11" max="11" width="14.28515625" customWidth="1"/>
    <col min="12" max="12" width="87.5703125" customWidth="1"/>
  </cols>
  <sheetData>
    <row r="1" spans="1:12" ht="30" x14ac:dyDescent="0.25">
      <c r="A1" s="19" t="s">
        <v>57</v>
      </c>
      <c r="B1" s="19" t="s">
        <v>53</v>
      </c>
      <c r="C1" s="19" t="s">
        <v>58</v>
      </c>
      <c r="D1" s="19" t="s">
        <v>59</v>
      </c>
      <c r="E1" s="19" t="s">
        <v>60</v>
      </c>
      <c r="F1" s="19" t="s">
        <v>61</v>
      </c>
      <c r="G1" s="19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54</v>
      </c>
    </row>
    <row r="2" spans="1:12" x14ac:dyDescent="0.25">
      <c r="A2" s="2"/>
      <c r="B2" s="14">
        <f>ROW(B1)</f>
        <v>1</v>
      </c>
      <c r="C2" s="20"/>
      <c r="D2" s="20"/>
      <c r="E2" s="20"/>
      <c r="F2" s="20"/>
      <c r="G2" s="20"/>
      <c r="H2" s="20"/>
      <c r="I2" s="69"/>
      <c r="J2" s="69"/>
      <c r="K2" s="69"/>
      <c r="L2" s="69"/>
    </row>
    <row r="3" spans="1:12" x14ac:dyDescent="0.25">
      <c r="A3" s="21" t="s">
        <v>67</v>
      </c>
      <c r="B3" s="22">
        <f t="shared" ref="B3:B66" si="0">ROW(B2)</f>
        <v>2</v>
      </c>
      <c r="C3" s="1" t="s">
        <v>68</v>
      </c>
      <c r="D3" s="1" t="s">
        <v>69</v>
      </c>
      <c r="E3" s="1" t="s">
        <v>70</v>
      </c>
      <c r="F3" s="1" t="s">
        <v>71</v>
      </c>
      <c r="G3" s="1">
        <v>2</v>
      </c>
      <c r="H3" s="1" t="s">
        <v>72</v>
      </c>
      <c r="I3" s="70">
        <f>'[1]Tabla de Precios'!K2</f>
        <v>499.16666731558331</v>
      </c>
      <c r="J3" s="70">
        <f>'[1]Tabla de Precios'!L2</f>
        <v>900.26400104034326</v>
      </c>
      <c r="K3" s="70">
        <f>'[1]Tabla de Precios'!M2</f>
        <v>599.00000077870004</v>
      </c>
      <c r="L3" s="70" t="s">
        <v>511</v>
      </c>
    </row>
    <row r="4" spans="1:12" x14ac:dyDescent="0.25">
      <c r="A4" s="21" t="s">
        <v>73</v>
      </c>
      <c r="B4" s="22">
        <v>3</v>
      </c>
      <c r="C4" s="1" t="s">
        <v>487</v>
      </c>
      <c r="D4" s="1" t="s">
        <v>69</v>
      </c>
      <c r="E4" s="1" t="s">
        <v>74</v>
      </c>
      <c r="F4" s="1" t="s">
        <v>71</v>
      </c>
      <c r="G4" s="1">
        <v>6</v>
      </c>
      <c r="H4" s="1" t="s">
        <v>72</v>
      </c>
      <c r="I4" s="70">
        <f>'[1]Tabla de Precios'!K3</f>
        <v>1040.8333346864165</v>
      </c>
      <c r="J4" s="70">
        <f>'[1]Tabla de Precios'!L3</f>
        <v>1768.6640021692629</v>
      </c>
      <c r="K4" s="70">
        <f>'[1]Tabla de Precios'!M3</f>
        <v>1249.0000016236997</v>
      </c>
      <c r="L4" s="70" t="s">
        <v>512</v>
      </c>
    </row>
    <row r="5" spans="1:12" x14ac:dyDescent="0.25">
      <c r="A5" s="21" t="s">
        <v>75</v>
      </c>
      <c r="B5" s="22">
        <f t="shared" si="0"/>
        <v>4</v>
      </c>
      <c r="C5" s="1" t="s">
        <v>488</v>
      </c>
      <c r="D5" s="1" t="s">
        <v>69</v>
      </c>
      <c r="E5" s="1" t="s">
        <v>76</v>
      </c>
      <c r="F5" s="1" t="s">
        <v>71</v>
      </c>
      <c r="G5" s="1">
        <v>2</v>
      </c>
      <c r="H5" s="1" t="s">
        <v>77</v>
      </c>
      <c r="I5" s="70">
        <f>'[1]Tabla de Precios'!K4</f>
        <v>1666.6583354999852</v>
      </c>
      <c r="J5" s="70">
        <f>'[1]Tabla de Precios'!L4</f>
        <v>2771.9866434735764</v>
      </c>
      <c r="K5" s="70">
        <f>'[1]Tabla de Precios'!M4</f>
        <v>1999.9900025999823</v>
      </c>
      <c r="L5" s="70" t="s">
        <v>513</v>
      </c>
    </row>
    <row r="6" spans="1:12" x14ac:dyDescent="0.25">
      <c r="A6" s="21" t="s">
        <v>78</v>
      </c>
      <c r="B6" s="22">
        <f t="shared" si="0"/>
        <v>5</v>
      </c>
      <c r="C6" s="1" t="s">
        <v>482</v>
      </c>
      <c r="D6" s="1" t="s">
        <v>69</v>
      </c>
      <c r="E6" s="1" t="s">
        <v>79</v>
      </c>
      <c r="F6" s="1" t="s">
        <v>71</v>
      </c>
      <c r="G6" s="1">
        <v>2</v>
      </c>
      <c r="H6" s="1" t="s">
        <v>72</v>
      </c>
      <c r="I6" s="70">
        <f>'[1]Tabla de Precios'!K5</f>
        <v>1666.6583354999893</v>
      </c>
      <c r="J6" s="70">
        <f>'[1]Tabla de Precios'!L5</f>
        <v>2771.9866434735832</v>
      </c>
      <c r="K6" s="70">
        <f>'[1]Tabla de Precios'!M5</f>
        <v>1999.9900025999873</v>
      </c>
      <c r="L6" s="70" t="s">
        <v>514</v>
      </c>
    </row>
    <row r="7" spans="1:12" x14ac:dyDescent="0.25">
      <c r="A7" s="21" t="s">
        <v>80</v>
      </c>
      <c r="B7" s="22">
        <f t="shared" si="0"/>
        <v>6</v>
      </c>
      <c r="C7" s="1" t="s">
        <v>489</v>
      </c>
      <c r="D7" s="1" t="s">
        <v>69</v>
      </c>
      <c r="E7" s="1" t="s">
        <v>70</v>
      </c>
      <c r="F7" s="1" t="s">
        <v>71</v>
      </c>
      <c r="G7" s="1">
        <v>0</v>
      </c>
      <c r="H7" s="1" t="s">
        <v>72</v>
      </c>
      <c r="I7" s="70">
        <f>'[1]Tabla de Precios'!K6</f>
        <v>458.33333392916671</v>
      </c>
      <c r="J7" s="70">
        <f>'[1]Tabla de Precios'!L6</f>
        <v>834.80000095524008</v>
      </c>
      <c r="K7" s="70">
        <f>'[1]Tabla de Precios'!M6</f>
        <v>550.00000071500006</v>
      </c>
      <c r="L7" s="70"/>
    </row>
    <row r="8" spans="1:12" x14ac:dyDescent="0.25">
      <c r="A8" s="21" t="s">
        <v>81</v>
      </c>
      <c r="B8" s="22">
        <f t="shared" si="0"/>
        <v>7</v>
      </c>
      <c r="C8" s="1" t="s">
        <v>483</v>
      </c>
      <c r="D8" s="1" t="s">
        <v>69</v>
      </c>
      <c r="E8" s="1"/>
      <c r="F8" s="1" t="s">
        <v>71</v>
      </c>
      <c r="G8" s="1">
        <v>0</v>
      </c>
      <c r="H8" s="1" t="s">
        <v>72</v>
      </c>
      <c r="I8" s="70">
        <f>'[1]Tabla de Precios'!K7</f>
        <v>287.29000014364499</v>
      </c>
      <c r="J8" s="70">
        <f>'[1]Tabla de Precios'!L7</f>
        <v>560.58332823029161</v>
      </c>
      <c r="K8" s="70">
        <f>'[1]Tabla de Precios'!M7</f>
        <v>344.74800017237396</v>
      </c>
      <c r="L8" s="70"/>
    </row>
    <row r="9" spans="1:12" x14ac:dyDescent="0.25">
      <c r="A9" s="21" t="s">
        <v>82</v>
      </c>
      <c r="B9" s="22">
        <f t="shared" si="0"/>
        <v>8</v>
      </c>
      <c r="C9" s="1" t="s">
        <v>490</v>
      </c>
      <c r="D9" s="1" t="s">
        <v>69</v>
      </c>
      <c r="E9" s="1" t="s">
        <v>70</v>
      </c>
      <c r="F9" s="1" t="s">
        <v>71</v>
      </c>
      <c r="G9" s="1">
        <v>0</v>
      </c>
      <c r="H9" s="1" t="s">
        <v>72</v>
      </c>
      <c r="I9" s="70">
        <f>'[1]Tabla de Precios'!K8</f>
        <v>458.33333379166675</v>
      </c>
      <c r="J9" s="70">
        <f>'[1]Tabla de Precios'!L8</f>
        <v>834.80000073480016</v>
      </c>
      <c r="K9" s="70">
        <f>'[1]Tabla de Precios'!M8</f>
        <v>550.0000005500001</v>
      </c>
      <c r="L9" s="70"/>
    </row>
    <row r="10" spans="1:12" x14ac:dyDescent="0.25">
      <c r="A10" s="21" t="s">
        <v>83</v>
      </c>
      <c r="B10" s="22">
        <f t="shared" si="0"/>
        <v>9</v>
      </c>
      <c r="C10" s="1" t="s">
        <v>84</v>
      </c>
      <c r="D10" s="1" t="s">
        <v>69</v>
      </c>
      <c r="E10" s="1" t="s">
        <v>70</v>
      </c>
      <c r="F10" s="1" t="s">
        <v>71</v>
      </c>
      <c r="G10" s="1">
        <v>1</v>
      </c>
      <c r="H10" s="1" t="s">
        <v>72</v>
      </c>
      <c r="I10" s="70">
        <f>'[1]Tabla de Precios'!K9</f>
        <v>517.52000025876009</v>
      </c>
      <c r="J10" s="70">
        <f>'[1]Tabla de Precios'!L9</f>
        <v>929.68806441484412</v>
      </c>
      <c r="K10" s="70">
        <f>'[1]Tabla de Precios'!M9</f>
        <v>621.02400031051206</v>
      </c>
      <c r="L10" s="70"/>
    </row>
    <row r="11" spans="1:12" x14ac:dyDescent="0.25">
      <c r="A11" s="21" t="s">
        <v>85</v>
      </c>
      <c r="B11" s="22">
        <f t="shared" si="0"/>
        <v>10</v>
      </c>
      <c r="C11" s="1" t="s">
        <v>86</v>
      </c>
      <c r="D11" s="1" t="s">
        <v>69</v>
      </c>
      <c r="E11" s="1" t="s">
        <v>70</v>
      </c>
      <c r="F11" s="1" t="s">
        <v>71</v>
      </c>
      <c r="G11" s="1">
        <v>1</v>
      </c>
      <c r="H11" s="1" t="s">
        <v>72</v>
      </c>
      <c r="I11" s="70">
        <f>'[1]Tabla de Precios'!K10</f>
        <v>517.52000025876009</v>
      </c>
      <c r="J11" s="70">
        <f>'[1]Tabla de Precios'!L10</f>
        <v>929.68806441484412</v>
      </c>
      <c r="K11" s="70">
        <f>'[1]Tabla de Precios'!M10</f>
        <v>1242.0480006210241</v>
      </c>
      <c r="L11" s="70"/>
    </row>
    <row r="12" spans="1:12" ht="30" x14ac:dyDescent="0.25">
      <c r="A12" s="21" t="s">
        <v>87</v>
      </c>
      <c r="B12" s="22">
        <f t="shared" si="0"/>
        <v>11</v>
      </c>
      <c r="C12" s="1" t="s">
        <v>484</v>
      </c>
      <c r="D12" s="1" t="s">
        <v>69</v>
      </c>
      <c r="E12" s="1" t="s">
        <v>79</v>
      </c>
      <c r="F12" s="1" t="s">
        <v>71</v>
      </c>
      <c r="G12" s="1">
        <v>4</v>
      </c>
      <c r="H12" s="1" t="s">
        <v>72</v>
      </c>
      <c r="I12" s="70">
        <f>'[1]Tabla de Precios'!K11</f>
        <v>417.11000020855499</v>
      </c>
      <c r="J12" s="70">
        <f>'[1]Tabla de Precios'!L11</f>
        <v>768.71075233435533</v>
      </c>
      <c r="K12" s="70">
        <f>'[1]Tabla de Precios'!M11</f>
        <v>500.53200025026598</v>
      </c>
      <c r="L12" s="70"/>
    </row>
    <row r="13" spans="1:12" ht="30" x14ac:dyDescent="0.25">
      <c r="A13" s="21" t="s">
        <v>88</v>
      </c>
      <c r="B13" s="22">
        <f t="shared" si="0"/>
        <v>12</v>
      </c>
      <c r="C13" s="1" t="s">
        <v>485</v>
      </c>
      <c r="D13" s="1" t="s">
        <v>69</v>
      </c>
      <c r="E13" s="1" t="s">
        <v>79</v>
      </c>
      <c r="F13" s="1" t="s">
        <v>71</v>
      </c>
      <c r="G13" s="1">
        <v>6</v>
      </c>
      <c r="H13" s="1" t="s">
        <v>72</v>
      </c>
      <c r="I13" s="70">
        <f>'[1]Tabla de Precios'!K12</f>
        <v>417.11000020855499</v>
      </c>
      <c r="J13" s="70">
        <f>'[1]Tabla de Precios'!L12</f>
        <v>768.71075233435533</v>
      </c>
      <c r="K13" s="70">
        <f>'[1]Tabla de Precios'!M12</f>
        <v>500.53200025026598</v>
      </c>
      <c r="L13" s="70"/>
    </row>
    <row r="14" spans="1:12" ht="30" x14ac:dyDescent="0.25">
      <c r="A14" s="21" t="s">
        <v>89</v>
      </c>
      <c r="B14" s="22">
        <f t="shared" si="0"/>
        <v>13</v>
      </c>
      <c r="C14" s="1" t="s">
        <v>90</v>
      </c>
      <c r="D14" s="1" t="s">
        <v>69</v>
      </c>
      <c r="E14" s="1" t="s">
        <v>70</v>
      </c>
      <c r="F14" s="1" t="s">
        <v>71</v>
      </c>
      <c r="G14" s="1">
        <v>5</v>
      </c>
      <c r="H14" s="1" t="s">
        <v>72</v>
      </c>
      <c r="I14" s="70">
        <f>'[1]Tabla de Precios'!K13</f>
        <v>417.11000020855499</v>
      </c>
      <c r="J14" s="70">
        <f>'[1]Tabla de Precios'!L13</f>
        <v>768.71075233435533</v>
      </c>
      <c r="K14" s="70">
        <f>'[1]Tabla de Precios'!M13</f>
        <v>500.53200025026598</v>
      </c>
      <c r="L14" s="70"/>
    </row>
    <row r="15" spans="1:12" ht="30" x14ac:dyDescent="0.25">
      <c r="A15" s="21" t="s">
        <v>91</v>
      </c>
      <c r="B15" s="22">
        <f t="shared" si="0"/>
        <v>14</v>
      </c>
      <c r="C15" s="1" t="s">
        <v>92</v>
      </c>
      <c r="D15" s="1" t="s">
        <v>69</v>
      </c>
      <c r="E15" s="1" t="s">
        <v>79</v>
      </c>
      <c r="F15" s="1" t="s">
        <v>71</v>
      </c>
      <c r="G15" s="1">
        <v>13</v>
      </c>
      <c r="H15" s="1" t="s">
        <v>72</v>
      </c>
      <c r="I15" s="70">
        <f>'[1]Tabla de Precios'!K14</f>
        <v>417.11000020855499</v>
      </c>
      <c r="J15" s="70">
        <f>'[1]Tabla de Precios'!L14</f>
        <v>768.71075233435533</v>
      </c>
      <c r="K15" s="70">
        <f>'[1]Tabla de Precios'!M14</f>
        <v>500.53200025026598</v>
      </c>
      <c r="L15" s="70"/>
    </row>
    <row r="16" spans="1:12" x14ac:dyDescent="0.25">
      <c r="A16" s="21" t="s">
        <v>93</v>
      </c>
      <c r="B16" s="22">
        <f t="shared" si="0"/>
        <v>15</v>
      </c>
      <c r="C16" s="1" t="s">
        <v>94</v>
      </c>
      <c r="D16" s="1" t="s">
        <v>69</v>
      </c>
      <c r="E16" s="1" t="s">
        <v>70</v>
      </c>
      <c r="F16" s="1" t="s">
        <v>71</v>
      </c>
      <c r="G16" s="1">
        <v>2</v>
      </c>
      <c r="H16" s="1" t="s">
        <v>72</v>
      </c>
      <c r="I16" s="70">
        <f>'[1]Tabla de Precios'!K15</f>
        <v>539.51000026975498</v>
      </c>
      <c r="J16" s="70">
        <f>'[1]Tabla de Precios'!L15</f>
        <v>964.94243243247126</v>
      </c>
      <c r="K16" s="70">
        <f>'[1]Tabla de Precios'!M15</f>
        <v>647.41200032370602</v>
      </c>
      <c r="L16" s="70"/>
    </row>
    <row r="17" spans="1:12" ht="30" x14ac:dyDescent="0.25">
      <c r="A17" s="21" t="s">
        <v>95</v>
      </c>
      <c r="B17" s="22">
        <f t="shared" si="0"/>
        <v>16</v>
      </c>
      <c r="C17" s="1" t="s">
        <v>486</v>
      </c>
      <c r="D17" s="1" t="s">
        <v>69</v>
      </c>
      <c r="E17" s="1" t="s">
        <v>70</v>
      </c>
      <c r="F17" s="1" t="s">
        <v>71</v>
      </c>
      <c r="G17" s="1">
        <v>0</v>
      </c>
      <c r="H17" s="1" t="s">
        <v>72</v>
      </c>
      <c r="I17" s="70">
        <f>'[1]Tabla de Precios'!K16</f>
        <v>399.90000019995</v>
      </c>
      <c r="J17" s="70">
        <f>'[1]Tabla de Precios'!L16</f>
        <v>741.11968032055984</v>
      </c>
      <c r="K17" s="70">
        <f>'[1]Tabla de Precios'!M16</f>
        <v>479.88000023993999</v>
      </c>
      <c r="L17" s="70"/>
    </row>
    <row r="18" spans="1:12" ht="30" x14ac:dyDescent="0.25">
      <c r="A18" s="21" t="s">
        <v>96</v>
      </c>
      <c r="B18" s="22">
        <f t="shared" si="0"/>
        <v>17</v>
      </c>
      <c r="C18" s="1" t="s">
        <v>97</v>
      </c>
      <c r="D18" s="1" t="s">
        <v>69</v>
      </c>
      <c r="E18" s="1" t="s">
        <v>79</v>
      </c>
      <c r="F18" s="1" t="s">
        <v>71</v>
      </c>
      <c r="G18" s="1">
        <v>6</v>
      </c>
      <c r="H18" s="1" t="s">
        <v>72</v>
      </c>
      <c r="I18" s="70">
        <f>'[1]Tabla de Precios'!K17</f>
        <v>399.90000019995</v>
      </c>
      <c r="J18" s="70">
        <f>'[1]Tabla de Precios'!L17</f>
        <v>741.11968032055984</v>
      </c>
      <c r="K18" s="70">
        <f>'[1]Tabla de Precios'!M17</f>
        <v>479.88000023993999</v>
      </c>
      <c r="L18" s="70"/>
    </row>
    <row r="19" spans="1:12" ht="30" x14ac:dyDescent="0.25">
      <c r="A19" s="21" t="s">
        <v>98</v>
      </c>
      <c r="B19" s="22">
        <f t="shared" si="0"/>
        <v>18</v>
      </c>
      <c r="C19" s="1" t="s">
        <v>99</v>
      </c>
      <c r="D19" s="1" t="s">
        <v>69</v>
      </c>
      <c r="E19" s="1" t="s">
        <v>70</v>
      </c>
      <c r="F19" s="1" t="s">
        <v>71</v>
      </c>
      <c r="G19" s="1">
        <v>1</v>
      </c>
      <c r="H19" s="1" t="s">
        <v>72</v>
      </c>
      <c r="I19" s="70">
        <f>'[1]Tabla de Precios'!K18</f>
        <v>399.90000019995</v>
      </c>
      <c r="J19" s="70">
        <f>'[1]Tabla de Precios'!L18</f>
        <v>741.11968032055984</v>
      </c>
      <c r="K19" s="70">
        <f>'[1]Tabla de Precios'!M18</f>
        <v>479.88000023993999</v>
      </c>
      <c r="L19" s="70"/>
    </row>
    <row r="20" spans="1:12" ht="30" x14ac:dyDescent="0.25">
      <c r="A20" s="21" t="s">
        <v>100</v>
      </c>
      <c r="B20" s="22">
        <f t="shared" si="0"/>
        <v>19</v>
      </c>
      <c r="C20" s="1" t="s">
        <v>101</v>
      </c>
      <c r="D20" s="1" t="s">
        <v>69</v>
      </c>
      <c r="E20" s="1" t="s">
        <v>79</v>
      </c>
      <c r="F20" s="1" t="s">
        <v>71</v>
      </c>
      <c r="G20" s="1">
        <v>8</v>
      </c>
      <c r="H20" s="1" t="s">
        <v>72</v>
      </c>
      <c r="I20" s="70">
        <f>'[1]Tabla de Precios'!K19</f>
        <v>399.90000019995</v>
      </c>
      <c r="J20" s="70">
        <f>'[1]Tabla de Precios'!L19</f>
        <v>741.11968032055984</v>
      </c>
      <c r="K20" s="70">
        <f>'[1]Tabla de Precios'!M19</f>
        <v>479.88000023993999</v>
      </c>
      <c r="L20" s="70"/>
    </row>
    <row r="21" spans="1:12" x14ac:dyDescent="0.25">
      <c r="A21" s="21" t="s">
        <v>102</v>
      </c>
      <c r="B21" s="22">
        <f t="shared" si="0"/>
        <v>20</v>
      </c>
      <c r="C21" s="1" t="s">
        <v>103</v>
      </c>
      <c r="D21" s="1" t="s">
        <v>69</v>
      </c>
      <c r="E21" s="1" t="s">
        <v>70</v>
      </c>
      <c r="F21" s="1" t="s">
        <v>71</v>
      </c>
      <c r="G21" s="1">
        <v>5</v>
      </c>
      <c r="H21" s="1" t="s">
        <v>72</v>
      </c>
      <c r="I21" s="70">
        <f>'[1]Tabla de Precios'!K20</f>
        <v>565.18000028258984</v>
      </c>
      <c r="J21" s="70">
        <f>'[1]Tabla de Precios'!L20</f>
        <v>1006.0965764530481</v>
      </c>
      <c r="K21" s="70">
        <f>'[1]Tabla de Precios'!M20</f>
        <v>678.21600033910784</v>
      </c>
      <c r="L21" s="70"/>
    </row>
    <row r="22" spans="1:12" ht="30" x14ac:dyDescent="0.25">
      <c r="A22" s="21" t="s">
        <v>104</v>
      </c>
      <c r="B22" s="22">
        <f t="shared" si="0"/>
        <v>21</v>
      </c>
      <c r="C22" s="1" t="s">
        <v>105</v>
      </c>
      <c r="D22" s="1" t="s">
        <v>69</v>
      </c>
      <c r="E22" s="1" t="s">
        <v>70</v>
      </c>
      <c r="F22" s="1" t="s">
        <v>71</v>
      </c>
      <c r="G22" s="1">
        <v>0</v>
      </c>
      <c r="H22" s="1" t="s">
        <v>72</v>
      </c>
      <c r="I22" s="70">
        <f>'[1]Tabla de Precios'!K21</f>
        <v>454.1666672570833</v>
      </c>
      <c r="J22" s="70">
        <f>'[1]Tabla de Precios'!L21</f>
        <v>828.12000094655605</v>
      </c>
      <c r="K22" s="70">
        <f>'[1]Tabla de Precios'!M21</f>
        <v>545.00000070850001</v>
      </c>
      <c r="L22" s="70"/>
    </row>
    <row r="23" spans="1:12" ht="30" x14ac:dyDescent="0.25">
      <c r="A23" s="21" t="s">
        <v>106</v>
      </c>
      <c r="B23" s="22">
        <f t="shared" si="0"/>
        <v>22</v>
      </c>
      <c r="C23" s="1" t="s">
        <v>107</v>
      </c>
      <c r="D23" s="1" t="s">
        <v>69</v>
      </c>
      <c r="E23" s="1" t="s">
        <v>79</v>
      </c>
      <c r="F23" s="1" t="s">
        <v>71</v>
      </c>
      <c r="G23" s="1">
        <v>2</v>
      </c>
      <c r="H23" s="1" t="s">
        <v>72</v>
      </c>
      <c r="I23" s="70">
        <f>'[1]Tabla de Precios'!K22</f>
        <v>454.16666725708353</v>
      </c>
      <c r="J23" s="70">
        <f>'[1]Tabla de Precios'!L22</f>
        <v>828.12000094655627</v>
      </c>
      <c r="K23" s="70">
        <f>'[1]Tabla de Precios'!M22</f>
        <v>545.00000070850024</v>
      </c>
      <c r="L23" s="70"/>
    </row>
    <row r="24" spans="1:12" ht="30" x14ac:dyDescent="0.25">
      <c r="A24" s="21" t="s">
        <v>108</v>
      </c>
      <c r="B24" s="22">
        <f t="shared" si="0"/>
        <v>23</v>
      </c>
      <c r="C24" s="1" t="s">
        <v>109</v>
      </c>
      <c r="D24" s="1" t="s">
        <v>69</v>
      </c>
      <c r="E24" s="1" t="s">
        <v>70</v>
      </c>
      <c r="F24" s="1" t="s">
        <v>71</v>
      </c>
      <c r="G24" s="1">
        <v>5</v>
      </c>
      <c r="H24" s="1" t="s">
        <v>72</v>
      </c>
      <c r="I24" s="70">
        <f>'[1]Tabla de Precios'!K23</f>
        <v>454.16666725708353</v>
      </c>
      <c r="J24" s="70">
        <f>'[1]Tabla de Precios'!L23</f>
        <v>828.12000094655627</v>
      </c>
      <c r="K24" s="70">
        <f>'[1]Tabla de Precios'!M23</f>
        <v>545.00000070850024</v>
      </c>
      <c r="L24" s="70"/>
    </row>
    <row r="25" spans="1:12" x14ac:dyDescent="0.25">
      <c r="A25" s="21" t="s">
        <v>110</v>
      </c>
      <c r="B25" s="22">
        <f t="shared" si="0"/>
        <v>24</v>
      </c>
      <c r="C25" s="1" t="s">
        <v>111</v>
      </c>
      <c r="D25" s="1" t="s">
        <v>69</v>
      </c>
      <c r="E25" s="1" t="s">
        <v>79</v>
      </c>
      <c r="F25" s="1" t="s">
        <v>71</v>
      </c>
      <c r="G25" s="1">
        <v>5</v>
      </c>
      <c r="H25" s="1" t="s">
        <v>112</v>
      </c>
      <c r="I25" s="70">
        <f>'[1]Tabla de Precios'!K24</f>
        <v>454.16666725708353</v>
      </c>
      <c r="J25" s="70">
        <f>'[1]Tabla de Precios'!L24</f>
        <v>828.12000094655627</v>
      </c>
      <c r="K25" s="70">
        <f>'[1]Tabla de Precios'!M24</f>
        <v>545.00000070850024</v>
      </c>
      <c r="L25" s="70"/>
    </row>
    <row r="26" spans="1:12" x14ac:dyDescent="0.25">
      <c r="A26" s="21" t="s">
        <v>587</v>
      </c>
      <c r="B26" s="22">
        <f t="shared" si="0"/>
        <v>25</v>
      </c>
      <c r="C26" s="1" t="s">
        <v>113</v>
      </c>
      <c r="D26" s="1" t="s">
        <v>69</v>
      </c>
      <c r="E26" s="1" t="s">
        <v>70</v>
      </c>
      <c r="F26" s="1" t="s">
        <v>71</v>
      </c>
      <c r="G26" s="1">
        <v>9</v>
      </c>
      <c r="H26" s="1" t="s">
        <v>72</v>
      </c>
      <c r="I26" s="70">
        <f>'[1]Tabla de Precios'!K25</f>
        <v>400.29166718704585</v>
      </c>
      <c r="J26" s="70">
        <f>'[1]Tabla de Precios'!L25</f>
        <v>741.74760083427191</v>
      </c>
      <c r="K26" s="70">
        <f>'[1]Tabla de Precios'!M25</f>
        <v>480.35000062445499</v>
      </c>
      <c r="L26" s="70"/>
    </row>
    <row r="27" spans="1:12" x14ac:dyDescent="0.25">
      <c r="A27" s="21" t="s">
        <v>114</v>
      </c>
      <c r="B27" s="22">
        <f t="shared" si="0"/>
        <v>26</v>
      </c>
      <c r="C27" s="1" t="s">
        <v>115</v>
      </c>
      <c r="D27" s="1" t="s">
        <v>69</v>
      </c>
      <c r="E27" s="1" t="s">
        <v>70</v>
      </c>
      <c r="F27" s="1" t="s">
        <v>71</v>
      </c>
      <c r="G27" s="1">
        <v>9</v>
      </c>
      <c r="H27" s="1" t="s">
        <v>72</v>
      </c>
      <c r="I27" s="70">
        <f>'[1]Tabla de Precios'!K26</f>
        <v>549.90000027495</v>
      </c>
      <c r="J27" s="70">
        <f>'[1]Tabla de Precios'!L26</f>
        <v>981.59968044079983</v>
      </c>
      <c r="K27" s="70">
        <f>'[1]Tabla de Precios'!M26</f>
        <v>659.88000032994</v>
      </c>
      <c r="L27" s="70"/>
    </row>
    <row r="28" spans="1:12" x14ac:dyDescent="0.25">
      <c r="A28" s="21" t="s">
        <v>116</v>
      </c>
      <c r="B28" s="22">
        <f t="shared" si="0"/>
        <v>27</v>
      </c>
      <c r="C28" s="1" t="s">
        <v>117</v>
      </c>
      <c r="D28" s="1" t="s">
        <v>69</v>
      </c>
      <c r="E28" s="1"/>
      <c r="F28" s="1" t="s">
        <v>71</v>
      </c>
      <c r="G28" s="1">
        <v>19</v>
      </c>
      <c r="H28" s="1" t="s">
        <v>77</v>
      </c>
      <c r="I28" s="70">
        <f>'[1]Tabla de Precios'!K27</f>
        <v>158.33333353916666</v>
      </c>
      <c r="J28" s="70">
        <f>'[1]Tabla de Precios'!L27</f>
        <v>353.84000032999199</v>
      </c>
      <c r="K28" s="70">
        <f>'[1]Tabla de Precios'!M27</f>
        <v>190.000000247</v>
      </c>
      <c r="L28" s="70" t="s">
        <v>515</v>
      </c>
    </row>
    <row r="29" spans="1:12" x14ac:dyDescent="0.25">
      <c r="A29" s="21" t="s">
        <v>588</v>
      </c>
      <c r="B29" s="22">
        <f t="shared" si="0"/>
        <v>28</v>
      </c>
      <c r="C29" s="1" t="s">
        <v>118</v>
      </c>
      <c r="D29" s="1" t="s">
        <v>69</v>
      </c>
      <c r="E29" s="1"/>
      <c r="F29" s="1" t="s">
        <v>516</v>
      </c>
      <c r="G29" s="1">
        <v>67</v>
      </c>
      <c r="H29" s="1" t="s">
        <v>77</v>
      </c>
      <c r="I29" s="70">
        <f>'[1]Tabla de Precios'!K28</f>
        <v>91.666666785833314</v>
      </c>
      <c r="J29" s="70">
        <f>'[1]Tabla de Precios'!L28</f>
        <v>246.96000019104798</v>
      </c>
      <c r="K29" s="70">
        <f>'[1]Tabla de Precios'!M28</f>
        <v>110.00000014299998</v>
      </c>
      <c r="L29" s="70"/>
    </row>
    <row r="30" spans="1:12" x14ac:dyDescent="0.25">
      <c r="A30" s="21" t="s">
        <v>119</v>
      </c>
      <c r="B30" s="22">
        <f t="shared" si="0"/>
        <v>29</v>
      </c>
      <c r="C30" s="1" t="s">
        <v>120</v>
      </c>
      <c r="D30" s="1" t="s">
        <v>69</v>
      </c>
      <c r="E30" s="1"/>
      <c r="F30" s="1" t="s">
        <v>71</v>
      </c>
      <c r="G30" s="1">
        <v>2</v>
      </c>
      <c r="H30" s="1" t="s">
        <v>72</v>
      </c>
      <c r="I30" s="70">
        <f>'[1]Tabla de Precios'!K29</f>
        <v>625.54166747987074</v>
      </c>
      <c r="J30" s="70">
        <f>'[1]Tabla de Precios'!L29</f>
        <v>1102.8684013037289</v>
      </c>
      <c r="K30" s="70">
        <f>'[1]Tabla de Precios'!M29</f>
        <v>750.65000097584493</v>
      </c>
      <c r="L30" s="70"/>
    </row>
    <row r="31" spans="1:12" x14ac:dyDescent="0.25">
      <c r="A31" s="21" t="s">
        <v>121</v>
      </c>
      <c r="B31" s="22">
        <f t="shared" si="0"/>
        <v>30</v>
      </c>
      <c r="C31" s="1" t="s">
        <v>122</v>
      </c>
      <c r="D31" s="1" t="s">
        <v>69</v>
      </c>
      <c r="E31" s="1"/>
      <c r="F31" s="1" t="s">
        <v>71</v>
      </c>
      <c r="G31" s="1">
        <v>3</v>
      </c>
      <c r="H31" s="1" t="s">
        <v>72</v>
      </c>
      <c r="I31" s="70">
        <f>'[1]Tabla de Precios'!K30</f>
        <v>133.83333350731667</v>
      </c>
      <c r="J31" s="70">
        <f>'[1]Tabla de Precios'!L30</f>
        <v>314.56160027893009</v>
      </c>
      <c r="K31" s="70">
        <f>'[1]Tabla de Precios'!M30</f>
        <v>160.60000020877999</v>
      </c>
      <c r="L31" s="70"/>
    </row>
    <row r="32" spans="1:12" x14ac:dyDescent="0.25">
      <c r="A32" s="21" t="s">
        <v>123</v>
      </c>
      <c r="B32" s="22">
        <f t="shared" si="0"/>
        <v>31</v>
      </c>
      <c r="C32" s="1" t="s">
        <v>124</v>
      </c>
      <c r="D32" s="1" t="s">
        <v>69</v>
      </c>
      <c r="E32" s="1"/>
      <c r="F32" s="1" t="s">
        <v>71</v>
      </c>
      <c r="G32" s="1">
        <v>0</v>
      </c>
      <c r="H32" s="1" t="s">
        <v>72</v>
      </c>
      <c r="I32" s="70">
        <f>'[1]Tabla de Precios'!K31</f>
        <v>134.34000006717</v>
      </c>
      <c r="J32" s="70">
        <f>'[1]Tabla de Precios'!L31</f>
        <v>315.37388810768692</v>
      </c>
      <c r="K32" s="70">
        <f>'[1]Tabla de Precios'!M31</f>
        <v>161.20800008060399</v>
      </c>
      <c r="L32" s="70"/>
    </row>
    <row r="33" spans="1:12" x14ac:dyDescent="0.25">
      <c r="A33" s="21" t="s">
        <v>125</v>
      </c>
      <c r="B33" s="22">
        <f t="shared" si="0"/>
        <v>32</v>
      </c>
      <c r="C33" s="1" t="s">
        <v>126</v>
      </c>
      <c r="D33" s="1" t="s">
        <v>69</v>
      </c>
      <c r="E33" s="1"/>
      <c r="F33" s="1" t="s">
        <v>71</v>
      </c>
      <c r="G33" s="1">
        <v>0</v>
      </c>
      <c r="H33" s="1" t="s">
        <v>77</v>
      </c>
      <c r="I33" s="70">
        <f>'[1]Tabla de Precios'!K32</f>
        <v>541.66666737083335</v>
      </c>
      <c r="J33" s="70">
        <f>'[1]Tabla de Precios'!L32</f>
        <v>968.40000112892005</v>
      </c>
      <c r="K33" s="70">
        <f>'[1]Tabla de Precios'!M32</f>
        <v>650.00000084500005</v>
      </c>
      <c r="L33" s="70"/>
    </row>
    <row r="34" spans="1:12" x14ac:dyDescent="0.25">
      <c r="A34" s="21" t="s">
        <v>127</v>
      </c>
      <c r="B34" s="22">
        <f t="shared" si="0"/>
        <v>33</v>
      </c>
      <c r="C34" s="1" t="s">
        <v>128</v>
      </c>
      <c r="D34" s="1" t="s">
        <v>69</v>
      </c>
      <c r="E34" s="1"/>
      <c r="F34" s="1" t="s">
        <v>71</v>
      </c>
      <c r="G34" s="1">
        <v>4</v>
      </c>
      <c r="H34" s="1" t="s">
        <v>72</v>
      </c>
      <c r="I34" s="70">
        <f>'[1]Tabla de Precios'!K33</f>
        <v>1586.2500007931249</v>
      </c>
      <c r="J34" s="70">
        <f>'[1]Tabla de Precios'!L33</f>
        <v>2643.0760012715377</v>
      </c>
      <c r="K34" s="70">
        <f>'[1]Tabla de Precios'!M33</f>
        <v>1903.5000009517498</v>
      </c>
      <c r="L34" s="70" t="s">
        <v>517</v>
      </c>
    </row>
    <row r="35" spans="1:12" x14ac:dyDescent="0.25">
      <c r="A35" s="21" t="s">
        <v>129</v>
      </c>
      <c r="B35" s="22">
        <f t="shared" si="0"/>
        <v>34</v>
      </c>
      <c r="C35" s="1" t="s">
        <v>130</v>
      </c>
      <c r="D35" s="1" t="s">
        <v>69</v>
      </c>
      <c r="E35" s="1"/>
      <c r="F35" s="1" t="s">
        <v>71</v>
      </c>
      <c r="G35" s="1">
        <v>5</v>
      </c>
      <c r="H35" s="1" t="s">
        <v>72</v>
      </c>
      <c r="I35" s="70">
        <f>'[1]Tabla de Precios'!K34</f>
        <v>197.40000009869999</v>
      </c>
      <c r="J35" s="70">
        <f>'[1]Tabla de Precios'!L34</f>
        <v>416.47168015823581</v>
      </c>
      <c r="K35" s="70">
        <f>'[1]Tabla de Precios'!M34</f>
        <v>236.88000011843999</v>
      </c>
      <c r="L35" s="70" t="s">
        <v>518</v>
      </c>
    </row>
    <row r="36" spans="1:12" x14ac:dyDescent="0.25">
      <c r="A36" s="21" t="s">
        <v>131</v>
      </c>
      <c r="B36" s="22">
        <f t="shared" si="0"/>
        <v>35</v>
      </c>
      <c r="C36" s="1" t="s">
        <v>132</v>
      </c>
      <c r="D36" s="1" t="s">
        <v>69</v>
      </c>
      <c r="E36" s="1"/>
      <c r="F36" s="1" t="s">
        <v>71</v>
      </c>
      <c r="G36" s="1">
        <v>20</v>
      </c>
      <c r="H36" s="1" t="s">
        <v>72</v>
      </c>
      <c r="I36" s="70">
        <f>'[1]Tabla de Precios'!K35</f>
        <v>260.85000013042497</v>
      </c>
      <c r="J36" s="70">
        <f>'[1]Tabla de Precios'!L35</f>
        <v>518.19472020909734</v>
      </c>
      <c r="K36" s="70">
        <f>'[1]Tabla de Precios'!M35</f>
        <v>313.02000015650998</v>
      </c>
      <c r="L36" s="70" t="s">
        <v>519</v>
      </c>
    </row>
    <row r="37" spans="1:12" x14ac:dyDescent="0.25">
      <c r="A37" s="21" t="s">
        <v>133</v>
      </c>
      <c r="B37" s="22">
        <f t="shared" si="0"/>
        <v>36</v>
      </c>
      <c r="C37" s="1" t="s">
        <v>134</v>
      </c>
      <c r="D37" s="1" t="s">
        <v>69</v>
      </c>
      <c r="E37" s="1"/>
      <c r="F37" s="1" t="s">
        <v>71</v>
      </c>
      <c r="G37" s="1">
        <v>18</v>
      </c>
      <c r="H37" s="1" t="s">
        <v>72</v>
      </c>
      <c r="I37" s="70">
        <f>'[1]Tabla de Precios'!K36</f>
        <v>87.42000004370999</v>
      </c>
      <c r="J37" s="70">
        <f>'[1]Tabla de Precios'!L36</f>
        <v>240.15174407007586</v>
      </c>
      <c r="K37" s="70">
        <f>'[1]Tabla de Precios'!M36</f>
        <v>104.90400005245199</v>
      </c>
      <c r="L37" s="70" t="s">
        <v>520</v>
      </c>
    </row>
    <row r="38" spans="1:12" x14ac:dyDescent="0.25">
      <c r="A38" s="21" t="s">
        <v>135</v>
      </c>
      <c r="B38" s="22">
        <f t="shared" si="0"/>
        <v>37</v>
      </c>
      <c r="C38" s="1" t="s">
        <v>136</v>
      </c>
      <c r="D38" s="1" t="s">
        <v>69</v>
      </c>
      <c r="E38" s="1"/>
      <c r="F38" s="1" t="s">
        <v>71</v>
      </c>
      <c r="G38" s="1">
        <v>3</v>
      </c>
      <c r="H38" s="1" t="s">
        <v>72</v>
      </c>
      <c r="I38" s="70">
        <f>'[1]Tabla de Precios'!K37</f>
        <v>583.33333409166653</v>
      </c>
      <c r="J38" s="70">
        <f>'[1]Tabla de Precios'!L37</f>
        <v>1035.2000012157598</v>
      </c>
      <c r="K38" s="70">
        <f>'[1]Tabla de Precios'!M37</f>
        <v>700.00000090999981</v>
      </c>
      <c r="L38" s="70"/>
    </row>
    <row r="39" spans="1:12" ht="30" x14ac:dyDescent="0.25">
      <c r="A39" s="21" t="s">
        <v>137</v>
      </c>
      <c r="B39" s="22">
        <f t="shared" si="0"/>
        <v>38</v>
      </c>
      <c r="C39" s="1" t="s">
        <v>138</v>
      </c>
      <c r="D39" s="1" t="s">
        <v>69</v>
      </c>
      <c r="E39" s="1"/>
      <c r="F39" s="1" t="s">
        <v>71</v>
      </c>
      <c r="G39" s="1">
        <v>5</v>
      </c>
      <c r="H39" s="1" t="s">
        <v>77</v>
      </c>
      <c r="I39" s="70">
        <f>'[1]Tabla de Precios'!K38</f>
        <v>625.00000081250005</v>
      </c>
      <c r="J39" s="70">
        <f>'[1]Tabla de Precios'!L38</f>
        <v>1102.0000013026001</v>
      </c>
      <c r="K39" s="70">
        <f>'[1]Tabla de Precios'!M38</f>
        <v>750.00000097500003</v>
      </c>
      <c r="L39" s="70"/>
    </row>
    <row r="40" spans="1:12" x14ac:dyDescent="0.25">
      <c r="A40" s="21" t="s">
        <v>139</v>
      </c>
      <c r="B40" s="22">
        <f t="shared" si="0"/>
        <v>39</v>
      </c>
      <c r="C40" s="1" t="s">
        <v>140</v>
      </c>
      <c r="D40" s="1" t="s">
        <v>69</v>
      </c>
      <c r="E40" s="1"/>
      <c r="F40" s="1" t="s">
        <v>71</v>
      </c>
      <c r="G40" s="1">
        <v>0</v>
      </c>
      <c r="H40" s="1" t="s">
        <v>77</v>
      </c>
      <c r="I40" s="70">
        <f>'[1]Tabla de Precios'!K39</f>
        <v>1083.3333347416667</v>
      </c>
      <c r="J40" s="70">
        <f>'[1]Tabla de Precios'!L39</f>
        <v>1836.8000022578401</v>
      </c>
      <c r="K40" s="70">
        <f>'[1]Tabla de Precios'!M39</f>
        <v>1300.0000016900001</v>
      </c>
      <c r="L40" s="70"/>
    </row>
    <row r="41" spans="1:12" x14ac:dyDescent="0.25">
      <c r="A41" s="21" t="s">
        <v>141</v>
      </c>
      <c r="B41" s="22">
        <f t="shared" si="0"/>
        <v>40</v>
      </c>
      <c r="C41" s="1" t="s">
        <v>142</v>
      </c>
      <c r="D41" s="1" t="s">
        <v>69</v>
      </c>
      <c r="E41" s="1"/>
      <c r="F41" s="1" t="s">
        <v>71</v>
      </c>
      <c r="G41" s="1">
        <v>2</v>
      </c>
      <c r="H41" s="1" t="s">
        <v>72</v>
      </c>
      <c r="I41" s="70">
        <f>'[1]Tabla de Precios'!K40</f>
        <v>625.00000081250005</v>
      </c>
      <c r="J41" s="70">
        <f>'[1]Tabla de Precios'!L40</f>
        <v>1102.0000013026001</v>
      </c>
      <c r="K41" s="70">
        <f>'[1]Tabla de Precios'!M40</f>
        <v>750.00000097500003</v>
      </c>
      <c r="L41" s="70"/>
    </row>
    <row r="42" spans="1:12" x14ac:dyDescent="0.25">
      <c r="A42" s="21" t="s">
        <v>143</v>
      </c>
      <c r="B42" s="22">
        <f t="shared" si="0"/>
        <v>41</v>
      </c>
      <c r="C42" s="1" t="s">
        <v>144</v>
      </c>
      <c r="D42" s="1" t="s">
        <v>69</v>
      </c>
      <c r="E42" s="1"/>
      <c r="F42" s="1" t="s">
        <v>71</v>
      </c>
      <c r="G42" s="1">
        <v>13</v>
      </c>
      <c r="H42" s="1" t="s">
        <v>72</v>
      </c>
      <c r="I42" s="70">
        <f>'[1]Tabla de Precios'!K41</f>
        <v>574.16666741308336</v>
      </c>
      <c r="J42" s="70">
        <f>'[1]Tabla de Precios'!L41</f>
        <v>1020.5040011966553</v>
      </c>
      <c r="K42" s="70">
        <f>'[1]Tabla de Precios'!M41</f>
        <v>689.00000089570005</v>
      </c>
      <c r="L42" s="70"/>
    </row>
    <row r="43" spans="1:12" x14ac:dyDescent="0.25">
      <c r="A43" s="21" t="s">
        <v>145</v>
      </c>
      <c r="B43" s="22">
        <f t="shared" si="0"/>
        <v>42</v>
      </c>
      <c r="C43" s="1" t="s">
        <v>146</v>
      </c>
      <c r="D43" s="1" t="s">
        <v>69</v>
      </c>
      <c r="E43" s="1"/>
      <c r="F43" s="1" t="s">
        <v>71</v>
      </c>
      <c r="G43" s="1">
        <v>0</v>
      </c>
      <c r="H43" s="1" t="s">
        <v>72</v>
      </c>
      <c r="I43" s="70">
        <f>'[1]Tabla de Precios'!K42</f>
        <v>541.66666737083335</v>
      </c>
      <c r="J43" s="70">
        <f>'[1]Tabla de Precios'!L42</f>
        <v>968.40000112892005</v>
      </c>
      <c r="K43" s="70">
        <f>'[1]Tabla de Precios'!M42</f>
        <v>650.00000084500005</v>
      </c>
      <c r="L43" s="70"/>
    </row>
    <row r="44" spans="1:12" x14ac:dyDescent="0.25">
      <c r="A44" s="21" t="s">
        <v>147</v>
      </c>
      <c r="B44" s="22">
        <f t="shared" si="0"/>
        <v>43</v>
      </c>
      <c r="C44" s="1" t="s">
        <v>148</v>
      </c>
      <c r="D44" s="1" t="s">
        <v>69</v>
      </c>
      <c r="E44" s="1"/>
      <c r="F44" s="1" t="s">
        <v>71</v>
      </c>
      <c r="G44" s="1">
        <v>0</v>
      </c>
      <c r="H44" s="1" t="s">
        <v>72</v>
      </c>
      <c r="I44" s="70">
        <f>'[1]Tabla de Precios'!K43</f>
        <v>1069.98000053499</v>
      </c>
      <c r="J44" s="70">
        <f>'[1]Tabla de Precios'!L43</f>
        <v>1815.3919368576962</v>
      </c>
      <c r="K44" s="70">
        <f>'[1]Tabla de Precios'!M43</f>
        <v>1283.9760006419881</v>
      </c>
      <c r="L44" s="70" t="s">
        <v>521</v>
      </c>
    </row>
    <row r="45" spans="1:12" x14ac:dyDescent="0.25">
      <c r="A45" s="21" t="s">
        <v>589</v>
      </c>
      <c r="B45" s="22">
        <f t="shared" si="0"/>
        <v>44</v>
      </c>
      <c r="C45" s="1" t="s">
        <v>149</v>
      </c>
      <c r="D45" s="1" t="s">
        <v>69</v>
      </c>
      <c r="E45" s="1"/>
      <c r="F45" s="1" t="s">
        <v>71</v>
      </c>
      <c r="G45" s="1">
        <v>2</v>
      </c>
      <c r="H45" s="1" t="s">
        <v>77</v>
      </c>
      <c r="I45" s="70">
        <f>'[1]Tabla de Precios'!K44</f>
        <v>23833.333364316666</v>
      </c>
      <c r="J45" s="70">
        <f>'[1]Tabla de Precios'!L44</f>
        <v>38309.600049672474</v>
      </c>
      <c r="K45" s="70">
        <f>'[1]Tabla de Precios'!M44</f>
        <v>28600.000037179998</v>
      </c>
      <c r="L45" s="70" t="s">
        <v>522</v>
      </c>
    </row>
    <row r="46" spans="1:12" x14ac:dyDescent="0.25">
      <c r="A46" s="21" t="s">
        <v>590</v>
      </c>
      <c r="B46" s="22">
        <f t="shared" si="0"/>
        <v>45</v>
      </c>
      <c r="C46" s="1" t="s">
        <v>150</v>
      </c>
      <c r="D46" s="1" t="s">
        <v>69</v>
      </c>
      <c r="E46" s="1"/>
      <c r="F46" s="1" t="s">
        <v>71</v>
      </c>
      <c r="G46" s="1">
        <v>2</v>
      </c>
      <c r="H46" s="1" t="s">
        <v>77</v>
      </c>
      <c r="I46" s="70">
        <f>'[1]Tabla de Precios'!K45</f>
        <v>18325.130009162567</v>
      </c>
      <c r="J46" s="70">
        <f>'[1]Tabla de Precios'!L45</f>
        <v>29478.848430689428</v>
      </c>
      <c r="K46" s="70">
        <f>'[1]Tabla de Precios'!M45</f>
        <v>21990.156010995081</v>
      </c>
      <c r="L46" s="70" t="s">
        <v>522</v>
      </c>
    </row>
    <row r="47" spans="1:12" x14ac:dyDescent="0.25">
      <c r="A47" s="21" t="s">
        <v>151</v>
      </c>
      <c r="B47" s="22">
        <f t="shared" si="0"/>
        <v>46</v>
      </c>
      <c r="C47" s="1" t="s">
        <v>152</v>
      </c>
      <c r="D47" s="1" t="s">
        <v>69</v>
      </c>
      <c r="E47" s="1"/>
      <c r="F47" s="1" t="s">
        <v>71</v>
      </c>
      <c r="G47" s="1">
        <v>16</v>
      </c>
      <c r="H47" s="1" t="s">
        <v>72</v>
      </c>
      <c r="I47" s="70">
        <f>'[1]Tabla de Precios'!K46</f>
        <v>341.87000017093499</v>
      </c>
      <c r="J47" s="70">
        <f>'[1]Tabla de Precios'!L46</f>
        <v>648.08598427404297</v>
      </c>
      <c r="K47" s="70">
        <f>'[1]Tabla de Precios'!M46</f>
        <v>410.24400020512201</v>
      </c>
      <c r="L47" s="70" t="s">
        <v>523</v>
      </c>
    </row>
    <row r="48" spans="1:12" x14ac:dyDescent="0.25">
      <c r="A48" s="21" t="s">
        <v>153</v>
      </c>
      <c r="B48" s="22">
        <f t="shared" si="0"/>
        <v>47</v>
      </c>
      <c r="C48" s="1" t="s">
        <v>154</v>
      </c>
      <c r="D48" s="1" t="s">
        <v>69</v>
      </c>
      <c r="E48" s="1"/>
      <c r="F48" s="1" t="s">
        <v>71</v>
      </c>
      <c r="G48" s="1">
        <v>1</v>
      </c>
      <c r="H48" s="1" t="s">
        <v>72</v>
      </c>
      <c r="I48" s="70">
        <f>'[1]Tabla de Precios'!K47</f>
        <v>78.210000000000008</v>
      </c>
      <c r="J48" s="70">
        <f>'[1]Tabla de Precios'!L47</f>
        <v>225.38627200000002</v>
      </c>
      <c r="K48" s="70">
        <f>'[1]Tabla de Precios'!M47</f>
        <v>93.852000000000004</v>
      </c>
      <c r="L48" s="70"/>
    </row>
    <row r="49" spans="1:12" x14ac:dyDescent="0.25">
      <c r="A49" s="21" t="s">
        <v>155</v>
      </c>
      <c r="B49" s="22">
        <f t="shared" si="0"/>
        <v>48</v>
      </c>
      <c r="C49" s="1" t="s">
        <v>156</v>
      </c>
      <c r="D49" s="1" t="s">
        <v>69</v>
      </c>
      <c r="E49" s="1"/>
      <c r="F49" s="1" t="s">
        <v>71</v>
      </c>
      <c r="G49" s="1">
        <v>5</v>
      </c>
      <c r="H49" s="1" t="s">
        <v>112</v>
      </c>
      <c r="I49" s="70">
        <f>'[1]Tabla de Precios'!K48</f>
        <v>587.27000029363501</v>
      </c>
      <c r="J49" s="70">
        <f>'[1]Tabla de Precios'!L48</f>
        <v>1041.5112644707556</v>
      </c>
      <c r="K49" s="70">
        <f>'[1]Tabla de Precios'!M48</f>
        <v>704.72400035236205</v>
      </c>
      <c r="L49" s="70"/>
    </row>
    <row r="50" spans="1:12" x14ac:dyDescent="0.25">
      <c r="A50" s="21" t="s">
        <v>157</v>
      </c>
      <c r="B50" s="22">
        <f t="shared" si="0"/>
        <v>49</v>
      </c>
      <c r="C50" s="1" t="s">
        <v>158</v>
      </c>
      <c r="D50" s="1" t="s">
        <v>69</v>
      </c>
      <c r="E50" s="1"/>
      <c r="F50" s="1" t="s">
        <v>71</v>
      </c>
      <c r="G50" s="1">
        <v>44</v>
      </c>
      <c r="H50" s="1" t="s">
        <v>77</v>
      </c>
      <c r="I50" s="70">
        <f>'[1]Tabla de Precios'!K49</f>
        <v>151.785</v>
      </c>
      <c r="J50" s="70">
        <f>'[1]Tabla de Precios'!L49</f>
        <v>343.34171200000003</v>
      </c>
      <c r="K50" s="70">
        <f>'[1]Tabla de Precios'!M49</f>
        <v>182.142</v>
      </c>
      <c r="L50" s="70"/>
    </row>
    <row r="51" spans="1:12" x14ac:dyDescent="0.25">
      <c r="A51" s="21" t="s">
        <v>159</v>
      </c>
      <c r="B51" s="22">
        <f t="shared" si="0"/>
        <v>50</v>
      </c>
      <c r="C51" s="1" t="s">
        <v>160</v>
      </c>
      <c r="D51" s="1" t="s">
        <v>69</v>
      </c>
      <c r="E51" s="1"/>
      <c r="F51" s="1" t="s">
        <v>71</v>
      </c>
      <c r="G51" s="1">
        <v>0</v>
      </c>
      <c r="H51" s="1" t="s">
        <v>72</v>
      </c>
      <c r="I51" s="70">
        <f>'[1]Tabla de Precios'!K50</f>
        <v>1083.3250014083224</v>
      </c>
      <c r="J51" s="70">
        <f>'[1]Tabla de Precios'!L50</f>
        <v>1836.7866422578227</v>
      </c>
      <c r="K51" s="70">
        <f>'[1]Tabla de Precios'!M50</f>
        <v>1299.9900016899869</v>
      </c>
      <c r="L51" s="70" t="s">
        <v>524</v>
      </c>
    </row>
    <row r="52" spans="1:12" x14ac:dyDescent="0.25">
      <c r="A52" s="21" t="s">
        <v>161</v>
      </c>
      <c r="B52" s="22">
        <f t="shared" si="0"/>
        <v>51</v>
      </c>
      <c r="C52" s="1" t="s">
        <v>162</v>
      </c>
      <c r="D52" s="1" t="s">
        <v>69</v>
      </c>
      <c r="E52" s="1"/>
      <c r="F52" s="1" t="s">
        <v>71</v>
      </c>
      <c r="G52" s="1">
        <v>1</v>
      </c>
      <c r="H52" s="1" t="s">
        <v>72</v>
      </c>
      <c r="I52" s="70">
        <f>'[1]Tabla de Precios'!K51</f>
        <v>306.95999999999998</v>
      </c>
      <c r="J52" s="70">
        <f>'[1]Tabla de Precios'!L51</f>
        <v>592.11827199999993</v>
      </c>
      <c r="K52" s="70">
        <f>'[1]Tabla de Precios'!M51</f>
        <v>368.35199999999998</v>
      </c>
      <c r="L52" s="70"/>
    </row>
    <row r="53" spans="1:12" x14ac:dyDescent="0.25">
      <c r="A53" s="21" t="s">
        <v>163</v>
      </c>
      <c r="B53" s="22">
        <f t="shared" si="0"/>
        <v>52</v>
      </c>
      <c r="C53" s="1" t="s">
        <v>164</v>
      </c>
      <c r="D53" s="1" t="s">
        <v>69</v>
      </c>
      <c r="E53" s="1"/>
      <c r="F53" s="1" t="s">
        <v>71</v>
      </c>
      <c r="G53" s="1">
        <v>5</v>
      </c>
      <c r="H53" s="1" t="s">
        <v>72</v>
      </c>
      <c r="I53" s="70">
        <f>'[1]Tabla de Precios'!K52</f>
        <v>600.00000078000005</v>
      </c>
      <c r="J53" s="70">
        <f>'[1]Tabla de Precios'!L52</f>
        <v>1061.9200012504962</v>
      </c>
      <c r="K53" s="70">
        <f>'[1]Tabla de Precios'!M52</f>
        <v>720.00000093600011</v>
      </c>
      <c r="L53" s="70" t="s">
        <v>525</v>
      </c>
    </row>
    <row r="54" spans="1:12" x14ac:dyDescent="0.25">
      <c r="A54" s="21" t="s">
        <v>165</v>
      </c>
      <c r="B54" s="22">
        <f t="shared" si="0"/>
        <v>53</v>
      </c>
      <c r="C54" s="1" t="s">
        <v>166</v>
      </c>
      <c r="D54" s="1" t="s">
        <v>69</v>
      </c>
      <c r="E54" s="1"/>
      <c r="F54" s="1" t="s">
        <v>71</v>
      </c>
      <c r="G54" s="1">
        <v>3</v>
      </c>
      <c r="H54" s="1" t="s">
        <v>72</v>
      </c>
      <c r="I54" s="70">
        <f>'[1]Tabla de Precios'!K53</f>
        <v>432.46500000000003</v>
      </c>
      <c r="J54" s="70">
        <f>'[1]Tabla de Precios'!L53</f>
        <v>793.32788800000014</v>
      </c>
      <c r="K54" s="70">
        <f>'[1]Tabla de Precios'!M53</f>
        <v>518.95800000000008</v>
      </c>
      <c r="L54" s="70" t="s">
        <v>525</v>
      </c>
    </row>
    <row r="55" spans="1:12" x14ac:dyDescent="0.25">
      <c r="A55" s="21" t="s">
        <v>167</v>
      </c>
      <c r="B55" s="22">
        <f t="shared" si="0"/>
        <v>54</v>
      </c>
      <c r="C55" s="1" t="s">
        <v>168</v>
      </c>
      <c r="D55" s="1" t="s">
        <v>69</v>
      </c>
      <c r="E55" s="1"/>
      <c r="F55" s="1" t="s">
        <v>71</v>
      </c>
      <c r="G55" s="1">
        <v>8</v>
      </c>
      <c r="H55" s="1" t="s">
        <v>77</v>
      </c>
      <c r="I55" s="70">
        <f>'[1]Tabla de Precios'!K54</f>
        <v>2358.3333363991669</v>
      </c>
      <c r="J55" s="70">
        <f>'[1]Tabla de Precios'!L54</f>
        <v>3880.8800049151441</v>
      </c>
      <c r="K55" s="70">
        <f>'[1]Tabla de Precios'!M54</f>
        <v>2830.0000036790002</v>
      </c>
      <c r="L55" s="70" t="s">
        <v>526</v>
      </c>
    </row>
    <row r="56" spans="1:12" x14ac:dyDescent="0.25">
      <c r="A56" s="21" t="s">
        <v>169</v>
      </c>
      <c r="B56" s="22">
        <f t="shared" si="0"/>
        <v>55</v>
      </c>
      <c r="C56" s="1" t="s">
        <v>170</v>
      </c>
      <c r="D56" s="1" t="s">
        <v>69</v>
      </c>
      <c r="E56" s="1"/>
      <c r="F56" s="1" t="s">
        <v>71</v>
      </c>
      <c r="G56" s="1">
        <v>0</v>
      </c>
      <c r="H56" s="1" t="s">
        <v>77</v>
      </c>
      <c r="I56" s="70">
        <f>'[1]Tabla de Precios'!K55</f>
        <v>2583.3333366916668</v>
      </c>
      <c r="J56" s="70">
        <f>'[1]Tabla de Precios'!L55</f>
        <v>4241.6000053840799</v>
      </c>
      <c r="K56" s="70">
        <f>'[1]Tabla de Precios'!M55</f>
        <v>3100.0000040300001</v>
      </c>
      <c r="L56" s="70" t="s">
        <v>526</v>
      </c>
    </row>
    <row r="57" spans="1:12" x14ac:dyDescent="0.25">
      <c r="A57" s="21" t="s">
        <v>171</v>
      </c>
      <c r="B57" s="22">
        <f t="shared" si="0"/>
        <v>56</v>
      </c>
      <c r="C57" s="1" t="s">
        <v>172</v>
      </c>
      <c r="D57" s="1" t="s">
        <v>69</v>
      </c>
      <c r="E57" s="1"/>
      <c r="F57" s="1" t="s">
        <v>71</v>
      </c>
      <c r="G57" s="1">
        <v>4</v>
      </c>
      <c r="H57" s="1" t="s">
        <v>72</v>
      </c>
      <c r="I57" s="70">
        <f>'[1]Tabla de Precios'!K56</f>
        <v>676.80000033839997</v>
      </c>
      <c r="J57" s="70">
        <f>'[1]Tabla de Precios'!L56</f>
        <v>1185.0457605425227</v>
      </c>
      <c r="K57" s="70">
        <f>'[1]Tabla de Precios'!M56</f>
        <v>812.16000040607992</v>
      </c>
      <c r="L57" s="70" t="s">
        <v>527</v>
      </c>
    </row>
    <row r="58" spans="1:12" x14ac:dyDescent="0.25">
      <c r="A58" s="21" t="s">
        <v>173</v>
      </c>
      <c r="B58" s="22">
        <f t="shared" si="0"/>
        <v>57</v>
      </c>
      <c r="C58" s="1" t="s">
        <v>174</v>
      </c>
      <c r="D58" s="1" t="s">
        <v>69</v>
      </c>
      <c r="E58" s="1"/>
      <c r="F58" s="1" t="s">
        <v>71</v>
      </c>
      <c r="G58" s="1">
        <v>1</v>
      </c>
      <c r="H58" s="1" t="s">
        <v>72</v>
      </c>
      <c r="I58" s="70">
        <f>'[1]Tabla de Precios'!K57</f>
        <v>676.80000033839997</v>
      </c>
      <c r="J58" s="70">
        <f>'[1]Tabla de Precios'!L57</f>
        <v>1185.0457605425227</v>
      </c>
      <c r="K58" s="70">
        <f>'[1]Tabla de Precios'!M57</f>
        <v>812.16000040607992</v>
      </c>
      <c r="L58" s="70" t="s">
        <v>528</v>
      </c>
    </row>
    <row r="59" spans="1:12" x14ac:dyDescent="0.25">
      <c r="A59" s="21" t="s">
        <v>175</v>
      </c>
      <c r="B59" s="22">
        <f t="shared" si="0"/>
        <v>58</v>
      </c>
      <c r="C59" s="1" t="s">
        <v>176</v>
      </c>
      <c r="D59" s="1" t="s">
        <v>69</v>
      </c>
      <c r="E59" s="1"/>
      <c r="F59" s="1" t="s">
        <v>71</v>
      </c>
      <c r="G59" s="1">
        <v>0</v>
      </c>
      <c r="H59" s="1" t="s">
        <v>72</v>
      </c>
      <c r="I59" s="70">
        <f>'[1]Tabla de Precios'!K58</f>
        <v>3300.0000016500003</v>
      </c>
      <c r="J59" s="70">
        <f>'[1]Tabla de Precios'!L58</f>
        <v>5390.5600026452812</v>
      </c>
      <c r="K59" s="70">
        <f>'[1]Tabla de Precios'!M58</f>
        <v>3960.0000019800004</v>
      </c>
      <c r="L59" s="70" t="s">
        <v>529</v>
      </c>
    </row>
    <row r="60" spans="1:12" ht="30" x14ac:dyDescent="0.25">
      <c r="A60" s="21" t="s">
        <v>177</v>
      </c>
      <c r="B60" s="22">
        <f t="shared" si="0"/>
        <v>59</v>
      </c>
      <c r="C60" s="1" t="s">
        <v>178</v>
      </c>
      <c r="D60" s="1" t="s">
        <v>69</v>
      </c>
      <c r="E60" s="1"/>
      <c r="F60" s="1" t="s">
        <v>71</v>
      </c>
      <c r="G60" s="1">
        <v>0</v>
      </c>
      <c r="H60" s="1" t="s">
        <v>72</v>
      </c>
      <c r="I60" s="70">
        <f>'[1]Tabla de Precios'!K59</f>
        <v>564.56999999999994</v>
      </c>
      <c r="J60" s="70">
        <f>'[1]Tabla de Precios'!L59</f>
        <v>1005.118624</v>
      </c>
      <c r="K60" s="70">
        <f>'[1]Tabla de Precios'!M59</f>
        <v>677.48399999999992</v>
      </c>
      <c r="L60" s="70" t="s">
        <v>530</v>
      </c>
    </row>
    <row r="61" spans="1:12" x14ac:dyDescent="0.25">
      <c r="A61" s="21" t="s">
        <v>179</v>
      </c>
      <c r="B61" s="22">
        <f t="shared" si="0"/>
        <v>60</v>
      </c>
      <c r="C61" s="1" t="s">
        <v>180</v>
      </c>
      <c r="D61" s="1" t="s">
        <v>69</v>
      </c>
      <c r="E61" s="1"/>
      <c r="F61" s="1" t="s">
        <v>71</v>
      </c>
      <c r="G61" s="1">
        <v>0</v>
      </c>
      <c r="H61" s="1" t="s">
        <v>72</v>
      </c>
      <c r="I61" s="70">
        <f>'[1]Tabla de Precios'!K60</f>
        <v>410.25641066666662</v>
      </c>
      <c r="J61" s="70">
        <f>'[1]Tabla de Precios'!L60</f>
        <v>757.7230775807999</v>
      </c>
      <c r="K61" s="70">
        <f>'[1]Tabla de Precios'!M60</f>
        <v>492.30769279999993</v>
      </c>
      <c r="L61" s="70"/>
    </row>
    <row r="62" spans="1:12" x14ac:dyDescent="0.25">
      <c r="A62" s="21" t="s">
        <v>181</v>
      </c>
      <c r="B62" s="22">
        <f t="shared" si="0"/>
        <v>61</v>
      </c>
      <c r="C62" s="1" t="s">
        <v>182</v>
      </c>
      <c r="D62" s="1" t="s">
        <v>69</v>
      </c>
      <c r="E62" s="1"/>
      <c r="F62" s="1" t="s">
        <v>71</v>
      </c>
      <c r="G62" s="1">
        <v>8</v>
      </c>
      <c r="H62" s="1" t="s">
        <v>72</v>
      </c>
      <c r="I62" s="70">
        <f>'[1]Tabla de Precios'!K61</f>
        <v>141.27000000000001</v>
      </c>
      <c r="J62" s="70">
        <f>'[1]Tabla de Precios'!L61</f>
        <v>326.48406399999999</v>
      </c>
      <c r="K62" s="70">
        <f>'[1]Tabla de Precios'!M61</f>
        <v>169.524</v>
      </c>
      <c r="L62" s="70"/>
    </row>
    <row r="63" spans="1:12" ht="30" x14ac:dyDescent="0.25">
      <c r="A63" s="21" t="s">
        <v>183</v>
      </c>
      <c r="B63" s="22">
        <f t="shared" si="0"/>
        <v>62</v>
      </c>
      <c r="C63" s="1" t="s">
        <v>184</v>
      </c>
      <c r="D63" s="1" t="s">
        <v>69</v>
      </c>
      <c r="E63" s="1"/>
      <c r="F63" s="1" t="s">
        <v>71</v>
      </c>
      <c r="G63" s="1">
        <v>3</v>
      </c>
      <c r="H63" s="1" t="s">
        <v>112</v>
      </c>
      <c r="I63" s="70">
        <f>'[1]Tabla de Precios'!K62</f>
        <v>719.45000035972498</v>
      </c>
      <c r="J63" s="70">
        <f>'[1]Tabla de Precios'!L62</f>
        <v>1253.4222405767111</v>
      </c>
      <c r="K63" s="70">
        <f>'[1]Tabla de Precios'!M62</f>
        <v>863.34000043166998</v>
      </c>
      <c r="L63" s="70" t="s">
        <v>531</v>
      </c>
    </row>
    <row r="64" spans="1:12" x14ac:dyDescent="0.25">
      <c r="A64" s="21" t="s">
        <v>185</v>
      </c>
      <c r="B64" s="22">
        <f t="shared" si="0"/>
        <v>63</v>
      </c>
      <c r="C64" s="1" t="s">
        <v>186</v>
      </c>
      <c r="D64" s="1" t="s">
        <v>69</v>
      </c>
      <c r="E64" s="1"/>
      <c r="F64" s="1" t="s">
        <v>71</v>
      </c>
      <c r="G64" s="1">
        <v>1</v>
      </c>
      <c r="H64" s="1" t="s">
        <v>72</v>
      </c>
      <c r="I64" s="70">
        <f>'[1]Tabla de Precios'!K63</f>
        <v>476.98500000000001</v>
      </c>
      <c r="J64" s="70">
        <f>'[1]Tabla de Precios'!L63</f>
        <v>864.70235200000013</v>
      </c>
      <c r="K64" s="70">
        <f>'[1]Tabla de Precios'!M63</f>
        <v>572.38200000000006</v>
      </c>
      <c r="L64" s="70"/>
    </row>
    <row r="65" spans="1:12" x14ac:dyDescent="0.25">
      <c r="A65" s="21" t="s">
        <v>187</v>
      </c>
      <c r="B65" s="22">
        <f t="shared" si="0"/>
        <v>64</v>
      </c>
      <c r="C65" s="1" t="s">
        <v>188</v>
      </c>
      <c r="D65" s="1" t="s">
        <v>69</v>
      </c>
      <c r="E65" s="1"/>
      <c r="F65" s="1" t="s">
        <v>71</v>
      </c>
      <c r="G65" s="1">
        <v>0</v>
      </c>
      <c r="H65" s="1" t="s">
        <v>77</v>
      </c>
      <c r="I65" s="70">
        <f>'[1]Tabla de Precios'!K64</f>
        <v>0</v>
      </c>
      <c r="J65" s="70">
        <f>'[1]Tabla de Precios'!L64</f>
        <v>100</v>
      </c>
      <c r="K65" s="70">
        <f>'[1]Tabla de Precios'!M64</f>
        <v>0</v>
      </c>
      <c r="L65" s="70"/>
    </row>
    <row r="66" spans="1:12" x14ac:dyDescent="0.25">
      <c r="A66" s="21" t="s">
        <v>189</v>
      </c>
      <c r="B66" s="22">
        <f t="shared" si="0"/>
        <v>65</v>
      </c>
      <c r="C66" s="1" t="s">
        <v>190</v>
      </c>
      <c r="D66" s="1" t="s">
        <v>69</v>
      </c>
      <c r="E66" s="1"/>
      <c r="F66" s="1" t="s">
        <v>71</v>
      </c>
      <c r="G66" s="1">
        <v>1</v>
      </c>
      <c r="H66" s="1" t="s">
        <v>77</v>
      </c>
      <c r="I66" s="70">
        <f>'[1]Tabla de Precios'!K65</f>
        <v>0</v>
      </c>
      <c r="J66" s="70">
        <f>'[1]Tabla de Precios'!L65</f>
        <v>100</v>
      </c>
      <c r="K66" s="70">
        <f>'[1]Tabla de Precios'!M65</f>
        <v>0</v>
      </c>
      <c r="L66" s="70"/>
    </row>
    <row r="67" spans="1:12" x14ac:dyDescent="0.25">
      <c r="A67" s="21" t="s">
        <v>191</v>
      </c>
      <c r="B67" s="22">
        <f t="shared" ref="B67:B130" si="1">ROW(B66)</f>
        <v>66</v>
      </c>
      <c r="C67" s="1" t="s">
        <v>192</v>
      </c>
      <c r="D67" s="1" t="s">
        <v>69</v>
      </c>
      <c r="E67" s="1"/>
      <c r="F67" s="1" t="s">
        <v>71</v>
      </c>
      <c r="G67" s="1">
        <v>4</v>
      </c>
      <c r="H67" s="1" t="s">
        <v>72</v>
      </c>
      <c r="I67" s="70">
        <f>'[1]Tabla de Precios'!K66</f>
        <v>244.99000012249502</v>
      </c>
      <c r="J67" s="70">
        <f>'[1]Tabla de Precios'!L66</f>
        <v>492.767968196384</v>
      </c>
      <c r="K67" s="70">
        <f>'[1]Tabla de Precios'!M66</f>
        <v>293.98800014699401</v>
      </c>
      <c r="L67" s="70" t="s">
        <v>532</v>
      </c>
    </row>
    <row r="68" spans="1:12" x14ac:dyDescent="0.25">
      <c r="A68" s="21" t="s">
        <v>193</v>
      </c>
      <c r="B68" s="22">
        <f t="shared" si="1"/>
        <v>67</v>
      </c>
      <c r="C68" s="1" t="s">
        <v>194</v>
      </c>
      <c r="D68" s="1" t="s">
        <v>69</v>
      </c>
      <c r="E68" s="1"/>
      <c r="F68" s="1" t="s">
        <v>71</v>
      </c>
      <c r="G68" s="1">
        <v>2</v>
      </c>
      <c r="H68" s="1" t="s">
        <v>72</v>
      </c>
      <c r="I68" s="70">
        <f>'[1]Tabla de Precios'!K67</f>
        <v>879.4900004397449</v>
      </c>
      <c r="J68" s="70">
        <f>'[1]Tabla de Precios'!L67</f>
        <v>1509.9983687049992</v>
      </c>
      <c r="K68" s="70">
        <f>'[1]Tabla de Precios'!M67</f>
        <v>1055.388000527694</v>
      </c>
      <c r="L68" s="70" t="s">
        <v>533</v>
      </c>
    </row>
    <row r="69" spans="1:12" x14ac:dyDescent="0.25">
      <c r="A69" s="21" t="s">
        <v>195</v>
      </c>
      <c r="B69" s="22">
        <f t="shared" si="1"/>
        <v>68</v>
      </c>
      <c r="C69" s="1" t="s">
        <v>196</v>
      </c>
      <c r="D69" s="1" t="s">
        <v>69</v>
      </c>
      <c r="E69" s="1"/>
      <c r="F69" s="1" t="s">
        <v>71</v>
      </c>
      <c r="G69" s="1">
        <v>13</v>
      </c>
      <c r="H69" s="1" t="s">
        <v>72</v>
      </c>
      <c r="I69" s="70">
        <f>'[1]Tabla de Precios'!K68</f>
        <v>283.48000014173999</v>
      </c>
      <c r="J69" s="70">
        <f>'[1]Tabla de Precios'!L68</f>
        <v>554.47513622723761</v>
      </c>
      <c r="K69" s="70">
        <f>'[1]Tabla de Precios'!M68</f>
        <v>340.176000170088</v>
      </c>
      <c r="L69" s="70" t="s">
        <v>534</v>
      </c>
    </row>
    <row r="70" spans="1:12" ht="30" x14ac:dyDescent="0.25">
      <c r="A70" s="21" t="s">
        <v>197</v>
      </c>
      <c r="B70" s="22">
        <f t="shared" si="1"/>
        <v>69</v>
      </c>
      <c r="C70" s="1" t="s">
        <v>198</v>
      </c>
      <c r="D70" s="1" t="s">
        <v>69</v>
      </c>
      <c r="E70" s="1"/>
      <c r="F70" s="1" t="s">
        <v>71</v>
      </c>
      <c r="G70" s="1">
        <v>12</v>
      </c>
      <c r="H70" s="1" t="s">
        <v>72</v>
      </c>
      <c r="I70" s="70">
        <f>'[1]Tabla de Precios'!K69</f>
        <v>598.78499999999997</v>
      </c>
      <c r="J70" s="70">
        <f>'[1]Tabla de Precios'!L69</f>
        <v>1059.9721119999999</v>
      </c>
      <c r="K70" s="70">
        <f>'[1]Tabla de Precios'!M69</f>
        <v>718.54199999999992</v>
      </c>
      <c r="L70" s="70"/>
    </row>
    <row r="71" spans="1:12" x14ac:dyDescent="0.25">
      <c r="A71" s="21" t="s">
        <v>199</v>
      </c>
      <c r="B71" s="22">
        <f t="shared" si="1"/>
        <v>70</v>
      </c>
      <c r="C71" s="1" t="s">
        <v>200</v>
      </c>
      <c r="D71" s="1" t="s">
        <v>69</v>
      </c>
      <c r="E71" s="1"/>
      <c r="F71" s="1" t="s">
        <v>71</v>
      </c>
      <c r="G71" s="1">
        <v>0</v>
      </c>
      <c r="H71" s="1" t="s">
        <v>112</v>
      </c>
      <c r="I71" s="70">
        <f>'[1]Tabla de Precios'!K70</f>
        <v>208.33333333604165</v>
      </c>
      <c r="J71" s="70">
        <f>'[1]Tabla de Precios'!L70</f>
        <v>434.00000000434193</v>
      </c>
      <c r="K71" s="70">
        <f>'[1]Tabla de Precios'!M70</f>
        <v>250.00000000324997</v>
      </c>
      <c r="L71" s="70" t="s">
        <v>535</v>
      </c>
    </row>
    <row r="72" spans="1:12" x14ac:dyDescent="0.25">
      <c r="A72" s="21" t="s">
        <v>201</v>
      </c>
      <c r="B72" s="22">
        <f t="shared" si="1"/>
        <v>71</v>
      </c>
      <c r="C72" s="1" t="s">
        <v>202</v>
      </c>
      <c r="D72" s="1" t="s">
        <v>69</v>
      </c>
      <c r="E72" s="1"/>
      <c r="F72" s="1" t="s">
        <v>71</v>
      </c>
      <c r="G72" s="1">
        <v>14</v>
      </c>
      <c r="H72" s="1" t="s">
        <v>72</v>
      </c>
      <c r="I72" s="70">
        <f>'[1]Tabla de Precios'!K71</f>
        <v>81.284999999999997</v>
      </c>
      <c r="J72" s="70">
        <f>'[1]Tabla de Precios'!L71</f>
        <v>230.316112</v>
      </c>
      <c r="K72" s="70">
        <f>'[1]Tabla de Precios'!M71</f>
        <v>97.542000000000002</v>
      </c>
      <c r="L72" s="70"/>
    </row>
    <row r="73" spans="1:12" x14ac:dyDescent="0.25">
      <c r="A73" s="21" t="s">
        <v>203</v>
      </c>
      <c r="B73" s="22">
        <f t="shared" si="1"/>
        <v>72</v>
      </c>
      <c r="C73" s="1" t="s">
        <v>204</v>
      </c>
      <c r="D73" s="1" t="s">
        <v>69</v>
      </c>
      <c r="E73" s="1"/>
      <c r="F73" s="1" t="s">
        <v>71</v>
      </c>
      <c r="G73" s="1">
        <v>2</v>
      </c>
      <c r="H73" s="1" t="s">
        <v>72</v>
      </c>
      <c r="I73" s="70">
        <f>'[1]Tabla de Precios'!K72</f>
        <v>533.530000266765</v>
      </c>
      <c r="J73" s="70">
        <f>'[1]Tabla de Precios'!L72</f>
        <v>955.35529642767767</v>
      </c>
      <c r="K73" s="70">
        <f>'[1]Tabla de Precios'!M72</f>
        <v>640.23600032011802</v>
      </c>
      <c r="L73" s="70"/>
    </row>
    <row r="74" spans="1:12" x14ac:dyDescent="0.25">
      <c r="A74" s="21" t="s">
        <v>205</v>
      </c>
      <c r="B74" s="22">
        <f t="shared" si="1"/>
        <v>73</v>
      </c>
      <c r="C74" s="1" t="s">
        <v>206</v>
      </c>
      <c r="D74" s="1" t="s">
        <v>69</v>
      </c>
      <c r="E74" s="1"/>
      <c r="F74" s="1" t="s">
        <v>71</v>
      </c>
      <c r="G74" s="1">
        <v>2</v>
      </c>
      <c r="H74" s="1" t="s">
        <v>72</v>
      </c>
      <c r="I74" s="70">
        <f>'[1]Tabla de Precios'!K73</f>
        <v>192</v>
      </c>
      <c r="J74" s="70">
        <f>'[1]Tabla de Precios'!L73</f>
        <v>407.81439999999998</v>
      </c>
      <c r="K74" s="70">
        <f>'[1]Tabla de Precios'!M73</f>
        <v>230.4</v>
      </c>
      <c r="L74" s="70" t="s">
        <v>536</v>
      </c>
    </row>
    <row r="75" spans="1:12" x14ac:dyDescent="0.25">
      <c r="A75" s="21" t="s">
        <v>207</v>
      </c>
      <c r="B75" s="22">
        <f t="shared" si="1"/>
        <v>74</v>
      </c>
      <c r="C75" s="1" t="s">
        <v>208</v>
      </c>
      <c r="D75" s="1" t="s">
        <v>69</v>
      </c>
      <c r="E75" s="1"/>
      <c r="F75" s="1" t="s">
        <v>71</v>
      </c>
      <c r="G75" s="1">
        <v>1</v>
      </c>
      <c r="H75" s="1" t="s">
        <v>72</v>
      </c>
      <c r="I75" s="70">
        <f>'[1]Tabla de Precios'!K74</f>
        <v>227.52</v>
      </c>
      <c r="J75" s="70">
        <f>'[1]Tabla de Precios'!L74</f>
        <v>464.760064</v>
      </c>
      <c r="K75" s="70">
        <f>'[1]Tabla de Precios'!M74</f>
        <v>273.024</v>
      </c>
      <c r="L75" s="70"/>
    </row>
    <row r="76" spans="1:12" x14ac:dyDescent="0.25">
      <c r="A76" s="21" t="s">
        <v>209</v>
      </c>
      <c r="B76" s="22">
        <f t="shared" si="1"/>
        <v>75</v>
      </c>
      <c r="C76" s="1" t="s">
        <v>210</v>
      </c>
      <c r="D76" s="1" t="s">
        <v>69</v>
      </c>
      <c r="E76" s="1"/>
      <c r="F76" s="1" t="s">
        <v>71</v>
      </c>
      <c r="G76" s="1">
        <v>0</v>
      </c>
      <c r="H76" s="1" t="s">
        <v>72</v>
      </c>
      <c r="I76" s="70">
        <f>'[1]Tabla de Precios'!K75</f>
        <v>173.73</v>
      </c>
      <c r="J76" s="70">
        <f>'[1]Tabla de Precios'!L75</f>
        <v>378.52393599999999</v>
      </c>
      <c r="K76" s="70">
        <f>'[1]Tabla de Precios'!M75</f>
        <v>208.476</v>
      </c>
      <c r="L76" s="70"/>
    </row>
    <row r="77" spans="1:12" x14ac:dyDescent="0.25">
      <c r="A77" s="21" t="s">
        <v>211</v>
      </c>
      <c r="B77" s="22">
        <f t="shared" si="1"/>
        <v>76</v>
      </c>
      <c r="C77" s="1" t="s">
        <v>212</v>
      </c>
      <c r="D77" s="1" t="s">
        <v>69</v>
      </c>
      <c r="E77" s="1"/>
      <c r="F77" s="1" t="s">
        <v>71</v>
      </c>
      <c r="G77" s="1">
        <v>0</v>
      </c>
      <c r="H77" s="1" t="s">
        <v>72</v>
      </c>
      <c r="I77" s="70">
        <f>'[1]Tabla de Precios'!K76</f>
        <v>500.00000065</v>
      </c>
      <c r="J77" s="70">
        <f>'[1]Tabla de Precios'!L76</f>
        <v>901.60000104208007</v>
      </c>
      <c r="K77" s="70">
        <f>'[1]Tabla de Precios'!M76</f>
        <v>600.00000078000005</v>
      </c>
      <c r="L77" s="70"/>
    </row>
    <row r="78" spans="1:12" x14ac:dyDescent="0.25">
      <c r="A78" s="21" t="s">
        <v>213</v>
      </c>
      <c r="B78" s="22">
        <f t="shared" si="1"/>
        <v>77</v>
      </c>
      <c r="C78" s="1" t="s">
        <v>214</v>
      </c>
      <c r="D78" s="1" t="s">
        <v>69</v>
      </c>
      <c r="E78" s="1"/>
      <c r="F78" s="1" t="s">
        <v>71</v>
      </c>
      <c r="G78" s="1">
        <v>3</v>
      </c>
      <c r="H78" s="1" t="s">
        <v>72</v>
      </c>
      <c r="I78" s="70">
        <f>'[1]Tabla de Precios'!K77</f>
        <v>541.66666737083335</v>
      </c>
      <c r="J78" s="70">
        <f>'[1]Tabla de Precios'!L77</f>
        <v>968.40000112892005</v>
      </c>
      <c r="K78" s="70">
        <f>'[1]Tabla de Precios'!M77</f>
        <v>650.00000084500005</v>
      </c>
      <c r="L78" s="70"/>
    </row>
    <row r="79" spans="1:12" ht="30" x14ac:dyDescent="0.25">
      <c r="A79" s="21" t="s">
        <v>215</v>
      </c>
      <c r="B79" s="22">
        <f t="shared" si="1"/>
        <v>78</v>
      </c>
      <c r="C79" s="1" t="s">
        <v>216</v>
      </c>
      <c r="D79" s="1" t="s">
        <v>69</v>
      </c>
      <c r="E79" s="1"/>
      <c r="F79" s="1" t="s">
        <v>71</v>
      </c>
      <c r="G79" s="1">
        <v>0</v>
      </c>
      <c r="H79" s="1" t="s">
        <v>72</v>
      </c>
      <c r="I79" s="70">
        <f>'[1]Tabla de Precios'!K78</f>
        <v>678.84615452499997</v>
      </c>
      <c r="J79" s="70">
        <f>'[1]Tabla de Precios'!L78</f>
        <v>1188.32615493448</v>
      </c>
      <c r="K79" s="70">
        <f>'[1]Tabla de Precios'!M78</f>
        <v>814.61538542999995</v>
      </c>
      <c r="L79" s="70"/>
    </row>
    <row r="80" spans="1:12" x14ac:dyDescent="0.25">
      <c r="A80" s="21" t="s">
        <v>217</v>
      </c>
      <c r="B80" s="22">
        <f t="shared" si="1"/>
        <v>79</v>
      </c>
      <c r="C80" s="1" t="s">
        <v>218</v>
      </c>
      <c r="D80" s="1" t="s">
        <v>69</v>
      </c>
      <c r="E80" s="1"/>
      <c r="F80" s="1" t="s">
        <v>71</v>
      </c>
      <c r="G80" s="1">
        <v>8</v>
      </c>
      <c r="H80" s="1" t="s">
        <v>72</v>
      </c>
      <c r="I80" s="70">
        <f>'[1]Tabla de Precios'!K79</f>
        <v>875.61000043780507</v>
      </c>
      <c r="J80" s="70">
        <f>'[1]Tabla de Precios'!L79</f>
        <v>1503.7779527018893</v>
      </c>
      <c r="K80" s="70">
        <f>'[1]Tabla de Precios'!M79</f>
        <v>1050.7320005253662</v>
      </c>
      <c r="L80" s="70"/>
    </row>
    <row r="81" spans="1:12" x14ac:dyDescent="0.25">
      <c r="A81" s="21" t="s">
        <v>219</v>
      </c>
      <c r="B81" s="22">
        <f t="shared" si="1"/>
        <v>80</v>
      </c>
      <c r="C81" s="1" t="s">
        <v>220</v>
      </c>
      <c r="D81" s="1" t="s">
        <v>69</v>
      </c>
      <c r="E81" s="1"/>
      <c r="F81" s="1" t="s">
        <v>71</v>
      </c>
      <c r="G81" s="1">
        <v>0</v>
      </c>
      <c r="H81" s="1" t="s">
        <v>72</v>
      </c>
      <c r="I81" s="70">
        <f>'[1]Tabla de Precios'!K80</f>
        <v>243.58974383333398</v>
      </c>
      <c r="J81" s="70">
        <f>'[1]Tabla de Precios'!L80</f>
        <v>490.52307731360105</v>
      </c>
      <c r="K81" s="70">
        <f>'[1]Tabla de Precios'!M80</f>
        <v>292.30769260000079</v>
      </c>
      <c r="L81" s="70"/>
    </row>
    <row r="82" spans="1:12" x14ac:dyDescent="0.25">
      <c r="A82" s="21" t="s">
        <v>221</v>
      </c>
      <c r="B82" s="22">
        <f t="shared" si="1"/>
        <v>81</v>
      </c>
      <c r="C82" s="1" t="s">
        <v>222</v>
      </c>
      <c r="D82" s="1" t="s">
        <v>69</v>
      </c>
      <c r="E82" s="1"/>
      <c r="F82" s="1" t="s">
        <v>71</v>
      </c>
      <c r="G82" s="1">
        <v>0</v>
      </c>
      <c r="H82" s="1" t="s">
        <v>72</v>
      </c>
      <c r="I82" s="70">
        <f>'[1]Tabla de Precios'!K81</f>
        <v>256.4102566666665</v>
      </c>
      <c r="J82" s="70">
        <f>'[1]Tabla de Precios'!L81</f>
        <v>511.07692348799975</v>
      </c>
      <c r="K82" s="70">
        <f>'[1]Tabla de Precios'!M81</f>
        <v>307.6923079999998</v>
      </c>
      <c r="L82" s="70"/>
    </row>
    <row r="83" spans="1:12" x14ac:dyDescent="0.25">
      <c r="A83" s="21" t="s">
        <v>223</v>
      </c>
      <c r="B83" s="22">
        <f t="shared" si="1"/>
        <v>82</v>
      </c>
      <c r="C83" s="1" t="s">
        <v>224</v>
      </c>
      <c r="D83" s="1" t="s">
        <v>69</v>
      </c>
      <c r="E83" s="1" t="s">
        <v>79</v>
      </c>
      <c r="F83" s="1" t="s">
        <v>71</v>
      </c>
      <c r="G83" s="1">
        <v>1</v>
      </c>
      <c r="H83" s="1" t="s">
        <v>72</v>
      </c>
      <c r="I83" s="70">
        <f>'[1]Tabla de Precios'!K82</f>
        <v>605.09999999999991</v>
      </c>
      <c r="J83" s="70">
        <f>'[1]Tabla de Precios'!L82</f>
        <v>1070.0963199999999</v>
      </c>
      <c r="K83" s="70">
        <f>'[1]Tabla de Precios'!M82</f>
        <v>726.11999999999989</v>
      </c>
      <c r="L83" s="70"/>
    </row>
    <row r="84" spans="1:12" x14ac:dyDescent="0.25">
      <c r="A84" s="21" t="s">
        <v>225</v>
      </c>
      <c r="B84" s="22">
        <f t="shared" si="1"/>
        <v>83</v>
      </c>
      <c r="C84" s="1" t="s">
        <v>226</v>
      </c>
      <c r="D84" s="1" t="s">
        <v>69</v>
      </c>
      <c r="E84" s="1"/>
      <c r="F84" s="1" t="s">
        <v>71</v>
      </c>
      <c r="G84" s="1">
        <v>0</v>
      </c>
      <c r="H84" s="1" t="s">
        <v>72</v>
      </c>
      <c r="I84" s="70">
        <f>'[1]Tabla de Precios'!K83</f>
        <v>605.10000030254992</v>
      </c>
      <c r="J84" s="70">
        <f>'[1]Tabla de Precios'!L83</f>
        <v>1070.0963204850482</v>
      </c>
      <c r="K84" s="70">
        <f>'[1]Tabla de Precios'!M83</f>
        <v>726.12000036305994</v>
      </c>
      <c r="L84" s="70" t="s">
        <v>537</v>
      </c>
    </row>
    <row r="85" spans="1:12" x14ac:dyDescent="0.25">
      <c r="A85" s="21" t="s">
        <v>227</v>
      </c>
      <c r="B85" s="22">
        <f t="shared" si="1"/>
        <v>84</v>
      </c>
      <c r="C85" s="1" t="s">
        <v>228</v>
      </c>
      <c r="D85" s="1" t="s">
        <v>69</v>
      </c>
      <c r="E85" s="1"/>
      <c r="F85" s="1" t="s">
        <v>71</v>
      </c>
      <c r="G85" s="1">
        <v>7</v>
      </c>
      <c r="H85" s="1" t="s">
        <v>72</v>
      </c>
      <c r="I85" s="70">
        <f>'[1]Tabla de Precios'!K84</f>
        <v>240</v>
      </c>
      <c r="J85" s="70">
        <f>'[1]Tabla de Precios'!L84</f>
        <v>484.76800000000003</v>
      </c>
      <c r="K85" s="70">
        <f>'[1]Tabla de Precios'!M84</f>
        <v>288</v>
      </c>
      <c r="L85" s="70" t="s">
        <v>538</v>
      </c>
    </row>
    <row r="86" spans="1:12" x14ac:dyDescent="0.25">
      <c r="A86" s="21" t="s">
        <v>229</v>
      </c>
      <c r="B86" s="22">
        <f t="shared" si="1"/>
        <v>85</v>
      </c>
      <c r="C86" s="1" t="s">
        <v>230</v>
      </c>
      <c r="D86" s="1" t="s">
        <v>69</v>
      </c>
      <c r="E86" s="1"/>
      <c r="F86" s="1" t="s">
        <v>71</v>
      </c>
      <c r="G86" s="1">
        <v>20</v>
      </c>
      <c r="H86" s="1" t="s">
        <v>72</v>
      </c>
      <c r="I86" s="70">
        <f>'[1]Tabla de Precios'!K85</f>
        <v>133.33333350666666</v>
      </c>
      <c r="J86" s="70">
        <f>'[1]Tabla de Precios'!L85</f>
        <v>313.76000027788803</v>
      </c>
      <c r="K86" s="70">
        <f>'[1]Tabla de Precios'!M85</f>
        <v>160.00000020799999</v>
      </c>
      <c r="L86" s="70" t="s">
        <v>539</v>
      </c>
    </row>
    <row r="87" spans="1:12" x14ac:dyDescent="0.25">
      <c r="A87" s="21" t="s">
        <v>231</v>
      </c>
      <c r="B87" s="22">
        <f t="shared" si="1"/>
        <v>86</v>
      </c>
      <c r="C87" s="1" t="s">
        <v>232</v>
      </c>
      <c r="D87" s="1" t="s">
        <v>69</v>
      </c>
      <c r="E87" s="1"/>
      <c r="F87" s="1" t="s">
        <v>71</v>
      </c>
      <c r="G87" s="1">
        <v>0</v>
      </c>
      <c r="H87" s="1" t="s">
        <v>72</v>
      </c>
      <c r="I87" s="70">
        <f>'[1]Tabla de Precios'!K86</f>
        <v>96.076923172999983</v>
      </c>
      <c r="J87" s="70">
        <f>'[1]Tabla de Precios'!L86</f>
        <v>254.03052323095358</v>
      </c>
      <c r="K87" s="70">
        <f>'[1]Tabla de Precios'!M86</f>
        <v>115.29230780759998</v>
      </c>
      <c r="L87" s="70"/>
    </row>
    <row r="88" spans="1:12" x14ac:dyDescent="0.25">
      <c r="A88" s="21" t="s">
        <v>233</v>
      </c>
      <c r="B88" s="22">
        <f t="shared" si="1"/>
        <v>87</v>
      </c>
      <c r="C88" s="1" t="s">
        <v>234</v>
      </c>
      <c r="D88" s="1" t="s">
        <v>69</v>
      </c>
      <c r="E88" s="1"/>
      <c r="F88" s="1" t="s">
        <v>71</v>
      </c>
      <c r="G88" s="1">
        <v>3</v>
      </c>
      <c r="H88" s="1" t="s">
        <v>72</v>
      </c>
      <c r="I88" s="70">
        <f>'[1]Tabla de Precios'!K87</f>
        <v>407.69166719666589</v>
      </c>
      <c r="J88" s="70">
        <f>'[1]Tabla de Precios'!L87</f>
        <v>753.61128084969482</v>
      </c>
      <c r="K88" s="70">
        <f>'[1]Tabla de Precios'!M87</f>
        <v>489.23000063599909</v>
      </c>
      <c r="L88" s="70" t="s">
        <v>540</v>
      </c>
    </row>
    <row r="89" spans="1:12" x14ac:dyDescent="0.25">
      <c r="A89" s="21" t="s">
        <v>235</v>
      </c>
      <c r="B89" s="22">
        <f t="shared" si="1"/>
        <v>88</v>
      </c>
      <c r="C89" s="1" t="s">
        <v>236</v>
      </c>
      <c r="D89" s="1" t="s">
        <v>69</v>
      </c>
      <c r="E89" s="1"/>
      <c r="F89" s="1" t="s">
        <v>71</v>
      </c>
      <c r="G89" s="1">
        <v>0</v>
      </c>
      <c r="H89" s="1" t="s">
        <v>72</v>
      </c>
      <c r="I89" s="70">
        <f>'[1]Tabla de Precios'!K88</f>
        <v>336.53846187500005</v>
      </c>
      <c r="J89" s="70">
        <f>'[1]Tabla de Precios'!L88</f>
        <v>639.53846207800007</v>
      </c>
      <c r="K89" s="70">
        <f>'[1]Tabla de Precios'!M88</f>
        <v>403.84615425000004</v>
      </c>
      <c r="L89" s="70"/>
    </row>
    <row r="90" spans="1:12" x14ac:dyDescent="0.25">
      <c r="A90" s="21" t="s">
        <v>237</v>
      </c>
      <c r="B90" s="22">
        <f t="shared" si="1"/>
        <v>89</v>
      </c>
      <c r="C90" s="1" t="s">
        <v>238</v>
      </c>
      <c r="D90" s="1" t="s">
        <v>69</v>
      </c>
      <c r="E90" s="1"/>
      <c r="F90" s="1" t="s">
        <v>71</v>
      </c>
      <c r="G90" s="1">
        <v>0</v>
      </c>
      <c r="H90" s="1" t="s">
        <v>72</v>
      </c>
      <c r="I90" s="70">
        <f>'[1]Tabla de Precios'!K89</f>
        <v>527.34000026366994</v>
      </c>
      <c r="J90" s="70">
        <f>'[1]Tabla de Precios'!L89</f>
        <v>945.43148842271557</v>
      </c>
      <c r="K90" s="70">
        <f>'[1]Tabla de Precios'!M89</f>
        <v>632.80800031640388</v>
      </c>
      <c r="L90" s="70"/>
    </row>
    <row r="91" spans="1:12" x14ac:dyDescent="0.25">
      <c r="A91" s="21" t="s">
        <v>239</v>
      </c>
      <c r="B91" s="22">
        <f t="shared" si="1"/>
        <v>90</v>
      </c>
      <c r="C91" s="1" t="s">
        <v>240</v>
      </c>
      <c r="D91" s="1" t="s">
        <v>69</v>
      </c>
      <c r="E91" s="1"/>
      <c r="F91" s="1" t="s">
        <v>71</v>
      </c>
      <c r="G91" s="1">
        <v>0</v>
      </c>
      <c r="H91" s="1" t="s">
        <v>72</v>
      </c>
      <c r="I91" s="70">
        <f>'[1]Tabla de Precios'!K90</f>
        <v>650.00000084499993</v>
      </c>
      <c r="J91" s="70">
        <f>'[1]Tabla de Precios'!L90</f>
        <v>1142.0800013547041</v>
      </c>
      <c r="K91" s="70">
        <f>'[1]Tabla de Precios'!M90</f>
        <v>780.00000101399996</v>
      </c>
      <c r="L91" s="70" t="s">
        <v>541</v>
      </c>
    </row>
    <row r="92" spans="1:12" x14ac:dyDescent="0.25">
      <c r="A92" s="21" t="s">
        <v>506</v>
      </c>
      <c r="B92" s="22">
        <f t="shared" si="1"/>
        <v>91</v>
      </c>
      <c r="C92" s="1" t="s">
        <v>241</v>
      </c>
      <c r="D92" s="1" t="s">
        <v>69</v>
      </c>
      <c r="E92" s="1"/>
      <c r="F92" s="1" t="s">
        <v>71</v>
      </c>
      <c r="G92" s="1">
        <v>24</v>
      </c>
      <c r="H92" s="1" t="s">
        <v>72</v>
      </c>
      <c r="I92" s="70">
        <f>'[1]Tabla de Precios'!K91</f>
        <v>0</v>
      </c>
      <c r="J92" s="70">
        <f>'[1]Tabla de Precios'!L91</f>
        <v>100</v>
      </c>
      <c r="K92" s="70">
        <f>'[1]Tabla de Precios'!M91</f>
        <v>0</v>
      </c>
      <c r="L92" s="70"/>
    </row>
    <row r="93" spans="1:12" x14ac:dyDescent="0.25">
      <c r="A93" s="21" t="s">
        <v>242</v>
      </c>
      <c r="B93" s="22">
        <f t="shared" si="1"/>
        <v>92</v>
      </c>
      <c r="C93" s="1" t="s">
        <v>243</v>
      </c>
      <c r="D93" s="1" t="s">
        <v>69</v>
      </c>
      <c r="E93" s="1"/>
      <c r="F93" s="1" t="s">
        <v>71</v>
      </c>
      <c r="G93" s="1">
        <v>10</v>
      </c>
      <c r="H93" s="1" t="s">
        <v>72</v>
      </c>
      <c r="I93" s="70">
        <f>'[1]Tabla de Precios'!K92</f>
        <v>1083.3333347416667</v>
      </c>
      <c r="J93" s="70">
        <f>'[1]Tabla de Precios'!L92</f>
        <v>1836.8000022578401</v>
      </c>
      <c r="K93" s="70">
        <f>'[1]Tabla de Precios'!M92</f>
        <v>1300.0000016900001</v>
      </c>
      <c r="L93" s="70" t="s">
        <v>542</v>
      </c>
    </row>
    <row r="94" spans="1:12" x14ac:dyDescent="0.25">
      <c r="A94" s="21" t="s">
        <v>244</v>
      </c>
      <c r="B94" s="22">
        <f t="shared" si="1"/>
        <v>93</v>
      </c>
      <c r="C94" s="1" t="s">
        <v>245</v>
      </c>
      <c r="D94" s="1" t="s">
        <v>69</v>
      </c>
      <c r="E94" s="1"/>
      <c r="F94" s="1" t="s">
        <v>71</v>
      </c>
      <c r="G94" s="1">
        <v>0</v>
      </c>
      <c r="H94" s="1" t="s">
        <v>72</v>
      </c>
      <c r="I94" s="70">
        <f>'[1]Tabla de Precios'!K93</f>
        <v>990.13000049506491</v>
      </c>
      <c r="J94" s="70">
        <f>'[1]Tabla de Precios'!L93</f>
        <v>1687.3764167936879</v>
      </c>
      <c r="K94" s="70">
        <f>'[1]Tabla de Precios'!M93</f>
        <v>1188.1560005940778</v>
      </c>
      <c r="L94" s="70" t="s">
        <v>543</v>
      </c>
    </row>
    <row r="95" spans="1:12" x14ac:dyDescent="0.25">
      <c r="A95" s="21" t="s">
        <v>246</v>
      </c>
      <c r="B95" s="22">
        <f t="shared" si="1"/>
        <v>94</v>
      </c>
      <c r="C95" s="1" t="s">
        <v>247</v>
      </c>
      <c r="D95" s="1" t="s">
        <v>69</v>
      </c>
      <c r="E95" s="1"/>
      <c r="F95" s="1" t="s">
        <v>71</v>
      </c>
      <c r="G95" s="1">
        <v>6</v>
      </c>
      <c r="H95" s="1" t="s">
        <v>72</v>
      </c>
      <c r="I95" s="70">
        <f>'[1]Tabla de Precios'!K94</f>
        <v>658.33333418916675</v>
      </c>
      <c r="J95" s="70">
        <f>'[1]Tabla de Precios'!L94</f>
        <v>1155.4400013720719</v>
      </c>
      <c r="K95" s="70">
        <f>'[1]Tabla de Precios'!M94</f>
        <v>790.00000102700005</v>
      </c>
      <c r="L95" s="70"/>
    </row>
    <row r="96" spans="1:12" x14ac:dyDescent="0.25">
      <c r="A96" s="21" t="s">
        <v>248</v>
      </c>
      <c r="B96" s="22">
        <f t="shared" si="1"/>
        <v>95</v>
      </c>
      <c r="C96" s="1" t="s">
        <v>249</v>
      </c>
      <c r="D96" s="1" t="s">
        <v>69</v>
      </c>
      <c r="E96" s="1" t="s">
        <v>79</v>
      </c>
      <c r="F96" s="1" t="s">
        <v>71</v>
      </c>
      <c r="G96" s="1">
        <v>1</v>
      </c>
      <c r="H96" s="1" t="s">
        <v>72</v>
      </c>
      <c r="I96" s="70">
        <f>'[1]Tabla de Precios'!K95</f>
        <v>428.76</v>
      </c>
      <c r="J96" s="70">
        <f>'[1]Tabla de Precios'!L95</f>
        <v>787.38803199999995</v>
      </c>
      <c r="K96" s="70">
        <f>'[1]Tabla de Precios'!M95</f>
        <v>514.51199999999994</v>
      </c>
      <c r="L96" s="70"/>
    </row>
    <row r="97" spans="1:12" x14ac:dyDescent="0.25">
      <c r="A97" s="21" t="s">
        <v>250</v>
      </c>
      <c r="B97" s="22">
        <f t="shared" si="1"/>
        <v>96</v>
      </c>
      <c r="C97" s="1" t="s">
        <v>251</v>
      </c>
      <c r="D97" s="1" t="s">
        <v>69</v>
      </c>
      <c r="E97" s="1"/>
      <c r="F97" s="1" t="s">
        <v>71</v>
      </c>
      <c r="G97" s="1">
        <v>9</v>
      </c>
      <c r="H97" s="1" t="s">
        <v>72</v>
      </c>
      <c r="I97" s="70">
        <f>'[1]Tabla de Precios'!K96</f>
        <v>746.33000037316492</v>
      </c>
      <c r="J97" s="70">
        <f>'[1]Tabla de Precios'!L96</f>
        <v>1296.516256598258</v>
      </c>
      <c r="K97" s="70">
        <f>'[1]Tabla de Precios'!M96</f>
        <v>895.59600044779791</v>
      </c>
      <c r="L97" s="70"/>
    </row>
    <row r="98" spans="1:12" x14ac:dyDescent="0.25">
      <c r="A98" s="21" t="s">
        <v>252</v>
      </c>
      <c r="B98" s="22">
        <f t="shared" si="1"/>
        <v>97</v>
      </c>
      <c r="C98" s="1" t="s">
        <v>253</v>
      </c>
      <c r="D98" s="1" t="s">
        <v>69</v>
      </c>
      <c r="E98" s="1"/>
      <c r="F98" s="1" t="s">
        <v>71</v>
      </c>
      <c r="G98" s="1">
        <v>1</v>
      </c>
      <c r="H98" s="1" t="s">
        <v>72</v>
      </c>
      <c r="I98" s="70">
        <f>'[1]Tabla de Precios'!K97</f>
        <v>379.16666715958331</v>
      </c>
      <c r="J98" s="70">
        <f>'[1]Tabla de Precios'!L97</f>
        <v>707.88000079024403</v>
      </c>
      <c r="K98" s="70">
        <f>'[1]Tabla de Precios'!M97</f>
        <v>455.0000005915</v>
      </c>
      <c r="L98" s="70" t="s">
        <v>544</v>
      </c>
    </row>
    <row r="99" spans="1:12" x14ac:dyDescent="0.25">
      <c r="A99" s="21" t="s">
        <v>254</v>
      </c>
      <c r="B99" s="22">
        <f t="shared" si="1"/>
        <v>98</v>
      </c>
      <c r="C99" s="1" t="s">
        <v>255</v>
      </c>
      <c r="D99" s="1" t="s">
        <v>69</v>
      </c>
      <c r="E99" s="1"/>
      <c r="F99" s="1" t="s">
        <v>71</v>
      </c>
      <c r="G99" s="1">
        <v>0</v>
      </c>
      <c r="H99" s="1" t="s">
        <v>72</v>
      </c>
      <c r="I99" s="70">
        <f>'[1]Tabla de Precios'!K98</f>
        <v>375.06000018753002</v>
      </c>
      <c r="J99" s="70">
        <f>'[1]Tabla de Precios'!L98</f>
        <v>701.29619230064816</v>
      </c>
      <c r="K99" s="70">
        <f>'[1]Tabla de Precios'!M98</f>
        <v>450.07200022503605</v>
      </c>
      <c r="L99" s="70"/>
    </row>
    <row r="100" spans="1:12" x14ac:dyDescent="0.25">
      <c r="A100" s="21" t="s">
        <v>256</v>
      </c>
      <c r="B100" s="22">
        <f t="shared" si="1"/>
        <v>99</v>
      </c>
      <c r="C100" s="1" t="s">
        <v>257</v>
      </c>
      <c r="D100" s="1" t="s">
        <v>69</v>
      </c>
      <c r="E100" s="1"/>
      <c r="F100" s="1" t="s">
        <v>71</v>
      </c>
      <c r="G100" s="1">
        <v>0</v>
      </c>
      <c r="H100" s="1" t="s">
        <v>72</v>
      </c>
      <c r="I100" s="70">
        <f>'[1]Tabla de Precios'!K99</f>
        <v>419.48000020974007</v>
      </c>
      <c r="J100" s="70">
        <f>'[1]Tabla de Precios'!L99</f>
        <v>772.51033633625525</v>
      </c>
      <c r="K100" s="70">
        <f>'[1]Tabla de Precios'!M99</f>
        <v>503.37600025168808</v>
      </c>
      <c r="L100" s="70"/>
    </row>
    <row r="101" spans="1:12" x14ac:dyDescent="0.25">
      <c r="A101" s="21" t="s">
        <v>258</v>
      </c>
      <c r="B101" s="22">
        <f t="shared" si="1"/>
        <v>100</v>
      </c>
      <c r="C101" s="1" t="s">
        <v>259</v>
      </c>
      <c r="D101" s="1" t="s">
        <v>69</v>
      </c>
      <c r="E101" s="1"/>
      <c r="F101" s="1" t="s">
        <v>71</v>
      </c>
      <c r="G101" s="1">
        <v>7</v>
      </c>
      <c r="H101" s="1" t="s">
        <v>72</v>
      </c>
      <c r="I101" s="70">
        <f>'[1]Tabla de Precios'!K100</f>
        <v>201.18000010059001</v>
      </c>
      <c r="J101" s="70">
        <f>'[1]Tabla de Precios'!L100</f>
        <v>422.53177616126595</v>
      </c>
      <c r="K101" s="70">
        <f>'[1]Tabla de Precios'!M100</f>
        <v>241.41600012070802</v>
      </c>
      <c r="L101" s="70"/>
    </row>
    <row r="102" spans="1:12" x14ac:dyDescent="0.25">
      <c r="A102" s="21" t="s">
        <v>260</v>
      </c>
      <c r="B102" s="22">
        <f t="shared" si="1"/>
        <v>101</v>
      </c>
      <c r="C102" s="1" t="s">
        <v>261</v>
      </c>
      <c r="D102" s="1" t="s">
        <v>69</v>
      </c>
      <c r="E102" s="1"/>
      <c r="F102" s="1" t="s">
        <v>71</v>
      </c>
      <c r="G102" s="1">
        <v>0</v>
      </c>
      <c r="H102" s="1" t="s">
        <v>72</v>
      </c>
      <c r="I102" s="70">
        <f>'[1]Tabla de Precios'!K101</f>
        <v>0</v>
      </c>
      <c r="J102" s="70">
        <f>'[1]Tabla de Precios'!L101</f>
        <v>100</v>
      </c>
      <c r="K102" s="70">
        <f>'[1]Tabla de Precios'!M101</f>
        <v>0</v>
      </c>
      <c r="L102" s="70"/>
    </row>
    <row r="103" spans="1:12" ht="30" x14ac:dyDescent="0.25">
      <c r="A103" s="21" t="s">
        <v>262</v>
      </c>
      <c r="B103" s="22">
        <f t="shared" si="1"/>
        <v>102</v>
      </c>
      <c r="C103" s="1" t="s">
        <v>263</v>
      </c>
      <c r="D103" s="1" t="s">
        <v>69</v>
      </c>
      <c r="E103" s="1"/>
      <c r="F103" s="1" t="s">
        <v>71</v>
      </c>
      <c r="G103" s="1">
        <v>4</v>
      </c>
      <c r="H103" s="1" t="s">
        <v>72</v>
      </c>
      <c r="I103" s="70">
        <f>'[1]Tabla de Precios'!K102</f>
        <v>0</v>
      </c>
      <c r="J103" s="70">
        <f>'[1]Tabla de Precios'!L102</f>
        <v>100</v>
      </c>
      <c r="K103" s="70">
        <f>'[1]Tabla de Precios'!M102</f>
        <v>0</v>
      </c>
      <c r="L103" s="70"/>
    </row>
    <row r="104" spans="1:12" x14ac:dyDescent="0.25">
      <c r="A104" s="21" t="s">
        <v>264</v>
      </c>
      <c r="B104" s="22">
        <f t="shared" si="1"/>
        <v>103</v>
      </c>
      <c r="C104" s="1" t="s">
        <v>265</v>
      </c>
      <c r="D104" s="1" t="s">
        <v>69</v>
      </c>
      <c r="E104" s="1"/>
      <c r="F104" s="1" t="s">
        <v>71</v>
      </c>
      <c r="G104" s="1">
        <v>2</v>
      </c>
      <c r="H104" s="1" t="s">
        <v>72</v>
      </c>
      <c r="I104" s="70">
        <f>'[1]Tabla de Precios'!K103</f>
        <v>1985.28000099264</v>
      </c>
      <c r="J104" s="70">
        <f>'[1]Tabla de Precios'!L103</f>
        <v>3282.8008975914008</v>
      </c>
      <c r="K104" s="70">
        <f>'[1]Tabla de Precios'!M103</f>
        <v>2382.3360011911682</v>
      </c>
      <c r="L104" s="70" t="s">
        <v>545</v>
      </c>
    </row>
    <row r="105" spans="1:12" x14ac:dyDescent="0.25">
      <c r="A105" s="21" t="s">
        <v>266</v>
      </c>
      <c r="B105" s="22">
        <f t="shared" si="1"/>
        <v>104</v>
      </c>
      <c r="C105" s="1" t="s">
        <v>267</v>
      </c>
      <c r="D105" s="1" t="s">
        <v>69</v>
      </c>
      <c r="E105" s="1"/>
      <c r="F105" s="1" t="s">
        <v>71</v>
      </c>
      <c r="G105" s="1">
        <v>0</v>
      </c>
      <c r="H105" s="1" t="s">
        <v>72</v>
      </c>
      <c r="I105" s="70">
        <f>'[1]Tabla de Precios'!K104</f>
        <v>0</v>
      </c>
      <c r="J105" s="70">
        <f>'[1]Tabla de Precios'!L104</f>
        <v>100</v>
      </c>
      <c r="K105" s="70">
        <f>'[1]Tabla de Precios'!M104</f>
        <v>0</v>
      </c>
      <c r="L105" s="70"/>
    </row>
    <row r="106" spans="1:12" x14ac:dyDescent="0.25">
      <c r="A106" s="21" t="s">
        <v>268</v>
      </c>
      <c r="B106" s="22">
        <f t="shared" si="1"/>
        <v>105</v>
      </c>
      <c r="C106" s="1" t="s">
        <v>269</v>
      </c>
      <c r="D106" s="1" t="s">
        <v>69</v>
      </c>
      <c r="E106" s="1"/>
      <c r="F106" s="1" t="s">
        <v>71</v>
      </c>
      <c r="G106" s="1">
        <v>0</v>
      </c>
      <c r="H106" s="1" t="s">
        <v>72</v>
      </c>
      <c r="I106" s="70">
        <f>'[1]Tabla de Precios'!K105</f>
        <v>0</v>
      </c>
      <c r="J106" s="70">
        <f>'[1]Tabla de Precios'!L105</f>
        <v>100</v>
      </c>
      <c r="K106" s="70">
        <f>'[1]Tabla de Precios'!M105</f>
        <v>0</v>
      </c>
      <c r="L106" s="70"/>
    </row>
    <row r="107" spans="1:12" x14ac:dyDescent="0.25">
      <c r="A107" s="21" t="s">
        <v>270</v>
      </c>
      <c r="B107" s="22">
        <f t="shared" si="1"/>
        <v>106</v>
      </c>
      <c r="C107" s="1" t="s">
        <v>271</v>
      </c>
      <c r="D107" s="1" t="s">
        <v>69</v>
      </c>
      <c r="E107" s="1"/>
      <c r="F107" s="1" t="s">
        <v>71</v>
      </c>
      <c r="G107" s="1">
        <v>1</v>
      </c>
      <c r="H107" s="1" t="s">
        <v>72</v>
      </c>
      <c r="I107" s="70">
        <f>'[1]Tabla de Precios'!K106</f>
        <v>144.06</v>
      </c>
      <c r="J107" s="70">
        <f>'[1]Tabla de Precios'!L106</f>
        <v>330.95699200000001</v>
      </c>
      <c r="K107" s="70">
        <f>'[1]Tabla de Precios'!M106</f>
        <v>172.87200000000001</v>
      </c>
      <c r="L107" s="70"/>
    </row>
    <row r="108" spans="1:12" x14ac:dyDescent="0.25">
      <c r="A108" s="21" t="s">
        <v>272</v>
      </c>
      <c r="B108" s="22">
        <f t="shared" si="1"/>
        <v>107</v>
      </c>
      <c r="C108" s="1" t="s">
        <v>273</v>
      </c>
      <c r="D108" s="1" t="s">
        <v>69</v>
      </c>
      <c r="E108" s="1"/>
      <c r="F108" s="1" t="s">
        <v>71</v>
      </c>
      <c r="G108" s="1">
        <v>9</v>
      </c>
      <c r="H108" s="1" t="s">
        <v>72</v>
      </c>
      <c r="I108" s="70">
        <f>'[1]Tabla de Precios'!K107</f>
        <v>117.2250001523925</v>
      </c>
      <c r="J108" s="70">
        <f>'[1]Tabla de Precios'!L107</f>
        <v>287.93512024431567</v>
      </c>
      <c r="K108" s="70">
        <f>'[1]Tabla de Precios'!M107</f>
        <v>140.67000018287101</v>
      </c>
      <c r="L108" s="70"/>
    </row>
    <row r="109" spans="1:12" x14ac:dyDescent="0.25">
      <c r="A109" s="21" t="s">
        <v>274</v>
      </c>
      <c r="B109" s="22">
        <f t="shared" si="1"/>
        <v>108</v>
      </c>
      <c r="C109" s="1" t="s">
        <v>275</v>
      </c>
      <c r="D109" s="1" t="s">
        <v>69</v>
      </c>
      <c r="E109" s="1"/>
      <c r="F109" s="1" t="s">
        <v>71</v>
      </c>
      <c r="G109" s="1">
        <v>0</v>
      </c>
      <c r="H109" s="1" t="s">
        <v>72</v>
      </c>
      <c r="I109" s="70">
        <f>'[1]Tabla de Precios'!K108</f>
        <v>437.66000021883002</v>
      </c>
      <c r="J109" s="70">
        <f>'[1]Tabla de Precios'!L108</f>
        <v>801.65651235082828</v>
      </c>
      <c r="K109" s="70">
        <f>'[1]Tabla de Precios'!M108</f>
        <v>525.19200026259603</v>
      </c>
      <c r="L109" s="70" t="s">
        <v>546</v>
      </c>
    </row>
    <row r="110" spans="1:12" x14ac:dyDescent="0.25">
      <c r="A110" s="21" t="s">
        <v>276</v>
      </c>
      <c r="B110" s="22">
        <f t="shared" si="1"/>
        <v>109</v>
      </c>
      <c r="C110" s="1" t="s">
        <v>277</v>
      </c>
      <c r="D110" s="1" t="s">
        <v>69</v>
      </c>
      <c r="E110" s="1"/>
      <c r="F110" s="1" t="s">
        <v>71</v>
      </c>
      <c r="G110" s="1">
        <v>0</v>
      </c>
      <c r="H110" s="1" t="s">
        <v>72</v>
      </c>
      <c r="I110" s="70">
        <f>'[1]Tabla de Precios'!K109</f>
        <v>309.85000015492506</v>
      </c>
      <c r="J110" s="70">
        <f>'[1]Tabla de Precios'!L109</f>
        <v>596.75152024837587</v>
      </c>
      <c r="K110" s="70">
        <f>'[1]Tabla de Precios'!M109</f>
        <v>371.82000018591009</v>
      </c>
      <c r="L110" s="70" t="s">
        <v>547</v>
      </c>
    </row>
    <row r="111" spans="1:12" x14ac:dyDescent="0.25">
      <c r="A111" s="21" t="s">
        <v>278</v>
      </c>
      <c r="B111" s="22">
        <f t="shared" si="1"/>
        <v>110</v>
      </c>
      <c r="C111" s="1" t="s">
        <v>279</v>
      </c>
      <c r="D111" s="1" t="s">
        <v>69</v>
      </c>
      <c r="E111" s="1"/>
      <c r="F111" s="1" t="s">
        <v>71</v>
      </c>
      <c r="G111" s="1">
        <v>19</v>
      </c>
      <c r="H111" s="1" t="s">
        <v>72</v>
      </c>
      <c r="I111" s="70">
        <f>'[1]Tabla de Precios'!K110</f>
        <v>358.630000179315</v>
      </c>
      <c r="J111" s="70">
        <f>'[1]Tabla de Precios'!L110</f>
        <v>674.95561628747782</v>
      </c>
      <c r="K111" s="70">
        <f>'[1]Tabla de Precios'!M110</f>
        <v>430.35600021517803</v>
      </c>
      <c r="L111" s="70" t="s">
        <v>548</v>
      </c>
    </row>
    <row r="112" spans="1:12" x14ac:dyDescent="0.25">
      <c r="A112" s="21" t="s">
        <v>280</v>
      </c>
      <c r="B112" s="22">
        <f t="shared" si="1"/>
        <v>111</v>
      </c>
      <c r="C112" s="1" t="s">
        <v>281</v>
      </c>
      <c r="D112" s="1" t="s">
        <v>69</v>
      </c>
      <c r="E112" s="1"/>
      <c r="F112" s="1" t="s">
        <v>71</v>
      </c>
      <c r="G112" s="1">
        <v>19</v>
      </c>
      <c r="H112" s="1" t="s">
        <v>72</v>
      </c>
      <c r="I112" s="70">
        <f>'[1]Tabla de Precios'!K111</f>
        <v>416.66666720833337</v>
      </c>
      <c r="J112" s="70">
        <f>'[1]Tabla de Precios'!L111</f>
        <v>768.00000086840009</v>
      </c>
      <c r="K112" s="70">
        <f>'[1]Tabla de Precios'!M111</f>
        <v>500.00000065000006</v>
      </c>
      <c r="L112" s="70"/>
    </row>
    <row r="113" spans="1:12" x14ac:dyDescent="0.25">
      <c r="A113" s="21" t="s">
        <v>282</v>
      </c>
      <c r="B113" s="22">
        <f t="shared" si="1"/>
        <v>112</v>
      </c>
      <c r="C113" s="1" t="s">
        <v>283</v>
      </c>
      <c r="D113" s="1" t="s">
        <v>69</v>
      </c>
      <c r="E113" s="1"/>
      <c r="F113" s="1" t="s">
        <v>71</v>
      </c>
      <c r="G113" s="1">
        <v>4</v>
      </c>
      <c r="H113" s="1" t="s">
        <v>72</v>
      </c>
      <c r="I113" s="70">
        <f>'[1]Tabla de Precios'!K112</f>
        <v>375.00000048750002</v>
      </c>
      <c r="J113" s="70">
        <f>'[1]Tabla de Precios'!L112</f>
        <v>701.20000078155999</v>
      </c>
      <c r="K113" s="70">
        <f>'[1]Tabla de Precios'!M112</f>
        <v>450.00000058500001</v>
      </c>
      <c r="L113" s="70"/>
    </row>
    <row r="114" spans="1:12" x14ac:dyDescent="0.25">
      <c r="A114" s="21" t="s">
        <v>284</v>
      </c>
      <c r="B114" s="22">
        <f t="shared" si="1"/>
        <v>113</v>
      </c>
      <c r="C114" s="1" t="s">
        <v>285</v>
      </c>
      <c r="D114" s="1" t="s">
        <v>69</v>
      </c>
      <c r="E114" s="1"/>
      <c r="F114" s="1" t="s">
        <v>71</v>
      </c>
      <c r="G114" s="1">
        <v>5</v>
      </c>
      <c r="H114" s="1" t="s">
        <v>72</v>
      </c>
      <c r="I114" s="70">
        <f>'[1]Tabla de Precios'!K113</f>
        <v>375.20833382110413</v>
      </c>
      <c r="J114" s="70">
        <f>'[1]Tabla de Precios'!L113</f>
        <v>701.53400078199422</v>
      </c>
      <c r="K114" s="70">
        <f>'[1]Tabla de Precios'!M113</f>
        <v>450.25000058532498</v>
      </c>
      <c r="L114" s="70"/>
    </row>
    <row r="115" spans="1:12" x14ac:dyDescent="0.25">
      <c r="A115" s="21" t="s">
        <v>286</v>
      </c>
      <c r="B115" s="22">
        <f t="shared" si="1"/>
        <v>114</v>
      </c>
      <c r="C115" s="1" t="s">
        <v>287</v>
      </c>
      <c r="D115" s="1" t="s">
        <v>69</v>
      </c>
      <c r="E115" s="1"/>
      <c r="F115" s="1" t="s">
        <v>71</v>
      </c>
      <c r="G115" s="1">
        <v>0</v>
      </c>
      <c r="H115" s="1" t="s">
        <v>77</v>
      </c>
      <c r="I115" s="70">
        <f>'[1]Tabla de Precios'!K114</f>
        <v>1749.1666689405836</v>
      </c>
      <c r="J115" s="70">
        <f>'[1]Tabla de Precios'!L114</f>
        <v>2904.2640036455441</v>
      </c>
      <c r="K115" s="70">
        <f>'[1]Tabla de Precios'!M114</f>
        <v>2099.0000027287006</v>
      </c>
      <c r="L115" s="70"/>
    </row>
    <row r="116" spans="1:12" x14ac:dyDescent="0.25">
      <c r="A116" s="21" t="s">
        <v>288</v>
      </c>
      <c r="B116" s="22">
        <f t="shared" si="1"/>
        <v>115</v>
      </c>
      <c r="C116" s="1" t="s">
        <v>289</v>
      </c>
      <c r="D116" s="1" t="s">
        <v>69</v>
      </c>
      <c r="E116" s="1"/>
      <c r="F116" s="1" t="s">
        <v>71</v>
      </c>
      <c r="G116" s="1">
        <v>3</v>
      </c>
      <c r="H116" s="1" t="s">
        <v>77</v>
      </c>
      <c r="I116" s="70">
        <f>'[1]Tabla de Precios'!K115</f>
        <v>2004.6700010023351</v>
      </c>
      <c r="J116" s="70">
        <f>'[1]Tabla de Precios'!L115</f>
        <v>3313.8869456069433</v>
      </c>
      <c r="K116" s="70">
        <f>'[1]Tabla de Precios'!M115</f>
        <v>2405.604001202802</v>
      </c>
      <c r="L116" s="70" t="s">
        <v>549</v>
      </c>
    </row>
    <row r="117" spans="1:12" x14ac:dyDescent="0.25">
      <c r="A117" s="21" t="s">
        <v>290</v>
      </c>
      <c r="B117" s="22">
        <f t="shared" si="1"/>
        <v>116</v>
      </c>
      <c r="C117" s="1" t="s">
        <v>291</v>
      </c>
      <c r="D117" s="1" t="s">
        <v>69</v>
      </c>
      <c r="E117" s="1"/>
      <c r="F117" s="1" t="s">
        <v>71</v>
      </c>
      <c r="G117" s="1">
        <v>8</v>
      </c>
      <c r="H117" s="1" t="s">
        <v>77</v>
      </c>
      <c r="I117" s="70">
        <f>'[1]Tabla de Precios'!K116</f>
        <v>2004.6700010023351</v>
      </c>
      <c r="J117" s="70">
        <f>'[1]Tabla de Precios'!L116</f>
        <v>3313.8869456069433</v>
      </c>
      <c r="K117" s="70">
        <f>'[1]Tabla de Precios'!M116</f>
        <v>2405.604001202802</v>
      </c>
      <c r="L117" s="70" t="s">
        <v>549</v>
      </c>
    </row>
    <row r="118" spans="1:12" x14ac:dyDescent="0.25">
      <c r="A118" s="21" t="s">
        <v>292</v>
      </c>
      <c r="B118" s="22">
        <f t="shared" si="1"/>
        <v>117</v>
      </c>
      <c r="C118" s="1" t="s">
        <v>293</v>
      </c>
      <c r="D118" s="1" t="s">
        <v>69</v>
      </c>
      <c r="E118" s="1"/>
      <c r="F118" s="1" t="s">
        <v>71</v>
      </c>
      <c r="G118" s="1">
        <v>12</v>
      </c>
      <c r="H118" s="1" t="s">
        <v>77</v>
      </c>
      <c r="I118" s="70">
        <f>'[1]Tabla de Precios'!K117</f>
        <v>1666.6583354999893</v>
      </c>
      <c r="J118" s="70">
        <f>'[1]Tabla de Precios'!L117</f>
        <v>2771.9866434735832</v>
      </c>
      <c r="K118" s="70">
        <f>'[1]Tabla de Precios'!M117</f>
        <v>1999.9900025999873</v>
      </c>
      <c r="L118" s="70" t="s">
        <v>549</v>
      </c>
    </row>
    <row r="119" spans="1:12" x14ac:dyDescent="0.25">
      <c r="A119" s="21" t="s">
        <v>294</v>
      </c>
      <c r="B119" s="22">
        <f t="shared" si="1"/>
        <v>118</v>
      </c>
      <c r="C119" s="1" t="s">
        <v>295</v>
      </c>
      <c r="D119" s="1" t="s">
        <v>69</v>
      </c>
      <c r="E119" s="1"/>
      <c r="F119" s="1" t="s">
        <v>71</v>
      </c>
      <c r="G119" s="1">
        <v>6</v>
      </c>
      <c r="H119" s="1" t="s">
        <v>77</v>
      </c>
      <c r="I119" s="70">
        <f>'[1]Tabla de Precios'!K118</f>
        <v>10416.670005208336</v>
      </c>
      <c r="J119" s="70">
        <f>'[1]Tabla de Precios'!L118</f>
        <v>16800.005352350003</v>
      </c>
      <c r="K119" s="70">
        <f>'[1]Tabla de Precios'!M118</f>
        <v>12500.004006250003</v>
      </c>
      <c r="L119" s="70" t="s">
        <v>550</v>
      </c>
    </row>
    <row r="120" spans="1:12" x14ac:dyDescent="0.25">
      <c r="A120" s="21" t="s">
        <v>296</v>
      </c>
      <c r="B120" s="22">
        <f t="shared" si="1"/>
        <v>119</v>
      </c>
      <c r="C120" s="1" t="s">
        <v>297</v>
      </c>
      <c r="D120" s="1" t="s">
        <v>69</v>
      </c>
      <c r="E120" s="1"/>
      <c r="F120" s="1" t="s">
        <v>71</v>
      </c>
      <c r="G120" s="1">
        <v>2</v>
      </c>
      <c r="H120" s="1" t="s">
        <v>77</v>
      </c>
      <c r="I120" s="70">
        <f>'[1]Tabla de Precios'!K119</f>
        <v>4000.0000052</v>
      </c>
      <c r="J120" s="70">
        <f>'[1]Tabla de Precios'!L119</f>
        <v>6512.8000083366405</v>
      </c>
      <c r="K120" s="70">
        <f>'[1]Tabla de Precios'!M119</f>
        <v>4800.0000062400004</v>
      </c>
      <c r="L120" s="70"/>
    </row>
    <row r="121" spans="1:12" x14ac:dyDescent="0.25">
      <c r="A121" s="21" t="s">
        <v>298</v>
      </c>
      <c r="B121" s="22">
        <f t="shared" si="1"/>
        <v>120</v>
      </c>
      <c r="C121" s="1" t="s">
        <v>299</v>
      </c>
      <c r="D121" s="1" t="s">
        <v>69</v>
      </c>
      <c r="E121" s="1"/>
      <c r="F121" s="1" t="s">
        <v>71</v>
      </c>
      <c r="G121" s="1">
        <v>10</v>
      </c>
      <c r="H121" s="1" t="s">
        <v>72</v>
      </c>
      <c r="I121" s="70">
        <f>'[1]Tabla de Precios'!K120</f>
        <v>183.87500023903749</v>
      </c>
      <c r="J121" s="70">
        <f>'[1]Tabla de Precios'!L120</f>
        <v>394.78840038322494</v>
      </c>
      <c r="K121" s="70">
        <f>'[1]Tabla de Precios'!M120</f>
        <v>220.650000286845</v>
      </c>
      <c r="L121" s="70" t="s">
        <v>551</v>
      </c>
    </row>
    <row r="122" spans="1:12" x14ac:dyDescent="0.25">
      <c r="A122" s="21" t="s">
        <v>300</v>
      </c>
      <c r="B122" s="22">
        <f t="shared" si="1"/>
        <v>121</v>
      </c>
      <c r="C122" s="1" t="s">
        <v>301</v>
      </c>
      <c r="D122" s="1" t="s">
        <v>69</v>
      </c>
      <c r="E122" s="1"/>
      <c r="F122" s="1" t="s">
        <v>71</v>
      </c>
      <c r="G122" s="1">
        <v>8</v>
      </c>
      <c r="H122" s="1" t="s">
        <v>72</v>
      </c>
      <c r="I122" s="70">
        <f>'[1]Tabla de Precios'!K121</f>
        <v>283.33333370166667</v>
      </c>
      <c r="J122" s="70">
        <f>'[1]Tabla de Precios'!L121</f>
        <v>554.24000059051195</v>
      </c>
      <c r="K122" s="70">
        <f>'[1]Tabla de Precios'!M121</f>
        <v>340.00000044199999</v>
      </c>
      <c r="L122" s="70" t="s">
        <v>552</v>
      </c>
    </row>
    <row r="123" spans="1:12" x14ac:dyDescent="0.25">
      <c r="A123" s="21" t="s">
        <v>302</v>
      </c>
      <c r="B123" s="22">
        <f t="shared" si="1"/>
        <v>122</v>
      </c>
      <c r="C123" s="1" t="s">
        <v>303</v>
      </c>
      <c r="D123" s="1" t="s">
        <v>69</v>
      </c>
      <c r="E123" s="1"/>
      <c r="F123" s="1" t="s">
        <v>71</v>
      </c>
      <c r="G123" s="1">
        <v>1</v>
      </c>
      <c r="H123" s="1" t="s">
        <v>72</v>
      </c>
      <c r="I123" s="70">
        <f>'[1]Tabla de Precios'!K122</f>
        <v>399.77000019988498</v>
      </c>
      <c r="J123" s="70">
        <f>'[1]Tabla de Precios'!L122</f>
        <v>740.91126432045564</v>
      </c>
      <c r="K123" s="70">
        <f>'[1]Tabla de Precios'!M122</f>
        <v>479.72400023986199</v>
      </c>
      <c r="L123" s="70" t="s">
        <v>553</v>
      </c>
    </row>
    <row r="124" spans="1:12" ht="30" x14ac:dyDescent="0.25">
      <c r="A124" s="21" t="s">
        <v>304</v>
      </c>
      <c r="B124" s="22">
        <f t="shared" si="1"/>
        <v>123</v>
      </c>
      <c r="C124" s="1" t="s">
        <v>305</v>
      </c>
      <c r="D124" s="1" t="s">
        <v>69</v>
      </c>
      <c r="E124" s="1"/>
      <c r="F124" s="1" t="s">
        <v>71</v>
      </c>
      <c r="G124" s="1">
        <v>5</v>
      </c>
      <c r="H124" s="1" t="s">
        <v>72</v>
      </c>
      <c r="I124" s="70">
        <f>'[1]Tabla de Precios'!K123</f>
        <v>162.50000008124999</v>
      </c>
      <c r="J124" s="70">
        <f>'[1]Tabla de Precios'!L123</f>
        <v>360.52000013025997</v>
      </c>
      <c r="K124" s="70">
        <f>'[1]Tabla de Precios'!M123</f>
        <v>195.00000009749999</v>
      </c>
      <c r="L124" s="70"/>
    </row>
    <row r="125" spans="1:12" x14ac:dyDescent="0.25">
      <c r="A125" s="21" t="s">
        <v>306</v>
      </c>
      <c r="B125" s="22">
        <f t="shared" si="1"/>
        <v>124</v>
      </c>
      <c r="C125" s="1" t="s">
        <v>307</v>
      </c>
      <c r="D125" s="1" t="s">
        <v>69</v>
      </c>
      <c r="E125" s="1"/>
      <c r="F125" s="1" t="s">
        <v>71</v>
      </c>
      <c r="G125" s="1">
        <v>0</v>
      </c>
      <c r="H125" s="1" t="s">
        <v>72</v>
      </c>
      <c r="I125" s="70">
        <f>'[1]Tabla de Precios'!K124</f>
        <v>306.17000015308503</v>
      </c>
      <c r="J125" s="70">
        <f>'[1]Tabla de Precios'!L124</f>
        <v>590.85174424542583</v>
      </c>
      <c r="K125" s="70">
        <f>'[1]Tabla de Precios'!M124</f>
        <v>367.40400018370201</v>
      </c>
      <c r="L125" s="70"/>
    </row>
    <row r="126" spans="1:12" x14ac:dyDescent="0.25">
      <c r="A126" s="21" t="s">
        <v>308</v>
      </c>
      <c r="B126" s="22">
        <f t="shared" si="1"/>
        <v>125</v>
      </c>
      <c r="C126" s="1" t="s">
        <v>309</v>
      </c>
      <c r="D126" s="1" t="s">
        <v>69</v>
      </c>
      <c r="E126" s="1"/>
      <c r="F126" s="1" t="s">
        <v>71</v>
      </c>
      <c r="G126" s="1">
        <v>9</v>
      </c>
      <c r="H126" s="1" t="s">
        <v>72</v>
      </c>
      <c r="I126" s="70">
        <f>'[1]Tabla de Precios'!K125</f>
        <v>408.33333386416666</v>
      </c>
      <c r="J126" s="70">
        <f>'[1]Tabla de Precios'!L125</f>
        <v>754.64000085103203</v>
      </c>
      <c r="K126" s="70">
        <f>'[1]Tabla de Precios'!M125</f>
        <v>490.00000063699997</v>
      </c>
      <c r="L126" s="70" t="s">
        <v>554</v>
      </c>
    </row>
    <row r="127" spans="1:12" x14ac:dyDescent="0.25">
      <c r="A127" s="21" t="s">
        <v>310</v>
      </c>
      <c r="B127" s="22">
        <f t="shared" si="1"/>
        <v>126</v>
      </c>
      <c r="C127" s="1" t="s">
        <v>311</v>
      </c>
      <c r="D127" s="1" t="s">
        <v>69</v>
      </c>
      <c r="E127" s="1"/>
      <c r="F127" s="1" t="s">
        <v>71</v>
      </c>
      <c r="G127" s="1">
        <v>0</v>
      </c>
      <c r="H127" s="1" t="s">
        <v>72</v>
      </c>
      <c r="I127" s="70">
        <f>'[1]Tabla de Precios'!K126</f>
        <v>161.64000000000001</v>
      </c>
      <c r="J127" s="70">
        <f>'[1]Tabla de Precios'!L126</f>
        <v>359.14124800000002</v>
      </c>
      <c r="K127" s="70">
        <f>'[1]Tabla de Precios'!M126</f>
        <v>193.96800000000002</v>
      </c>
      <c r="L127" s="70"/>
    </row>
    <row r="128" spans="1:12" x14ac:dyDescent="0.25">
      <c r="A128" s="21" t="s">
        <v>312</v>
      </c>
      <c r="B128" s="22">
        <f t="shared" si="1"/>
        <v>127</v>
      </c>
      <c r="C128" s="1" t="s">
        <v>313</v>
      </c>
      <c r="D128" s="1" t="s">
        <v>69</v>
      </c>
      <c r="E128" s="1"/>
      <c r="F128" s="1" t="s">
        <v>71</v>
      </c>
      <c r="G128" s="1">
        <v>1</v>
      </c>
      <c r="H128" s="1" t="s">
        <v>72</v>
      </c>
      <c r="I128" s="70">
        <f>'[1]Tabla de Precios'!K127</f>
        <v>375.00000048750002</v>
      </c>
      <c r="J128" s="70">
        <f>'[1]Tabla de Precios'!L127</f>
        <v>701.20000078155999</v>
      </c>
      <c r="K128" s="70">
        <f>'[1]Tabla de Precios'!M127</f>
        <v>450.00000058500001</v>
      </c>
      <c r="L128" s="70"/>
    </row>
    <row r="129" spans="1:12" x14ac:dyDescent="0.25">
      <c r="A129" s="21" t="s">
        <v>314</v>
      </c>
      <c r="B129" s="22">
        <f t="shared" si="1"/>
        <v>128</v>
      </c>
      <c r="C129" s="1" t="s">
        <v>315</v>
      </c>
      <c r="D129" s="1" t="s">
        <v>69</v>
      </c>
      <c r="E129" s="1"/>
      <c r="F129" s="1" t="s">
        <v>71</v>
      </c>
      <c r="G129" s="1">
        <v>3</v>
      </c>
      <c r="H129" s="1" t="s">
        <v>72</v>
      </c>
      <c r="I129" s="70">
        <f>'[1]Tabla de Precios'!K128</f>
        <v>104.17500000000001</v>
      </c>
      <c r="J129" s="70">
        <f>'[1]Tabla de Precios'!L128</f>
        <v>267.01336000000003</v>
      </c>
      <c r="K129" s="70">
        <f>'[1]Tabla de Precios'!M128</f>
        <v>125.01000000000002</v>
      </c>
      <c r="L129" s="70"/>
    </row>
    <row r="130" spans="1:12" x14ac:dyDescent="0.25">
      <c r="A130" s="21" t="s">
        <v>316</v>
      </c>
      <c r="B130" s="22">
        <f t="shared" si="1"/>
        <v>129</v>
      </c>
      <c r="C130" s="1" t="s">
        <v>317</v>
      </c>
      <c r="D130" s="1" t="s">
        <v>69</v>
      </c>
      <c r="E130" s="1"/>
      <c r="F130" s="1" t="s">
        <v>71</v>
      </c>
      <c r="G130" s="1">
        <v>0</v>
      </c>
      <c r="H130" s="1" t="s">
        <v>72</v>
      </c>
      <c r="I130" s="70">
        <f>'[1]Tabla de Precios'!K129</f>
        <v>601.875</v>
      </c>
      <c r="J130" s="70">
        <f>'[1]Tabla de Precios'!L129</f>
        <v>1064.9259999999999</v>
      </c>
      <c r="K130" s="70">
        <f>'[1]Tabla de Precios'!M129</f>
        <v>722.25</v>
      </c>
      <c r="L130" s="70" t="s">
        <v>511</v>
      </c>
    </row>
    <row r="131" spans="1:12" x14ac:dyDescent="0.25">
      <c r="A131" s="21" t="s">
        <v>318</v>
      </c>
      <c r="B131" s="22">
        <f t="shared" ref="B131:B189" si="2">ROW(B130)</f>
        <v>130</v>
      </c>
      <c r="C131" s="1" t="s">
        <v>319</v>
      </c>
      <c r="D131" s="1" t="s">
        <v>69</v>
      </c>
      <c r="E131" s="1"/>
      <c r="F131" s="1" t="s">
        <v>71</v>
      </c>
      <c r="G131" s="1">
        <v>0</v>
      </c>
      <c r="H131" s="1" t="s">
        <v>72</v>
      </c>
      <c r="I131" s="70">
        <f>'[1]Tabla de Precios'!K130</f>
        <v>549</v>
      </c>
      <c r="J131" s="70">
        <f>'[1]Tabla de Precios'!L130</f>
        <v>980.15679999999998</v>
      </c>
      <c r="K131" s="70">
        <f>'[1]Tabla de Precios'!M130</f>
        <v>658.8</v>
      </c>
      <c r="L131" s="70" t="s">
        <v>555</v>
      </c>
    </row>
    <row r="132" spans="1:12" x14ac:dyDescent="0.25">
      <c r="A132" s="21" t="s">
        <v>320</v>
      </c>
      <c r="B132" s="22">
        <f t="shared" si="2"/>
        <v>131</v>
      </c>
      <c r="C132" s="1" t="s">
        <v>321</v>
      </c>
      <c r="D132" s="1" t="s">
        <v>69</v>
      </c>
      <c r="E132" s="1"/>
      <c r="F132" s="1" t="s">
        <v>71</v>
      </c>
      <c r="G132" s="1">
        <v>2</v>
      </c>
      <c r="H132" s="1" t="s">
        <v>72</v>
      </c>
      <c r="I132" s="70">
        <f>'[1]Tabla de Precios'!K131</f>
        <v>291.66666704583326</v>
      </c>
      <c r="J132" s="70">
        <f>'[1]Tabla de Precios'!L131</f>
        <v>567.60000060787991</v>
      </c>
      <c r="K132" s="70">
        <f>'[1]Tabla de Precios'!M131</f>
        <v>350.00000045499991</v>
      </c>
      <c r="L132" s="70" t="s">
        <v>556</v>
      </c>
    </row>
    <row r="133" spans="1:12" x14ac:dyDescent="0.25">
      <c r="A133" s="21" t="s">
        <v>322</v>
      </c>
      <c r="B133" s="22">
        <f t="shared" si="2"/>
        <v>132</v>
      </c>
      <c r="C133" s="1" t="s">
        <v>323</v>
      </c>
      <c r="D133" s="1" t="s">
        <v>69</v>
      </c>
      <c r="E133" s="1"/>
      <c r="F133" s="1" t="s">
        <v>71</v>
      </c>
      <c r="G133" s="1">
        <v>1</v>
      </c>
      <c r="H133" s="1" t="s">
        <v>72</v>
      </c>
      <c r="I133" s="70">
        <f>'[1]Tabla de Precios'!K132</f>
        <v>750.00000097500003</v>
      </c>
      <c r="J133" s="70">
        <f>'[1]Tabla de Precios'!L132</f>
        <v>1302.40000156312</v>
      </c>
      <c r="K133" s="70">
        <f>'[1]Tabla de Precios'!M132</f>
        <v>900.00000117000002</v>
      </c>
      <c r="L133" s="70" t="s">
        <v>557</v>
      </c>
    </row>
    <row r="134" spans="1:12" x14ac:dyDescent="0.25">
      <c r="A134" s="21" t="s">
        <v>324</v>
      </c>
      <c r="B134" s="22">
        <f t="shared" si="2"/>
        <v>133</v>
      </c>
      <c r="C134" s="1" t="s">
        <v>325</v>
      </c>
      <c r="D134" s="1" t="s">
        <v>69</v>
      </c>
      <c r="E134" s="1"/>
      <c r="F134" s="1" t="s">
        <v>71</v>
      </c>
      <c r="G134" s="1">
        <v>0</v>
      </c>
      <c r="H134" s="1" t="s">
        <v>72</v>
      </c>
      <c r="I134" s="70">
        <f>'[1]Tabla de Precios'!K133</f>
        <v>466.6666672733333</v>
      </c>
      <c r="J134" s="70">
        <f>'[1]Tabla de Precios'!L133</f>
        <v>848.16000097260803</v>
      </c>
      <c r="K134" s="70">
        <f>'[1]Tabla de Precios'!M133</f>
        <v>560.00000072800003</v>
      </c>
      <c r="L134" s="70"/>
    </row>
    <row r="135" spans="1:12" x14ac:dyDescent="0.25">
      <c r="A135" s="21" t="s">
        <v>326</v>
      </c>
      <c r="B135" s="22">
        <f t="shared" si="2"/>
        <v>134</v>
      </c>
      <c r="C135" s="1" t="s">
        <v>327</v>
      </c>
      <c r="D135" s="1" t="s">
        <v>69</v>
      </c>
      <c r="E135" s="1"/>
      <c r="F135" s="1" t="s">
        <v>71</v>
      </c>
      <c r="G135" s="1">
        <v>19</v>
      </c>
      <c r="H135" s="1" t="s">
        <v>72</v>
      </c>
      <c r="I135" s="70">
        <f>'[1]Tabla de Precios'!K134</f>
        <v>553.43000027671496</v>
      </c>
      <c r="J135" s="70">
        <f>'[1]Tabla de Precios'!L134</f>
        <v>987.25897644362954</v>
      </c>
      <c r="K135" s="70">
        <f>'[1]Tabla de Precios'!M134</f>
        <v>664.11600033205798</v>
      </c>
      <c r="L135" s="70" t="s">
        <v>558</v>
      </c>
    </row>
    <row r="136" spans="1:12" x14ac:dyDescent="0.25">
      <c r="A136" s="21" t="s">
        <v>328</v>
      </c>
      <c r="B136" s="22">
        <f t="shared" si="2"/>
        <v>135</v>
      </c>
      <c r="C136" s="1" t="s">
        <v>329</v>
      </c>
      <c r="D136" s="1" t="s">
        <v>69</v>
      </c>
      <c r="E136" s="1"/>
      <c r="F136" s="1" t="s">
        <v>71</v>
      </c>
      <c r="G136" s="1">
        <v>6</v>
      </c>
      <c r="H136" s="1" t="s">
        <v>72</v>
      </c>
      <c r="I136" s="70">
        <f>'[1]Tabla de Precios'!K135</f>
        <v>393.07000019653503</v>
      </c>
      <c r="J136" s="70">
        <f>'[1]Tabla de Precios'!L135</f>
        <v>730.16982431508495</v>
      </c>
      <c r="K136" s="70">
        <f>'[1]Tabla de Precios'!M135</f>
        <v>471.68400023584206</v>
      </c>
      <c r="L136" s="70" t="s">
        <v>559</v>
      </c>
    </row>
    <row r="137" spans="1:12" x14ac:dyDescent="0.25">
      <c r="A137" s="21" t="s">
        <v>330</v>
      </c>
      <c r="B137" s="22">
        <f t="shared" si="2"/>
        <v>136</v>
      </c>
      <c r="C137" s="1" t="s">
        <v>331</v>
      </c>
      <c r="D137" s="1" t="s">
        <v>69</v>
      </c>
      <c r="E137" s="1"/>
      <c r="F137" s="1" t="s">
        <v>71</v>
      </c>
      <c r="G137" s="1">
        <v>3</v>
      </c>
      <c r="H137" s="1" t="s">
        <v>72</v>
      </c>
      <c r="I137" s="70">
        <f>'[1]Tabla de Precios'!K136</f>
        <v>403.40999999999997</v>
      </c>
      <c r="J137" s="70">
        <f>'[1]Tabla de Precios'!L136</f>
        <v>746.74691199999995</v>
      </c>
      <c r="K137" s="70">
        <f>'[1]Tabla de Precios'!M136</f>
        <v>484.09199999999998</v>
      </c>
      <c r="L137" s="70"/>
    </row>
    <row r="138" spans="1:12" x14ac:dyDescent="0.25">
      <c r="A138" s="21" t="s">
        <v>332</v>
      </c>
      <c r="B138" s="22">
        <f t="shared" si="2"/>
        <v>137</v>
      </c>
      <c r="C138" s="1" t="s">
        <v>333</v>
      </c>
      <c r="D138" s="1" t="s">
        <v>69</v>
      </c>
      <c r="E138" s="1"/>
      <c r="F138" s="1" t="s">
        <v>71</v>
      </c>
      <c r="G138" s="1">
        <v>1</v>
      </c>
      <c r="H138" s="1" t="s">
        <v>72</v>
      </c>
      <c r="I138" s="70">
        <f>'[1]Tabla de Precios'!K137</f>
        <v>277.60500000000002</v>
      </c>
      <c r="J138" s="70">
        <f>'[1]Tabla de Precios'!L137</f>
        <v>545.0563360000001</v>
      </c>
      <c r="K138" s="70">
        <f>'[1]Tabla de Precios'!M137</f>
        <v>333.12600000000003</v>
      </c>
      <c r="L138" s="70"/>
    </row>
    <row r="139" spans="1:12" x14ac:dyDescent="0.25">
      <c r="A139" s="21" t="s">
        <v>334</v>
      </c>
      <c r="B139" s="22">
        <f t="shared" si="2"/>
        <v>138</v>
      </c>
      <c r="C139" s="1" t="s">
        <v>335</v>
      </c>
      <c r="D139" s="1" t="s">
        <v>69</v>
      </c>
      <c r="E139" s="1"/>
      <c r="F139" s="1" t="s">
        <v>71</v>
      </c>
      <c r="G139" s="1">
        <v>0</v>
      </c>
      <c r="H139" s="1" t="s">
        <v>72</v>
      </c>
      <c r="I139" s="70">
        <f>'[1]Tabla de Precios'!K138</f>
        <v>352.56410291666668</v>
      </c>
      <c r="J139" s="70">
        <f>'[1]Tabla de Precios'!L138</f>
        <v>665.230769796</v>
      </c>
      <c r="K139" s="70">
        <f>'[1]Tabla de Precios'!M138</f>
        <v>423.07692350000002</v>
      </c>
      <c r="L139" s="70"/>
    </row>
    <row r="140" spans="1:12" x14ac:dyDescent="0.25">
      <c r="A140" s="21" t="s">
        <v>336</v>
      </c>
      <c r="B140" s="22">
        <f t="shared" si="2"/>
        <v>139</v>
      </c>
      <c r="C140" s="1" t="s">
        <v>337</v>
      </c>
      <c r="D140" s="1" t="s">
        <v>69</v>
      </c>
      <c r="E140" s="1"/>
      <c r="F140" s="1" t="s">
        <v>71</v>
      </c>
      <c r="G140" s="1">
        <v>2</v>
      </c>
      <c r="H140" s="1" t="s">
        <v>72</v>
      </c>
      <c r="I140" s="70">
        <f>'[1]Tabla de Precios'!K139</f>
        <v>348.29000017414501</v>
      </c>
      <c r="J140" s="70">
        <f>'[1]Tabla de Precios'!L139</f>
        <v>658.37852827918925</v>
      </c>
      <c r="K140" s="70">
        <f>'[1]Tabla de Precios'!M139</f>
        <v>417.94800020897401</v>
      </c>
      <c r="L140" s="70"/>
    </row>
    <row r="141" spans="1:12" x14ac:dyDescent="0.25">
      <c r="A141" s="21" t="s">
        <v>338</v>
      </c>
      <c r="B141" s="22">
        <f t="shared" si="2"/>
        <v>140</v>
      </c>
      <c r="C141" s="1" t="s">
        <v>339</v>
      </c>
      <c r="D141" s="1" t="s">
        <v>69</v>
      </c>
      <c r="E141" s="1"/>
      <c r="F141" s="1" t="s">
        <v>71</v>
      </c>
      <c r="G141" s="1">
        <v>0</v>
      </c>
      <c r="H141" s="1" t="s">
        <v>72</v>
      </c>
      <c r="I141" s="70">
        <f>'[1]Tabla de Precios'!K140</f>
        <v>202.51499999999999</v>
      </c>
      <c r="J141" s="70">
        <f>'[1]Tabla de Precios'!L140</f>
        <v>424.67204799999996</v>
      </c>
      <c r="K141" s="70">
        <f>'[1]Tabla de Precios'!M140</f>
        <v>243.01799999999997</v>
      </c>
      <c r="L141" s="70"/>
    </row>
    <row r="142" spans="1:12" x14ac:dyDescent="0.25">
      <c r="A142" s="21" t="s">
        <v>340</v>
      </c>
      <c r="B142" s="22">
        <f t="shared" si="2"/>
        <v>141</v>
      </c>
      <c r="C142" s="1" t="s">
        <v>341</v>
      </c>
      <c r="D142" s="1" t="s">
        <v>69</v>
      </c>
      <c r="E142" s="1"/>
      <c r="F142" s="1" t="s">
        <v>71</v>
      </c>
      <c r="G142" s="1">
        <v>0</v>
      </c>
      <c r="H142" s="1" t="s">
        <v>72</v>
      </c>
      <c r="I142" s="70">
        <f>'[1]Tabla de Precios'!K141</f>
        <v>206.19</v>
      </c>
      <c r="J142" s="70">
        <f>'[1]Tabla de Precios'!L141</f>
        <v>430.56380799999999</v>
      </c>
      <c r="K142" s="70">
        <f>'[1]Tabla de Precios'!M141</f>
        <v>247.428</v>
      </c>
      <c r="L142" s="70"/>
    </row>
    <row r="143" spans="1:12" x14ac:dyDescent="0.25">
      <c r="A143" s="21" t="s">
        <v>342</v>
      </c>
      <c r="B143" s="22">
        <f t="shared" si="2"/>
        <v>142</v>
      </c>
      <c r="C143" s="1" t="s">
        <v>343</v>
      </c>
      <c r="D143" s="1" t="s">
        <v>69</v>
      </c>
      <c r="E143" s="1"/>
      <c r="F143" s="1" t="s">
        <v>71</v>
      </c>
      <c r="G143" s="1">
        <v>7</v>
      </c>
      <c r="H143" s="1" t="s">
        <v>77</v>
      </c>
      <c r="I143" s="70">
        <f>'[1]Tabla de Precios'!K142</f>
        <v>178.36500000000001</v>
      </c>
      <c r="J143" s="70">
        <f>'[1]Tabla de Precios'!L142</f>
        <v>385.954768</v>
      </c>
      <c r="K143" s="70">
        <f>'[1]Tabla de Precios'!M142</f>
        <v>214.03800000000001</v>
      </c>
      <c r="L143" s="70" t="s">
        <v>560</v>
      </c>
    </row>
    <row r="144" spans="1:12" x14ac:dyDescent="0.25">
      <c r="A144" s="21" t="s">
        <v>344</v>
      </c>
      <c r="B144" s="22">
        <f t="shared" si="2"/>
        <v>143</v>
      </c>
      <c r="C144" s="1" t="s">
        <v>345</v>
      </c>
      <c r="D144" s="1" t="s">
        <v>69</v>
      </c>
      <c r="E144" s="1"/>
      <c r="F144" s="1" t="s">
        <v>71</v>
      </c>
      <c r="G144" s="1">
        <v>0</v>
      </c>
      <c r="H144" s="1" t="s">
        <v>72</v>
      </c>
      <c r="I144" s="70">
        <f>'[1]Tabla de Precios'!K143</f>
        <v>1025.0000010250001</v>
      </c>
      <c r="J144" s="70">
        <f>'[1]Tabla de Precios'!L143</f>
        <v>1743.2800016432802</v>
      </c>
      <c r="K144" s="70">
        <f>'[1]Tabla de Precios'!M143</f>
        <v>1230.0000012300002</v>
      </c>
      <c r="L144" s="70"/>
    </row>
    <row r="145" spans="1:12" x14ac:dyDescent="0.25">
      <c r="A145" s="21" t="s">
        <v>346</v>
      </c>
      <c r="B145" s="22">
        <f t="shared" si="2"/>
        <v>144</v>
      </c>
      <c r="C145" s="1" t="s">
        <v>347</v>
      </c>
      <c r="D145" s="1" t="s">
        <v>69</v>
      </c>
      <c r="E145" s="1"/>
      <c r="F145" s="1" t="s">
        <v>71</v>
      </c>
      <c r="G145" s="1">
        <v>3</v>
      </c>
      <c r="H145" s="1" t="s">
        <v>72</v>
      </c>
      <c r="I145" s="70">
        <f>'[1]Tabla de Precios'!K144</f>
        <v>26.895</v>
      </c>
      <c r="J145" s="70">
        <f>'[1]Tabla de Precios'!L144</f>
        <v>143.118064</v>
      </c>
      <c r="K145" s="70">
        <f>'[1]Tabla de Precios'!M144</f>
        <v>32.274000000000001</v>
      </c>
      <c r="L145" s="70"/>
    </row>
    <row r="146" spans="1:12" x14ac:dyDescent="0.25">
      <c r="A146" s="21" t="s">
        <v>348</v>
      </c>
      <c r="B146" s="22">
        <f t="shared" si="2"/>
        <v>145</v>
      </c>
      <c r="C146" s="1" t="s">
        <v>349</v>
      </c>
      <c r="D146" s="1" t="s">
        <v>69</v>
      </c>
      <c r="E146" s="1"/>
      <c r="F146" s="1" t="s">
        <v>71</v>
      </c>
      <c r="G146" s="1">
        <v>1</v>
      </c>
      <c r="H146" s="1" t="s">
        <v>72</v>
      </c>
      <c r="I146" s="70">
        <f>'[1]Tabla de Precios'!K145</f>
        <v>1333.3333350666667</v>
      </c>
      <c r="J146" s="70">
        <f>'[1]Tabla de Precios'!L145</f>
        <v>2237.60000277888</v>
      </c>
      <c r="K146" s="70">
        <f>'[1]Tabla de Precios'!M145</f>
        <v>1600.0000020800001</v>
      </c>
      <c r="L146" s="70" t="s">
        <v>561</v>
      </c>
    </row>
    <row r="147" spans="1:12" x14ac:dyDescent="0.25">
      <c r="A147" s="21" t="s">
        <v>350</v>
      </c>
      <c r="B147" s="22">
        <f t="shared" si="2"/>
        <v>146</v>
      </c>
      <c r="C147" s="1" t="s">
        <v>351</v>
      </c>
      <c r="D147" s="1" t="s">
        <v>69</v>
      </c>
      <c r="E147" s="1"/>
      <c r="F147" s="1" t="s">
        <v>71</v>
      </c>
      <c r="G147" s="1">
        <v>1</v>
      </c>
      <c r="H147" s="1" t="s">
        <v>72</v>
      </c>
      <c r="I147" s="70">
        <f>'[1]Tabla de Precios'!K146</f>
        <v>249.255</v>
      </c>
      <c r="J147" s="70">
        <f>'[1]Tabla de Precios'!L146</f>
        <v>499.605616</v>
      </c>
      <c r="K147" s="70">
        <f>'[1]Tabla de Precios'!M146</f>
        <v>299.10599999999999</v>
      </c>
      <c r="L147" s="70"/>
    </row>
    <row r="148" spans="1:12" x14ac:dyDescent="0.25">
      <c r="A148" s="21" t="s">
        <v>352</v>
      </c>
      <c r="B148" s="22">
        <f t="shared" si="2"/>
        <v>147</v>
      </c>
      <c r="C148" s="1" t="s">
        <v>353</v>
      </c>
      <c r="D148" s="1" t="s">
        <v>69</v>
      </c>
      <c r="E148" s="1"/>
      <c r="F148" s="1" t="s">
        <v>71</v>
      </c>
      <c r="G148" s="1">
        <v>0</v>
      </c>
      <c r="H148" s="1" t="s">
        <v>72</v>
      </c>
      <c r="I148" s="70">
        <f>'[1]Tabla de Precios'!K147</f>
        <v>605.67000030283498</v>
      </c>
      <c r="J148" s="70">
        <f>'[1]Tabla de Precios'!L147</f>
        <v>1071.010144485505</v>
      </c>
      <c r="K148" s="70">
        <f>'[1]Tabla de Precios'!M147</f>
        <v>726.804000363402</v>
      </c>
      <c r="L148" s="70" t="s">
        <v>562</v>
      </c>
    </row>
    <row r="149" spans="1:12" x14ac:dyDescent="0.25">
      <c r="A149" s="21" t="s">
        <v>591</v>
      </c>
      <c r="B149" s="22">
        <f t="shared" si="2"/>
        <v>148</v>
      </c>
      <c r="C149" s="1" t="s">
        <v>354</v>
      </c>
      <c r="D149" s="1" t="s">
        <v>69</v>
      </c>
      <c r="E149" s="1" t="s">
        <v>74</v>
      </c>
      <c r="F149" s="1" t="s">
        <v>71</v>
      </c>
      <c r="G149" s="1">
        <v>4</v>
      </c>
      <c r="H149" s="1" t="s">
        <v>77</v>
      </c>
      <c r="I149" s="70">
        <f>'[1]Tabla de Precios'!K148</f>
        <v>7958.9000039794491</v>
      </c>
      <c r="J149" s="70">
        <f>'[1]Tabla de Precios'!L148</f>
        <v>12859.708486379852</v>
      </c>
      <c r="K149" s="70">
        <f>'[1]Tabla de Precios'!M148</f>
        <v>9550.6800047753386</v>
      </c>
      <c r="L149" s="70" t="s">
        <v>563</v>
      </c>
    </row>
    <row r="150" spans="1:12" x14ac:dyDescent="0.25">
      <c r="A150" s="21" t="s">
        <v>355</v>
      </c>
      <c r="B150" s="22">
        <f t="shared" si="2"/>
        <v>149</v>
      </c>
      <c r="C150" s="1" t="s">
        <v>356</v>
      </c>
      <c r="D150" s="1" t="s">
        <v>69</v>
      </c>
      <c r="E150" s="1"/>
      <c r="F150" s="1" t="s">
        <v>71</v>
      </c>
      <c r="G150" s="1">
        <v>5</v>
      </c>
      <c r="H150" s="1" t="s">
        <v>77</v>
      </c>
      <c r="I150" s="70">
        <f>'[1]Tabla de Precios'!K149</f>
        <v>9403.2900047016446</v>
      </c>
      <c r="J150" s="70">
        <f>'[1]Tabla de Precios'!L149</f>
        <v>15175.354535537677</v>
      </c>
      <c r="K150" s="70">
        <f>'[1]Tabla de Precios'!M149</f>
        <v>11283.948005641974</v>
      </c>
      <c r="L150" s="70" t="s">
        <v>564</v>
      </c>
    </row>
    <row r="151" spans="1:12" x14ac:dyDescent="0.25">
      <c r="A151" s="21" t="s">
        <v>357</v>
      </c>
      <c r="B151" s="22">
        <f t="shared" si="2"/>
        <v>150</v>
      </c>
      <c r="C151" s="1" t="s">
        <v>358</v>
      </c>
      <c r="D151" s="1" t="s">
        <v>69</v>
      </c>
      <c r="E151" s="1"/>
      <c r="F151" s="1" t="s">
        <v>71</v>
      </c>
      <c r="G151" s="1">
        <v>0</v>
      </c>
      <c r="H151" s="1" t="s">
        <v>77</v>
      </c>
      <c r="I151" s="70">
        <f>'[1]Tabla de Precios'!K150</f>
        <v>0</v>
      </c>
      <c r="J151" s="70">
        <f>'[1]Tabla de Precios'!L150</f>
        <v>100</v>
      </c>
      <c r="K151" s="70">
        <f>'[1]Tabla de Precios'!M150</f>
        <v>0</v>
      </c>
      <c r="L151" s="70"/>
    </row>
    <row r="152" spans="1:12" x14ac:dyDescent="0.25">
      <c r="A152" s="21" t="s">
        <v>359</v>
      </c>
      <c r="B152" s="22">
        <f t="shared" si="2"/>
        <v>151</v>
      </c>
      <c r="C152" s="1" t="s">
        <v>360</v>
      </c>
      <c r="D152" s="1" t="s">
        <v>69</v>
      </c>
      <c r="E152" s="1"/>
      <c r="F152" s="1" t="s">
        <v>361</v>
      </c>
      <c r="G152" s="1">
        <v>0</v>
      </c>
      <c r="H152" s="1" t="s">
        <v>77</v>
      </c>
      <c r="I152" s="70">
        <f>'[1]Tabla de Precios'!K151</f>
        <v>0</v>
      </c>
      <c r="J152" s="70">
        <f>'[1]Tabla de Precios'!L151</f>
        <v>100</v>
      </c>
      <c r="K152" s="70">
        <f>'[1]Tabla de Precios'!M151</f>
        <v>0</v>
      </c>
      <c r="L152" s="70"/>
    </row>
    <row r="153" spans="1:12" x14ac:dyDescent="0.25">
      <c r="A153" s="21" t="s">
        <v>592</v>
      </c>
      <c r="B153" s="22">
        <f t="shared" si="2"/>
        <v>152</v>
      </c>
      <c r="C153" s="1" t="s">
        <v>362</v>
      </c>
      <c r="D153" s="1" t="s">
        <v>69</v>
      </c>
      <c r="E153" s="1"/>
      <c r="F153" s="1" t="s">
        <v>361</v>
      </c>
      <c r="G153" s="1">
        <v>0</v>
      </c>
      <c r="H153" s="1" t="s">
        <v>77</v>
      </c>
      <c r="I153" s="70">
        <f>'[1]Tabla de Precios'!K152</f>
        <v>7500.0000037499995</v>
      </c>
      <c r="J153" s="70">
        <f>'[1]Tabla de Precios'!L152</f>
        <v>12124.000006012</v>
      </c>
      <c r="K153" s="70">
        <f>'[1]Tabla de Precios'!M152</f>
        <v>9000.0000044999997</v>
      </c>
      <c r="L153" s="70"/>
    </row>
    <row r="154" spans="1:12" x14ac:dyDescent="0.25">
      <c r="A154" s="21" t="s">
        <v>363</v>
      </c>
      <c r="B154" s="22">
        <f t="shared" si="2"/>
        <v>153</v>
      </c>
      <c r="C154" s="1" t="s">
        <v>364</v>
      </c>
      <c r="D154" s="1" t="s">
        <v>69</v>
      </c>
      <c r="E154" s="1" t="s">
        <v>70</v>
      </c>
      <c r="F154" s="1" t="s">
        <v>71</v>
      </c>
      <c r="G154" s="1">
        <v>0</v>
      </c>
      <c r="H154" s="1" t="s">
        <v>77</v>
      </c>
      <c r="I154" s="70">
        <f>'[1]Tabla de Precios'!K153</f>
        <v>6161.7000030808504</v>
      </c>
      <c r="J154" s="70">
        <f>'[1]Tabla de Precios'!L153</f>
        <v>9978.4374449392199</v>
      </c>
      <c r="K154" s="70">
        <f>'[1]Tabla de Precios'!M153</f>
        <v>7394.0400036970204</v>
      </c>
      <c r="L154" s="70" t="s">
        <v>565</v>
      </c>
    </row>
    <row r="155" spans="1:12" x14ac:dyDescent="0.25">
      <c r="A155" s="21" t="s">
        <v>365</v>
      </c>
      <c r="B155" s="22">
        <f t="shared" si="2"/>
        <v>154</v>
      </c>
      <c r="C155" s="1" t="s">
        <v>366</v>
      </c>
      <c r="D155" s="1" t="s">
        <v>69</v>
      </c>
      <c r="E155" s="1" t="s">
        <v>79</v>
      </c>
      <c r="F155" s="1" t="s">
        <v>71</v>
      </c>
      <c r="G155" s="1">
        <v>0</v>
      </c>
      <c r="H155" s="1" t="s">
        <v>77</v>
      </c>
      <c r="I155" s="70">
        <f>'[1]Tabla de Precios'!K154</f>
        <v>6161.7000030808504</v>
      </c>
      <c r="J155" s="70">
        <f>'[1]Tabla de Precios'!L154</f>
        <v>9978.4374449392199</v>
      </c>
      <c r="K155" s="70">
        <f>'[1]Tabla de Precios'!M154</f>
        <v>7394.0400036970204</v>
      </c>
      <c r="L155" s="70" t="s">
        <v>566</v>
      </c>
    </row>
    <row r="156" spans="1:12" x14ac:dyDescent="0.25">
      <c r="A156" s="21" t="s">
        <v>367</v>
      </c>
      <c r="B156" s="22">
        <f t="shared" si="2"/>
        <v>155</v>
      </c>
      <c r="C156" s="1" t="s">
        <v>368</v>
      </c>
      <c r="D156" s="1" t="s">
        <v>69</v>
      </c>
      <c r="E156" s="1"/>
      <c r="F156" s="1" t="s">
        <v>71</v>
      </c>
      <c r="G156" s="1">
        <v>0</v>
      </c>
      <c r="H156" s="1" t="s">
        <v>77</v>
      </c>
      <c r="I156" s="70">
        <f>'[1]Tabla de Precios'!K155</f>
        <v>2816.7300014083648</v>
      </c>
      <c r="J156" s="70">
        <f>'[1]Tabla de Precios'!L155</f>
        <v>4615.7815382578901</v>
      </c>
      <c r="K156" s="70">
        <f>'[1]Tabla de Precios'!M155</f>
        <v>3380.0760016900376</v>
      </c>
      <c r="L156" s="70" t="s">
        <v>567</v>
      </c>
    </row>
    <row r="157" spans="1:12" x14ac:dyDescent="0.25">
      <c r="A157" s="21" t="s">
        <v>369</v>
      </c>
      <c r="B157" s="22">
        <f t="shared" si="2"/>
        <v>156</v>
      </c>
      <c r="C157" s="1" t="s">
        <v>370</v>
      </c>
      <c r="D157" s="1" t="s">
        <v>69</v>
      </c>
      <c r="E157" s="1"/>
      <c r="F157" s="1" t="s">
        <v>71</v>
      </c>
      <c r="G157" s="1">
        <v>0</v>
      </c>
      <c r="H157" s="1" t="s">
        <v>371</v>
      </c>
      <c r="I157" s="70">
        <f>'[1]Tabla de Precios'!K156</f>
        <v>0</v>
      </c>
      <c r="J157" s="70">
        <f>'[1]Tabla de Precios'!L156</f>
        <v>100</v>
      </c>
      <c r="K157" s="70">
        <f>'[1]Tabla de Precios'!M156</f>
        <v>0</v>
      </c>
      <c r="L157" s="70"/>
    </row>
    <row r="158" spans="1:12" x14ac:dyDescent="0.25">
      <c r="A158" s="21" t="s">
        <v>372</v>
      </c>
      <c r="B158" s="22">
        <f t="shared" si="2"/>
        <v>157</v>
      </c>
      <c r="C158" s="1" t="s">
        <v>373</v>
      </c>
      <c r="D158" s="1" t="s">
        <v>69</v>
      </c>
      <c r="E158" s="1"/>
      <c r="F158" s="1" t="s">
        <v>71</v>
      </c>
      <c r="G158" s="1">
        <v>1</v>
      </c>
      <c r="H158" s="1" t="s">
        <v>77</v>
      </c>
      <c r="I158" s="70">
        <f>'[1]Tabla de Precios'!K157</f>
        <v>5530.65</v>
      </c>
      <c r="J158" s="70">
        <f>'[1]Tabla de Precios'!L157</f>
        <v>8966.7380799999992</v>
      </c>
      <c r="K158" s="70">
        <f>'[1]Tabla de Precios'!M157</f>
        <v>6636.78</v>
      </c>
      <c r="L158" s="70" t="s">
        <v>568</v>
      </c>
    </row>
    <row r="159" spans="1:12" x14ac:dyDescent="0.25">
      <c r="A159" s="21" t="s">
        <v>374</v>
      </c>
      <c r="B159" s="22">
        <f t="shared" si="2"/>
        <v>158</v>
      </c>
      <c r="C159" s="1" t="s">
        <v>375</v>
      </c>
      <c r="D159" s="1" t="s">
        <v>69</v>
      </c>
      <c r="E159" s="1"/>
      <c r="F159" s="1" t="s">
        <v>71</v>
      </c>
      <c r="G159" s="1">
        <v>1</v>
      </c>
      <c r="H159" s="1" t="s">
        <v>77</v>
      </c>
      <c r="I159" s="70">
        <f>'[1]Tabla de Precios'!K158</f>
        <v>4353.9000021769498</v>
      </c>
      <c r="J159" s="70">
        <f>'[1]Tabla de Precios'!L158</f>
        <v>7080.172483490087</v>
      </c>
      <c r="K159" s="70">
        <f>'[1]Tabla de Precios'!M158</f>
        <v>5224.6800026123401</v>
      </c>
      <c r="L159" s="70" t="s">
        <v>569</v>
      </c>
    </row>
    <row r="160" spans="1:12" x14ac:dyDescent="0.25">
      <c r="A160" s="21" t="s">
        <v>376</v>
      </c>
      <c r="B160" s="22">
        <f t="shared" si="2"/>
        <v>159</v>
      </c>
      <c r="C160" s="1" t="s">
        <v>377</v>
      </c>
      <c r="D160" s="1" t="s">
        <v>69</v>
      </c>
      <c r="E160" s="1"/>
      <c r="F160" s="1" t="s">
        <v>71</v>
      </c>
      <c r="G160" s="1">
        <v>9</v>
      </c>
      <c r="H160" s="1" t="s">
        <v>77</v>
      </c>
      <c r="I160" s="70">
        <f>'[1]Tabla de Precios'!K159</f>
        <v>5021.3675214238601</v>
      </c>
      <c r="J160" s="70">
        <f>'[1]Tabla de Precios'!L159</f>
        <v>8150.2564103467321</v>
      </c>
      <c r="K160" s="70">
        <f>'[1]Tabla de Precios'!M159</f>
        <v>6025.6410257086318</v>
      </c>
      <c r="L160" s="70" t="s">
        <v>570</v>
      </c>
    </row>
    <row r="161" spans="1:12" x14ac:dyDescent="0.25">
      <c r="A161" s="21" t="s">
        <v>378</v>
      </c>
      <c r="B161" s="22">
        <f t="shared" si="2"/>
        <v>160</v>
      </c>
      <c r="C161" s="1" t="s">
        <v>379</v>
      </c>
      <c r="D161" s="1" t="s">
        <v>69</v>
      </c>
      <c r="E161" s="1"/>
      <c r="F161" s="1" t="s">
        <v>71</v>
      </c>
      <c r="G161" s="1">
        <v>7</v>
      </c>
      <c r="H161" s="1" t="s">
        <v>72</v>
      </c>
      <c r="I161" s="70">
        <f>'[1]Tabla de Precios'!K160</f>
        <v>625.16666747938348</v>
      </c>
      <c r="J161" s="70">
        <f>'[1]Tabla de Precios'!L160</f>
        <v>1102.2672013029476</v>
      </c>
      <c r="K161" s="70">
        <f>'[1]Tabla de Precios'!M160</f>
        <v>750.2000009752602</v>
      </c>
      <c r="L161" s="70" t="s">
        <v>571</v>
      </c>
    </row>
    <row r="162" spans="1:12" x14ac:dyDescent="0.25">
      <c r="A162" s="21" t="s">
        <v>380</v>
      </c>
      <c r="B162" s="22">
        <f t="shared" si="2"/>
        <v>161</v>
      </c>
      <c r="C162" s="1" t="s">
        <v>381</v>
      </c>
      <c r="D162" s="1" t="s">
        <v>69</v>
      </c>
      <c r="E162" s="1"/>
      <c r="F162" s="1" t="s">
        <v>71</v>
      </c>
      <c r="G162" s="1">
        <v>5</v>
      </c>
      <c r="H162" s="1" t="s">
        <v>72</v>
      </c>
      <c r="I162" s="70">
        <f>'[1]Tabla de Precios'!K161</f>
        <v>829.95833441227933</v>
      </c>
      <c r="J162" s="70">
        <f>'[1]Tabla de Precios'!L161</f>
        <v>1430.5892017297663</v>
      </c>
      <c r="K162" s="70">
        <f>'[1]Tabla de Precios'!M161</f>
        <v>995.95000129473522</v>
      </c>
      <c r="L162" s="70" t="s">
        <v>572</v>
      </c>
    </row>
    <row r="163" spans="1:12" x14ac:dyDescent="0.25">
      <c r="A163" s="21" t="s">
        <v>382</v>
      </c>
      <c r="B163" s="22">
        <f t="shared" si="2"/>
        <v>162</v>
      </c>
      <c r="C163" s="1" t="s">
        <v>383</v>
      </c>
      <c r="D163" s="1" t="s">
        <v>69</v>
      </c>
      <c r="E163" s="1"/>
      <c r="F163" s="1" t="s">
        <v>71</v>
      </c>
      <c r="G163" s="1">
        <v>9</v>
      </c>
      <c r="H163" s="1" t="s">
        <v>72</v>
      </c>
      <c r="I163" s="70">
        <f>'[1]Tabla de Precios'!K162</f>
        <v>474.16666728308337</v>
      </c>
      <c r="J163" s="70">
        <f>'[1]Tabla de Precios'!L162</f>
        <v>860.18400098823918</v>
      </c>
      <c r="K163" s="70">
        <f>'[1]Tabla de Precios'!M162</f>
        <v>569.0000007397</v>
      </c>
      <c r="L163" s="70" t="s">
        <v>573</v>
      </c>
    </row>
    <row r="164" spans="1:12" x14ac:dyDescent="0.25">
      <c r="A164" s="21" t="s">
        <v>384</v>
      </c>
      <c r="B164" s="22">
        <f t="shared" si="2"/>
        <v>163</v>
      </c>
      <c r="C164" s="1" t="s">
        <v>385</v>
      </c>
      <c r="D164" s="1" t="s">
        <v>69</v>
      </c>
      <c r="E164" s="1"/>
      <c r="F164" s="1" t="s">
        <v>71</v>
      </c>
      <c r="G164" s="1">
        <v>28</v>
      </c>
      <c r="H164" s="1" t="s">
        <v>72</v>
      </c>
      <c r="I164" s="70">
        <f>'[1]Tabla de Precios'!K163</f>
        <v>282.24</v>
      </c>
      <c r="J164" s="70">
        <f>'[1]Tabla de Precios'!L163</f>
        <v>552.487168</v>
      </c>
      <c r="K164" s="70">
        <f>'[1]Tabla de Precios'!M163</f>
        <v>338.68799999999999</v>
      </c>
      <c r="L164" s="70"/>
    </row>
    <row r="165" spans="1:12" x14ac:dyDescent="0.25">
      <c r="A165" s="21" t="s">
        <v>386</v>
      </c>
      <c r="B165" s="22">
        <f t="shared" si="2"/>
        <v>164</v>
      </c>
      <c r="C165" s="1" t="s">
        <v>387</v>
      </c>
      <c r="D165" s="1" t="s">
        <v>69</v>
      </c>
      <c r="E165" s="1"/>
      <c r="F165" s="1" t="s">
        <v>71</v>
      </c>
      <c r="G165" s="1">
        <v>5</v>
      </c>
      <c r="H165" s="1" t="s">
        <v>72</v>
      </c>
      <c r="I165" s="70">
        <f>'[1]Tabla de Precios'!K164</f>
        <v>193.20000000000002</v>
      </c>
      <c r="J165" s="70">
        <f>'[1]Tabla de Precios'!L164</f>
        <v>409.73824000000002</v>
      </c>
      <c r="K165" s="70">
        <f>'[1]Tabla de Precios'!M164</f>
        <v>231.84000000000003</v>
      </c>
      <c r="L165" s="70"/>
    </row>
    <row r="166" spans="1:12" x14ac:dyDescent="0.25">
      <c r="A166" s="21" t="s">
        <v>388</v>
      </c>
      <c r="B166" s="22">
        <f t="shared" si="2"/>
        <v>165</v>
      </c>
      <c r="C166" s="1" t="s">
        <v>389</v>
      </c>
      <c r="D166" s="1" t="s">
        <v>69</v>
      </c>
      <c r="E166" s="1"/>
      <c r="F166" s="1" t="s">
        <v>71</v>
      </c>
      <c r="G166" s="1">
        <v>0</v>
      </c>
      <c r="H166" s="1" t="s">
        <v>72</v>
      </c>
      <c r="I166" s="70">
        <f>'[1]Tabla de Precios'!K165</f>
        <v>153.63</v>
      </c>
      <c r="J166" s="70">
        <f>'[1]Tabla de Precios'!L165</f>
        <v>346.29961600000001</v>
      </c>
      <c r="K166" s="70">
        <f>'[1]Tabla de Precios'!M165</f>
        <v>184.35599999999999</v>
      </c>
      <c r="L166" s="70"/>
    </row>
    <row r="167" spans="1:12" x14ac:dyDescent="0.25">
      <c r="A167" s="21" t="s">
        <v>390</v>
      </c>
      <c r="B167" s="22">
        <f t="shared" si="2"/>
        <v>166</v>
      </c>
      <c r="C167" s="1" t="s">
        <v>391</v>
      </c>
      <c r="D167" s="1" t="s">
        <v>69</v>
      </c>
      <c r="E167" s="1"/>
      <c r="F167" s="1" t="s">
        <v>71</v>
      </c>
      <c r="G167" s="1">
        <v>0</v>
      </c>
      <c r="H167" s="1" t="s">
        <v>72</v>
      </c>
      <c r="I167" s="70">
        <f>'[1]Tabla de Precios'!K166</f>
        <v>933.42000046670989</v>
      </c>
      <c r="J167" s="70">
        <f>'[1]Tabla de Precios'!L166</f>
        <v>1596.4589447482294</v>
      </c>
      <c r="K167" s="70">
        <f>'[1]Tabla de Precios'!M166</f>
        <v>1120.1040005600519</v>
      </c>
      <c r="L167" s="70" t="s">
        <v>574</v>
      </c>
    </row>
    <row r="168" spans="1:12" x14ac:dyDescent="0.25">
      <c r="A168" s="21" t="s">
        <v>392</v>
      </c>
      <c r="B168" s="22">
        <f t="shared" si="2"/>
        <v>167</v>
      </c>
      <c r="C168" s="1" t="s">
        <v>393</v>
      </c>
      <c r="D168" s="1" t="s">
        <v>69</v>
      </c>
      <c r="E168" s="1"/>
      <c r="F168" s="1" t="s">
        <v>71</v>
      </c>
      <c r="G168" s="1">
        <v>10</v>
      </c>
      <c r="H168" s="1" t="s">
        <v>72</v>
      </c>
      <c r="I168" s="70">
        <f>'[1]Tabla de Precios'!K167</f>
        <v>148.77000000000001</v>
      </c>
      <c r="J168" s="70">
        <f>'[1]Tabla de Precios'!L167</f>
        <v>338.50806399999999</v>
      </c>
      <c r="K168" s="70">
        <f>'[1]Tabla de Precios'!M167</f>
        <v>178.524</v>
      </c>
      <c r="L168" s="70"/>
    </row>
    <row r="169" spans="1:12" x14ac:dyDescent="0.25">
      <c r="A169" s="21" t="s">
        <v>394</v>
      </c>
      <c r="B169" s="22">
        <f t="shared" si="2"/>
        <v>168</v>
      </c>
      <c r="C169" s="1" t="s">
        <v>395</v>
      </c>
      <c r="D169" s="1" t="s">
        <v>69</v>
      </c>
      <c r="E169" s="1"/>
      <c r="F169" s="1" t="s">
        <v>71</v>
      </c>
      <c r="G169" s="1">
        <v>0</v>
      </c>
      <c r="H169" s="1" t="s">
        <v>72</v>
      </c>
      <c r="I169" s="70">
        <f>'[1]Tabla de Precios'!K168</f>
        <v>259.5</v>
      </c>
      <c r="J169" s="70">
        <f>'[1]Tabla de Precios'!L168</f>
        <v>516.03039999999999</v>
      </c>
      <c r="K169" s="70">
        <f>'[1]Tabla de Precios'!M168</f>
        <v>311.39999999999998</v>
      </c>
      <c r="L169" s="70"/>
    </row>
    <row r="170" spans="1:12" x14ac:dyDescent="0.25">
      <c r="A170" s="21" t="s">
        <v>396</v>
      </c>
      <c r="B170" s="22">
        <f t="shared" si="2"/>
        <v>169</v>
      </c>
      <c r="C170" s="1" t="s">
        <v>397</v>
      </c>
      <c r="D170" s="1" t="s">
        <v>69</v>
      </c>
      <c r="E170" s="1"/>
      <c r="F170" s="1" t="s">
        <v>71</v>
      </c>
      <c r="G170" s="1">
        <v>420</v>
      </c>
      <c r="H170" s="1" t="s">
        <v>72</v>
      </c>
      <c r="I170" s="70">
        <f>'[1]Tabla de Precios'!K169</f>
        <v>479.40000023969992</v>
      </c>
      <c r="J170" s="70">
        <f>'[1]Tabla de Precios'!L169</f>
        <v>868.57408038428696</v>
      </c>
      <c r="K170" s="70">
        <f>'[1]Tabla de Precios'!M169</f>
        <v>575.28000028763995</v>
      </c>
      <c r="L170" s="70"/>
    </row>
    <row r="171" spans="1:12" x14ac:dyDescent="0.25">
      <c r="A171" s="21" t="s">
        <v>398</v>
      </c>
      <c r="B171" s="22">
        <f t="shared" si="2"/>
        <v>170</v>
      </c>
      <c r="C171" s="1" t="s">
        <v>399</v>
      </c>
      <c r="D171" s="1" t="s">
        <v>69</v>
      </c>
      <c r="E171" s="1"/>
      <c r="F171" s="1" t="s">
        <v>71</v>
      </c>
      <c r="G171" s="1">
        <v>3</v>
      </c>
      <c r="H171" s="1" t="s">
        <v>72</v>
      </c>
      <c r="I171" s="70">
        <f>'[1]Tabla de Precios'!K170</f>
        <v>329.21999999999997</v>
      </c>
      <c r="J171" s="70">
        <f>'[1]Tabla de Precios'!L170</f>
        <v>627.80550399999993</v>
      </c>
      <c r="K171" s="70">
        <f>'[1]Tabla de Precios'!M170</f>
        <v>395.06399999999996</v>
      </c>
      <c r="L171" s="70"/>
    </row>
    <row r="172" spans="1:12" x14ac:dyDescent="0.25">
      <c r="A172" s="21" t="s">
        <v>400</v>
      </c>
      <c r="B172" s="22">
        <f t="shared" si="2"/>
        <v>171</v>
      </c>
      <c r="C172" s="1" t="s">
        <v>401</v>
      </c>
      <c r="D172" s="1" t="s">
        <v>69</v>
      </c>
      <c r="E172" s="1"/>
      <c r="F172" s="1" t="s">
        <v>71</v>
      </c>
      <c r="G172" s="1">
        <v>2</v>
      </c>
      <c r="H172" s="1" t="s">
        <v>72</v>
      </c>
      <c r="I172" s="70">
        <f>'[1]Tabla de Precios'!K171</f>
        <v>1199.630000599815</v>
      </c>
      <c r="J172" s="70">
        <f>'[1]Tabla de Precios'!L171</f>
        <v>2023.2468169616234</v>
      </c>
      <c r="K172" s="70">
        <f>'[1]Tabla de Precios'!M171</f>
        <v>1439.556000719778</v>
      </c>
      <c r="L172" s="70" t="s">
        <v>575</v>
      </c>
    </row>
    <row r="173" spans="1:12" x14ac:dyDescent="0.25">
      <c r="A173" s="21" t="s">
        <v>402</v>
      </c>
      <c r="B173" s="22">
        <f t="shared" si="2"/>
        <v>172</v>
      </c>
      <c r="C173" s="1" t="s">
        <v>403</v>
      </c>
      <c r="D173" s="1" t="s">
        <v>69</v>
      </c>
      <c r="E173" s="1"/>
      <c r="F173" s="1" t="s">
        <v>71</v>
      </c>
      <c r="G173" s="1">
        <v>1</v>
      </c>
      <c r="H173" s="1" t="s">
        <v>72</v>
      </c>
      <c r="I173" s="70">
        <f>'[1]Tabla de Precios'!K172</f>
        <v>259.04999999999995</v>
      </c>
      <c r="J173" s="70">
        <f>'[1]Tabla de Precios'!L172</f>
        <v>515.30895999999996</v>
      </c>
      <c r="K173" s="70">
        <f>'[1]Tabla de Precios'!M172</f>
        <v>310.85999999999996</v>
      </c>
      <c r="L173" s="70"/>
    </row>
    <row r="174" spans="1:12" x14ac:dyDescent="0.25">
      <c r="A174" s="21" t="s">
        <v>404</v>
      </c>
      <c r="B174" s="22">
        <f t="shared" si="2"/>
        <v>173</v>
      </c>
      <c r="C174" s="1" t="s">
        <v>405</v>
      </c>
      <c r="D174" s="1" t="s">
        <v>69</v>
      </c>
      <c r="E174" s="1"/>
      <c r="F174" s="1" t="s">
        <v>71</v>
      </c>
      <c r="G174" s="1">
        <v>5</v>
      </c>
      <c r="H174" s="1" t="s">
        <v>72</v>
      </c>
      <c r="I174" s="70">
        <f>'[1]Tabla de Precios'!K173</f>
        <v>763.16000038157995</v>
      </c>
      <c r="J174" s="70">
        <f>'[1]Tabla de Precios'!L173</f>
        <v>1323.4981126117491</v>
      </c>
      <c r="K174" s="70">
        <f>'[1]Tabla de Precios'!M173</f>
        <v>915.79200045789594</v>
      </c>
      <c r="L174" s="70" t="s">
        <v>576</v>
      </c>
    </row>
    <row r="175" spans="1:12" x14ac:dyDescent="0.25">
      <c r="A175" s="21" t="s">
        <v>406</v>
      </c>
      <c r="B175" s="22">
        <f t="shared" si="2"/>
        <v>174</v>
      </c>
      <c r="C175" s="1" t="s">
        <v>407</v>
      </c>
      <c r="D175" s="1" t="s">
        <v>69</v>
      </c>
      <c r="E175" s="1"/>
      <c r="F175" s="1" t="s">
        <v>71</v>
      </c>
      <c r="G175" s="1">
        <v>1</v>
      </c>
      <c r="H175" s="1" t="s">
        <v>77</v>
      </c>
      <c r="I175" s="70">
        <f>'[1]Tabla de Precios'!K174</f>
        <v>5186.0400025930194</v>
      </c>
      <c r="J175" s="70">
        <f>'[1]Tabla de Precios'!L174</f>
        <v>8414.2593321571294</v>
      </c>
      <c r="K175" s="70">
        <f>'[1]Tabla de Precios'!M174</f>
        <v>6223.2480031116229</v>
      </c>
      <c r="L175" s="70"/>
    </row>
    <row r="176" spans="1:12" x14ac:dyDescent="0.25">
      <c r="A176" s="21" t="s">
        <v>408</v>
      </c>
      <c r="B176" s="14">
        <f t="shared" si="2"/>
        <v>175</v>
      </c>
      <c r="C176" s="1" t="s">
        <v>409</v>
      </c>
      <c r="D176" s="20" t="s">
        <v>69</v>
      </c>
      <c r="E176" s="20"/>
      <c r="F176" s="20" t="s">
        <v>71</v>
      </c>
      <c r="G176" s="20">
        <v>4</v>
      </c>
      <c r="H176" s="20" t="s">
        <v>72</v>
      </c>
      <c r="I176" s="70">
        <f>'[1]Tabla de Precios'!K175</f>
        <v>3300.0000016500003</v>
      </c>
      <c r="J176" s="70">
        <f>'[1]Tabla de Precios'!L175</f>
        <v>5390.5600026452812</v>
      </c>
      <c r="K176" s="70">
        <f>'[1]Tabla de Precios'!M175</f>
        <v>3960.0000019800004</v>
      </c>
      <c r="L176" s="70"/>
    </row>
    <row r="177" spans="1:12" x14ac:dyDescent="0.25">
      <c r="A177" s="21" t="s">
        <v>414</v>
      </c>
      <c r="B177" s="14">
        <f t="shared" si="2"/>
        <v>176</v>
      </c>
      <c r="C177" s="1" t="s">
        <v>411</v>
      </c>
      <c r="D177" s="20" t="s">
        <v>69</v>
      </c>
      <c r="E177" s="20"/>
      <c r="F177" s="20" t="s">
        <v>71</v>
      </c>
      <c r="G177" s="20">
        <v>0</v>
      </c>
      <c r="H177" s="1" t="s">
        <v>77</v>
      </c>
      <c r="I177" s="70">
        <f>'[1]Tabla de Precios'!K176</f>
        <v>0</v>
      </c>
      <c r="J177" s="70">
        <f>'[1]Tabla de Precios'!L176</f>
        <v>100</v>
      </c>
      <c r="K177" s="70">
        <f>'[1]Tabla de Precios'!M176</f>
        <v>0</v>
      </c>
      <c r="L177" s="70"/>
    </row>
    <row r="178" spans="1:12" x14ac:dyDescent="0.25">
      <c r="A178" s="1" t="s">
        <v>410</v>
      </c>
      <c r="B178" s="14">
        <f t="shared" si="2"/>
        <v>177</v>
      </c>
      <c r="C178" s="1" t="s">
        <v>577</v>
      </c>
      <c r="D178" s="20" t="s">
        <v>69</v>
      </c>
      <c r="E178" s="1"/>
      <c r="F178" s="20" t="s">
        <v>71</v>
      </c>
      <c r="G178" s="1">
        <v>2</v>
      </c>
      <c r="H178" s="20" t="s">
        <v>72</v>
      </c>
      <c r="I178" s="70">
        <f>'[1]Tabla de Precios'!K177</f>
        <v>2550.5000012752498</v>
      </c>
      <c r="J178" s="70">
        <f>'[1]Tabla de Precios'!L177</f>
        <v>4188.961602044481</v>
      </c>
      <c r="K178" s="70">
        <f>'[1]Tabla de Precios'!M177</f>
        <v>3060.6000015302998</v>
      </c>
      <c r="L178" s="70"/>
    </row>
    <row r="179" spans="1:12" x14ac:dyDescent="0.25">
      <c r="A179" s="1" t="s">
        <v>412</v>
      </c>
      <c r="B179" s="14">
        <f t="shared" si="2"/>
        <v>178</v>
      </c>
      <c r="C179" s="1" t="s">
        <v>413</v>
      </c>
      <c r="D179" s="20" t="s">
        <v>69</v>
      </c>
      <c r="E179" s="1"/>
      <c r="F179" s="20" t="s">
        <v>71</v>
      </c>
      <c r="G179" s="1">
        <v>0</v>
      </c>
      <c r="H179" s="20" t="s">
        <v>77</v>
      </c>
      <c r="I179" s="70">
        <f>'[1]Tabla de Precios'!K178</f>
        <v>0</v>
      </c>
      <c r="J179" s="70">
        <f>'[1]Tabla de Precios'!L178</f>
        <v>100</v>
      </c>
      <c r="K179" s="70">
        <f>'[1]Tabla de Precios'!M178</f>
        <v>0</v>
      </c>
      <c r="L179" s="70"/>
    </row>
    <row r="180" spans="1:12" x14ac:dyDescent="0.25">
      <c r="A180" s="20" t="s">
        <v>578</v>
      </c>
      <c r="B180" s="14">
        <f t="shared" si="2"/>
        <v>179</v>
      </c>
      <c r="C180" s="20" t="s">
        <v>415</v>
      </c>
      <c r="D180" s="20" t="s">
        <v>69</v>
      </c>
      <c r="E180" s="20"/>
      <c r="F180" s="20" t="s">
        <v>516</v>
      </c>
      <c r="G180" s="20">
        <v>0</v>
      </c>
      <c r="H180" s="20" t="s">
        <v>77</v>
      </c>
      <c r="I180" s="71">
        <f>'[1]Tabla de Precios'!K179</f>
        <v>840</v>
      </c>
      <c r="J180" s="71">
        <f>'[1]Tabla de Precios'!L179</f>
        <v>1446.6880000000001</v>
      </c>
      <c r="K180" s="71">
        <f>'[1]Tabla de Precios'!M179</f>
        <v>1008</v>
      </c>
      <c r="L180" s="71"/>
    </row>
    <row r="181" spans="1:12" x14ac:dyDescent="0.25">
      <c r="A181" s="20" t="s">
        <v>579</v>
      </c>
      <c r="B181" s="14">
        <f t="shared" si="2"/>
        <v>180</v>
      </c>
      <c r="C181" s="20" t="s">
        <v>580</v>
      </c>
      <c r="D181" s="20" t="s">
        <v>69</v>
      </c>
      <c r="E181" s="20"/>
      <c r="F181" s="20" t="s">
        <v>71</v>
      </c>
      <c r="G181" s="20">
        <v>0</v>
      </c>
      <c r="H181" s="20" t="s">
        <v>77</v>
      </c>
      <c r="I181" s="71">
        <f>'[1]Tabla de Precios'!K180</f>
        <v>788.16000000000008</v>
      </c>
      <c r="J181" s="71">
        <f>'[1]Tabla de Precios'!L180</f>
        <v>1363.5781120000001</v>
      </c>
      <c r="K181" s="71">
        <f>'[1]Tabla de Precios'!M180</f>
        <v>945.79200000000014</v>
      </c>
      <c r="L181" s="71"/>
    </row>
    <row r="182" spans="1:12" x14ac:dyDescent="0.25">
      <c r="A182" s="1" t="s">
        <v>581</v>
      </c>
      <c r="B182" s="22">
        <f t="shared" si="2"/>
        <v>181</v>
      </c>
      <c r="C182" s="1" t="s">
        <v>582</v>
      </c>
      <c r="D182" s="1" t="s">
        <v>69</v>
      </c>
      <c r="E182" s="1"/>
      <c r="F182" s="1" t="s">
        <v>71</v>
      </c>
      <c r="G182" s="1">
        <v>3</v>
      </c>
      <c r="H182" s="1" t="s">
        <v>77</v>
      </c>
      <c r="I182" s="70">
        <f>'[1]Tabla de Precios'!K181</f>
        <v>1485</v>
      </c>
      <c r="J182" s="70">
        <f>'[1]Tabla de Precios'!L181</f>
        <v>2480.752</v>
      </c>
      <c r="K182" s="70">
        <f>'[1]Tabla de Precios'!M181</f>
        <v>1782</v>
      </c>
      <c r="L182" s="70"/>
    </row>
    <row r="183" spans="1:12" x14ac:dyDescent="0.25">
      <c r="A183" s="20" t="s">
        <v>583</v>
      </c>
      <c r="B183" s="14">
        <f t="shared" si="2"/>
        <v>182</v>
      </c>
      <c r="C183" s="20" t="s">
        <v>584</v>
      </c>
      <c r="D183" s="20" t="s">
        <v>69</v>
      </c>
      <c r="E183" s="20"/>
      <c r="F183" s="20" t="s">
        <v>71</v>
      </c>
      <c r="G183" s="20">
        <v>0</v>
      </c>
      <c r="H183" s="20" t="s">
        <v>77</v>
      </c>
      <c r="I183" s="71">
        <f>'[1]Tabla de Precios'!K182</f>
        <v>900</v>
      </c>
      <c r="J183" s="71">
        <f>'[1]Tabla de Precios'!L182</f>
        <v>1542.88</v>
      </c>
      <c r="K183" s="71">
        <f>'[1]Tabla de Precios'!M182</f>
        <v>1080</v>
      </c>
      <c r="L183" s="71"/>
    </row>
    <row r="184" spans="1:12" x14ac:dyDescent="0.25">
      <c r="A184" s="20" t="s">
        <v>585</v>
      </c>
      <c r="B184" s="14">
        <f t="shared" si="2"/>
        <v>183</v>
      </c>
      <c r="C184" s="20" t="s">
        <v>586</v>
      </c>
      <c r="D184" s="20" t="s">
        <v>69</v>
      </c>
      <c r="E184" s="20"/>
      <c r="F184" s="20" t="s">
        <v>71</v>
      </c>
      <c r="G184" s="20">
        <v>1</v>
      </c>
      <c r="H184" s="20" t="s">
        <v>77</v>
      </c>
      <c r="I184" s="71">
        <f>'[1]Tabla de Precios'!K183</f>
        <v>2880.54</v>
      </c>
      <c r="J184" s="71">
        <f>'[1]Tabla de Precios'!L183</f>
        <v>4718.0817280000001</v>
      </c>
      <c r="K184" s="71">
        <f>'[1]Tabla de Precios'!M183</f>
        <v>3456.6480000000001</v>
      </c>
      <c r="L184" s="71"/>
    </row>
    <row r="185" spans="1:12" x14ac:dyDescent="0.25">
      <c r="A185" s="1" t="s">
        <v>593</v>
      </c>
      <c r="B185" s="22">
        <f t="shared" si="2"/>
        <v>184</v>
      </c>
      <c r="C185" s="1" t="s">
        <v>594</v>
      </c>
      <c r="D185" s="1" t="s">
        <v>69</v>
      </c>
      <c r="E185" s="1"/>
      <c r="F185" s="1" t="s">
        <v>71</v>
      </c>
      <c r="G185" s="1">
        <v>0</v>
      </c>
      <c r="H185" s="1" t="s">
        <v>77</v>
      </c>
      <c r="I185" s="70">
        <f>'[1]Tabla de Precios'!K184</f>
        <v>0</v>
      </c>
      <c r="J185" s="70">
        <f>'[1]Tabla de Precios'!L184</f>
        <v>100</v>
      </c>
      <c r="K185" s="70">
        <f>'[1]Tabla de Precios'!M184</f>
        <v>0</v>
      </c>
      <c r="L185" s="70"/>
    </row>
    <row r="186" spans="1:12" x14ac:dyDescent="0.25">
      <c r="A186" s="1" t="s">
        <v>595</v>
      </c>
      <c r="B186" s="22">
        <f t="shared" si="2"/>
        <v>185</v>
      </c>
      <c r="C186" s="1" t="s">
        <v>596</v>
      </c>
      <c r="D186" s="1" t="s">
        <v>69</v>
      </c>
      <c r="E186" s="1" t="s">
        <v>597</v>
      </c>
      <c r="F186" s="1" t="s">
        <v>71</v>
      </c>
      <c r="G186" s="1">
        <v>3</v>
      </c>
      <c r="H186" s="1" t="s">
        <v>77</v>
      </c>
      <c r="I186" s="70">
        <f>'[1]Tabla de Precios'!K185</f>
        <v>373.5</v>
      </c>
      <c r="J186" s="70">
        <f>'[1]Tabla de Precios'!L185</f>
        <v>698.79520000000002</v>
      </c>
      <c r="K186" s="70">
        <f>'[1]Tabla de Precios'!M185</f>
        <v>448.2</v>
      </c>
      <c r="L186" s="70"/>
    </row>
    <row r="187" spans="1:12" x14ac:dyDescent="0.25">
      <c r="A187" s="1" t="s">
        <v>598</v>
      </c>
      <c r="B187" s="22">
        <f t="shared" si="2"/>
        <v>186</v>
      </c>
      <c r="C187" s="1" t="s">
        <v>599</v>
      </c>
      <c r="D187" s="1" t="s">
        <v>69</v>
      </c>
      <c r="E187" s="1" t="s">
        <v>600</v>
      </c>
      <c r="F187" s="1" t="s">
        <v>601</v>
      </c>
      <c r="G187" s="1">
        <v>0</v>
      </c>
      <c r="H187" s="1" t="s">
        <v>77</v>
      </c>
      <c r="I187" s="70">
        <f>'[1]Tabla de Precios'!K186</f>
        <v>373.5</v>
      </c>
      <c r="J187" s="70">
        <f>'[1]Tabla de Precios'!L186</f>
        <v>698.79520000000002</v>
      </c>
      <c r="K187" s="70">
        <f>'[1]Tabla de Precios'!M186</f>
        <v>448.2</v>
      </c>
      <c r="L187" s="70"/>
    </row>
    <row r="188" spans="1:12" x14ac:dyDescent="0.25">
      <c r="A188" s="1" t="s">
        <v>602</v>
      </c>
      <c r="B188" s="22">
        <f t="shared" si="2"/>
        <v>187</v>
      </c>
      <c r="C188" s="1" t="s">
        <v>603</v>
      </c>
      <c r="D188" s="1" t="s">
        <v>69</v>
      </c>
      <c r="E188" s="1" t="s">
        <v>74</v>
      </c>
      <c r="F188" s="1" t="s">
        <v>604</v>
      </c>
      <c r="G188" s="1">
        <v>1</v>
      </c>
      <c r="H188" s="1" t="s">
        <v>77</v>
      </c>
      <c r="I188" s="70">
        <f>'[1]Tabla de Precios'!K187</f>
        <v>0</v>
      </c>
      <c r="J188" s="70">
        <f>'[1]Tabla de Precios'!L187</f>
        <v>100</v>
      </c>
      <c r="K188" s="70">
        <f>'[1]Tabla de Precios'!M187</f>
        <v>0</v>
      </c>
      <c r="L188" s="70"/>
    </row>
    <row r="189" spans="1:12" x14ac:dyDescent="0.25">
      <c r="A189" s="1" t="s">
        <v>605</v>
      </c>
      <c r="B189" s="22">
        <f t="shared" si="2"/>
        <v>188</v>
      </c>
      <c r="C189" s="1" t="s">
        <v>606</v>
      </c>
      <c r="D189" s="1" t="s">
        <v>69</v>
      </c>
      <c r="E189" s="1" t="s">
        <v>79</v>
      </c>
      <c r="F189" s="1" t="s">
        <v>601</v>
      </c>
      <c r="G189" s="1">
        <v>10</v>
      </c>
      <c r="H189" s="1" t="s">
        <v>77</v>
      </c>
      <c r="I189" s="70">
        <f>'[1]Tabla de Precios'!K188</f>
        <v>2711.5950000000003</v>
      </c>
      <c r="J189" s="70">
        <f>'[1]Tabla de Precios'!L188</f>
        <v>4447.229104</v>
      </c>
      <c r="K189" s="70">
        <f>'[1]Tabla de Precios'!M188</f>
        <v>3253.9140000000002</v>
      </c>
      <c r="L189" s="70"/>
    </row>
    <row r="190" spans="1:12" x14ac:dyDescent="0.25">
      <c r="A190" s="1" t="s">
        <v>607</v>
      </c>
      <c r="B190" s="22">
        <f>ROW(B189)</f>
        <v>189</v>
      </c>
      <c r="C190" s="1" t="s">
        <v>608</v>
      </c>
      <c r="D190" s="1" t="s">
        <v>69</v>
      </c>
      <c r="E190" s="1" t="s">
        <v>74</v>
      </c>
      <c r="F190" s="1" t="s">
        <v>601</v>
      </c>
      <c r="G190" s="1">
        <v>10</v>
      </c>
      <c r="H190" s="1" t="s">
        <v>77</v>
      </c>
      <c r="I190" s="70">
        <f>'[1]Tabla de Precios'!K189</f>
        <v>558.27</v>
      </c>
      <c r="J190" s="70">
        <f>'[1]Tabla de Precios'!L189</f>
        <v>995.01846399999999</v>
      </c>
      <c r="K190" s="70">
        <f>'[1]Tabla de Precios'!M189</f>
        <v>669.92399999999998</v>
      </c>
      <c r="L190" s="70"/>
    </row>
    <row r="191" spans="1:12" x14ac:dyDescent="0.25">
      <c r="A191" s="1" t="s">
        <v>609</v>
      </c>
      <c r="B191" s="22">
        <f>ROW(B190)</f>
        <v>190</v>
      </c>
      <c r="C191" s="1" t="s">
        <v>610</v>
      </c>
      <c r="D191" s="1" t="s">
        <v>69</v>
      </c>
      <c r="E191" s="1" t="s">
        <v>74</v>
      </c>
      <c r="F191" s="1" t="s">
        <v>604</v>
      </c>
      <c r="G191" s="1">
        <v>1</v>
      </c>
      <c r="H191" s="1" t="s">
        <v>77</v>
      </c>
      <c r="I191" s="70">
        <f>'[1]Tabla de Precios'!K190</f>
        <v>0</v>
      </c>
      <c r="J191" s="70">
        <f>'[1]Tabla de Precios'!L190</f>
        <v>100</v>
      </c>
      <c r="K191" s="70">
        <f>'[1]Tabla de Precios'!M190</f>
        <v>0</v>
      </c>
      <c r="L191" s="70"/>
    </row>
    <row r="192" spans="1:12" x14ac:dyDescent="0.25">
      <c r="A192" s="20"/>
      <c r="B192" s="14">
        <f>ROW(B184)</f>
        <v>184</v>
      </c>
      <c r="C192" s="20"/>
      <c r="D192" s="20"/>
      <c r="E192" s="20"/>
      <c r="F192" s="20"/>
      <c r="G192" s="20"/>
      <c r="H192" s="72"/>
      <c r="I192" s="71">
        <f>'[1]Tabla de Precios'!K184</f>
        <v>0</v>
      </c>
      <c r="J192" s="71">
        <f>'[1]Tabla de Precios'!L184</f>
        <v>100</v>
      </c>
      <c r="K192" s="71">
        <f>'[1]Tabla de Precios'!M184</f>
        <v>0</v>
      </c>
      <c r="L192" s="71"/>
    </row>
    <row r="193" spans="1:12" x14ac:dyDescent="0.25">
      <c r="A193" s="11" t="str">
        <f>IFERROR([1]!SW[[#This Row],[NOMRE DEL PRODUCTO]],"")</f>
        <v/>
      </c>
      <c r="B193" s="9">
        <f t="shared" ref="B193" si="3">ROW(B192)</f>
        <v>192</v>
      </c>
      <c r="C193" s="9" t="str">
        <f>IFERROR([1]!SW[[#This Row],[IMAGEN]],"")</f>
        <v/>
      </c>
      <c r="D193" s="9" t="str">
        <f>IFERROR([1]!SW[[#This Row],[IMAGEN]],"")</f>
        <v/>
      </c>
      <c r="E193" s="9" t="str">
        <f>IFERROR([1]!SW[[#This Row],[IMAGEN]],"")</f>
        <v/>
      </c>
      <c r="F193" s="9" t="str">
        <f>IFERROR([1]!SW[[#This Row],[IMAGEN]],"")</f>
        <v/>
      </c>
      <c r="G193" s="9" t="str">
        <f>IFERROR([1]!SW[[#This Row],[IMAGEN]],"")</f>
        <v/>
      </c>
      <c r="H193" s="9" t="str">
        <f>IFERROR([1]!SW[[#This Row],[IMAGEN]],"")</f>
        <v/>
      </c>
      <c r="I193" s="9" t="str">
        <f>IFERROR([1]!SW[[#This Row],[IMAGEN]],"")</f>
        <v/>
      </c>
      <c r="J193" s="9" t="str">
        <f>IFERROR([1]!SW[[#This Row],[IMAGEN]],"")</f>
        <v/>
      </c>
      <c r="K193" s="9" t="str">
        <f>IFERROR([1]!SW[[#This Row],[IMAGEN]],"")</f>
        <v/>
      </c>
      <c r="L193" s="9" t="str">
        <f>IFERROR([1]!SW[[#This Row],[IMAGEN]],"")</f>
        <v/>
      </c>
    </row>
    <row r="194" spans="1:12" x14ac:dyDescent="0.25">
      <c r="A194" s="11" t="str">
        <f>IFERROR([1]!SW[[#This Row],[NOMRE DEL PRODUCTO]],"")</f>
        <v/>
      </c>
      <c r="B194" s="9">
        <f t="shared" ref="B194:B250" si="4">ROW(B193)</f>
        <v>193</v>
      </c>
      <c r="C194" s="9" t="str">
        <f>IFERROR([1]!SW[[#This Row],[IMAGEN]],"")</f>
        <v/>
      </c>
      <c r="D194" s="9" t="str">
        <f>IFERROR([1]!SW[[#This Row],[IMAGEN]],"")</f>
        <v/>
      </c>
      <c r="E194" s="9" t="str">
        <f>IFERROR([1]!SW[[#This Row],[IMAGEN]],"")</f>
        <v/>
      </c>
      <c r="F194" s="9" t="str">
        <f>IFERROR([1]!SW[[#This Row],[IMAGEN]],"")</f>
        <v/>
      </c>
      <c r="G194" s="9" t="str">
        <f>IFERROR([1]!SW[[#This Row],[IMAGEN]],"")</f>
        <v/>
      </c>
      <c r="H194" s="9" t="str">
        <f>IFERROR([1]!SW[[#This Row],[IMAGEN]],"")</f>
        <v/>
      </c>
      <c r="I194" s="9" t="str">
        <f>IFERROR([1]!SW[[#This Row],[IMAGEN]],"")</f>
        <v/>
      </c>
      <c r="J194" s="9" t="str">
        <f>IFERROR([1]!SW[[#This Row],[IMAGEN]],"")</f>
        <v/>
      </c>
      <c r="K194" s="9" t="str">
        <f>IFERROR([1]!SW[[#This Row],[IMAGEN]],"")</f>
        <v/>
      </c>
      <c r="L194" s="9" t="str">
        <f>IFERROR([1]!SW[[#This Row],[IMAGEN]],"")</f>
        <v/>
      </c>
    </row>
    <row r="195" spans="1:12" x14ac:dyDescent="0.25">
      <c r="A195" s="11" t="str">
        <f>IFERROR([1]!SW[[#This Row],[NOMRE DEL PRODUCTO]],"")</f>
        <v/>
      </c>
      <c r="B195" s="9">
        <f t="shared" si="4"/>
        <v>194</v>
      </c>
      <c r="C195" s="9" t="str">
        <f>IFERROR([1]!SW[[#This Row],[IMAGEN]],"")</f>
        <v/>
      </c>
      <c r="D195" s="9" t="str">
        <f>IFERROR([1]!SW[[#This Row],[IMAGEN]],"")</f>
        <v/>
      </c>
      <c r="E195" s="9" t="str">
        <f>IFERROR([1]!SW[[#This Row],[IMAGEN]],"")</f>
        <v/>
      </c>
      <c r="F195" s="9" t="str">
        <f>IFERROR([1]!SW[[#This Row],[IMAGEN]],"")</f>
        <v/>
      </c>
      <c r="G195" s="9" t="str">
        <f>IFERROR([1]!SW[[#This Row],[IMAGEN]],"")</f>
        <v/>
      </c>
      <c r="H195" s="9" t="str">
        <f>IFERROR([1]!SW[[#This Row],[IMAGEN]],"")</f>
        <v/>
      </c>
      <c r="I195" s="9" t="str">
        <f>IFERROR([1]!SW[[#This Row],[IMAGEN]],"")</f>
        <v/>
      </c>
      <c r="J195" s="9" t="str">
        <f>IFERROR([1]!SW[[#This Row],[IMAGEN]],"")</f>
        <v/>
      </c>
      <c r="K195" s="9" t="str">
        <f>IFERROR([1]!SW[[#This Row],[IMAGEN]],"")</f>
        <v/>
      </c>
      <c r="L195" s="9" t="str">
        <f>IFERROR([1]!SW[[#This Row],[IMAGEN]],"")</f>
        <v/>
      </c>
    </row>
    <row r="196" spans="1:12" x14ac:dyDescent="0.25">
      <c r="A196" s="11" t="str">
        <f>IFERROR([1]!SW[[#This Row],[NOMRE DEL PRODUCTO]],"")</f>
        <v/>
      </c>
      <c r="B196" s="9">
        <f t="shared" si="4"/>
        <v>195</v>
      </c>
      <c r="C196" s="9" t="str">
        <f>IFERROR([1]!SW[[#This Row],[IMAGEN]],"")</f>
        <v/>
      </c>
      <c r="D196" s="9" t="str">
        <f>IFERROR([1]!SW[[#This Row],[IMAGEN]],"")</f>
        <v/>
      </c>
      <c r="E196" s="9" t="str">
        <f>IFERROR([1]!SW[[#This Row],[IMAGEN]],"")</f>
        <v/>
      </c>
      <c r="F196" s="9" t="str">
        <f>IFERROR([1]!SW[[#This Row],[IMAGEN]],"")</f>
        <v/>
      </c>
      <c r="G196" s="9" t="str">
        <f>IFERROR([1]!SW[[#This Row],[IMAGEN]],"")</f>
        <v/>
      </c>
      <c r="H196" s="9" t="str">
        <f>IFERROR([1]!SW[[#This Row],[IMAGEN]],"")</f>
        <v/>
      </c>
      <c r="I196" s="9" t="str">
        <f>IFERROR([1]!SW[[#This Row],[IMAGEN]],"")</f>
        <v/>
      </c>
      <c r="J196" s="9" t="str">
        <f>IFERROR([1]!SW[[#This Row],[IMAGEN]],"")</f>
        <v/>
      </c>
      <c r="K196" s="9" t="str">
        <f>IFERROR([1]!SW[[#This Row],[IMAGEN]],"")</f>
        <v/>
      </c>
      <c r="L196" s="9" t="str">
        <f>IFERROR([1]!SW[[#This Row],[IMAGEN]],"")</f>
        <v/>
      </c>
    </row>
    <row r="197" spans="1:12" x14ac:dyDescent="0.25">
      <c r="A197" s="11" t="str">
        <f>IFERROR([1]!SW[[#This Row],[NOMRE DEL PRODUCTO]],"")</f>
        <v/>
      </c>
      <c r="B197" s="9">
        <f t="shared" si="4"/>
        <v>196</v>
      </c>
      <c r="C197" s="9" t="str">
        <f>IFERROR([1]!SW[[#This Row],[IMAGEN]],"")</f>
        <v/>
      </c>
      <c r="D197" s="9" t="str">
        <f>IFERROR([1]!SW[[#This Row],[IMAGEN]],"")</f>
        <v/>
      </c>
      <c r="E197" s="9" t="str">
        <f>IFERROR([1]!SW[[#This Row],[IMAGEN]],"")</f>
        <v/>
      </c>
      <c r="F197" s="9" t="str">
        <f>IFERROR([1]!SW[[#This Row],[IMAGEN]],"")</f>
        <v/>
      </c>
      <c r="G197" s="9" t="str">
        <f>IFERROR([1]!SW[[#This Row],[IMAGEN]],"")</f>
        <v/>
      </c>
      <c r="H197" s="9" t="str">
        <f>IFERROR([1]!SW[[#This Row],[IMAGEN]],"")</f>
        <v/>
      </c>
      <c r="I197" s="9" t="str">
        <f>IFERROR([1]!SW[[#This Row],[IMAGEN]],"")</f>
        <v/>
      </c>
      <c r="J197" s="9" t="str">
        <f>IFERROR([1]!SW[[#This Row],[IMAGEN]],"")</f>
        <v/>
      </c>
      <c r="K197" s="9" t="str">
        <f>IFERROR([1]!SW[[#This Row],[IMAGEN]],"")</f>
        <v/>
      </c>
      <c r="L197" s="9" t="str">
        <f>IFERROR([1]!SW[[#This Row],[IMAGEN]],"")</f>
        <v/>
      </c>
    </row>
    <row r="198" spans="1:12" x14ac:dyDescent="0.25">
      <c r="A198" s="11" t="str">
        <f>IFERROR([1]!SW[[#This Row],[NOMRE DEL PRODUCTO]],"")</f>
        <v/>
      </c>
      <c r="B198" s="9">
        <f t="shared" si="4"/>
        <v>197</v>
      </c>
      <c r="C198" s="9" t="str">
        <f>IFERROR([1]!SW[[#This Row],[IMAGEN]],"")</f>
        <v/>
      </c>
      <c r="D198" s="9" t="str">
        <f>IFERROR([1]!SW[[#This Row],[IMAGEN]],"")</f>
        <v/>
      </c>
      <c r="E198" s="9" t="str">
        <f>IFERROR([1]!SW[[#This Row],[IMAGEN]],"")</f>
        <v/>
      </c>
      <c r="F198" s="9" t="str">
        <f>IFERROR([1]!SW[[#This Row],[IMAGEN]],"")</f>
        <v/>
      </c>
      <c r="G198" s="9" t="str">
        <f>IFERROR([1]!SW[[#This Row],[IMAGEN]],"")</f>
        <v/>
      </c>
      <c r="H198" s="9" t="str">
        <f>IFERROR([1]!SW[[#This Row],[IMAGEN]],"")</f>
        <v/>
      </c>
      <c r="I198" s="9" t="str">
        <f>IFERROR([1]!SW[[#This Row],[IMAGEN]],"")</f>
        <v/>
      </c>
      <c r="J198" s="9" t="str">
        <f>IFERROR([1]!SW[[#This Row],[IMAGEN]],"")</f>
        <v/>
      </c>
      <c r="K198" s="9" t="str">
        <f>IFERROR([1]!SW[[#This Row],[IMAGEN]],"")</f>
        <v/>
      </c>
      <c r="L198" s="9" t="str">
        <f>IFERROR([1]!SW[[#This Row],[IMAGEN]],"")</f>
        <v/>
      </c>
    </row>
    <row r="199" spans="1:12" x14ac:dyDescent="0.25">
      <c r="A199" s="11" t="str">
        <f>IFERROR([1]!SW[[#This Row],[NOMRE DEL PRODUCTO]],"")</f>
        <v/>
      </c>
      <c r="B199" s="9">
        <f t="shared" si="4"/>
        <v>198</v>
      </c>
      <c r="C199" s="9" t="str">
        <f>IFERROR([1]!SW[[#This Row],[IMAGEN]],"")</f>
        <v/>
      </c>
      <c r="D199" s="9" t="str">
        <f>IFERROR([1]!SW[[#This Row],[IMAGEN]],"")</f>
        <v/>
      </c>
      <c r="E199" s="9" t="str">
        <f>IFERROR([1]!SW[[#This Row],[IMAGEN]],"")</f>
        <v/>
      </c>
      <c r="F199" s="9" t="str">
        <f>IFERROR([1]!SW[[#This Row],[IMAGEN]],"")</f>
        <v/>
      </c>
      <c r="G199" s="9" t="str">
        <f>IFERROR([1]!SW[[#This Row],[IMAGEN]],"")</f>
        <v/>
      </c>
      <c r="H199" s="9" t="str">
        <f>IFERROR([1]!SW[[#This Row],[IMAGEN]],"")</f>
        <v/>
      </c>
      <c r="I199" s="9" t="str">
        <f>IFERROR([1]!SW[[#This Row],[IMAGEN]],"")</f>
        <v/>
      </c>
      <c r="J199" s="9" t="str">
        <f>IFERROR([1]!SW[[#This Row],[IMAGEN]],"")</f>
        <v/>
      </c>
      <c r="K199" s="9" t="str">
        <f>IFERROR([1]!SW[[#This Row],[IMAGEN]],"")</f>
        <v/>
      </c>
      <c r="L199" s="9" t="str">
        <f>IFERROR([1]!SW[[#This Row],[IMAGEN]],"")</f>
        <v/>
      </c>
    </row>
    <row r="200" spans="1:12" x14ac:dyDescent="0.25">
      <c r="A200" s="11" t="str">
        <f>IFERROR([1]!SW[[#This Row],[NOMRE DEL PRODUCTO]],"")</f>
        <v/>
      </c>
      <c r="B200" s="9">
        <f t="shared" si="4"/>
        <v>199</v>
      </c>
      <c r="C200" s="9" t="str">
        <f>IFERROR([1]!SW[[#This Row],[IMAGEN]],"")</f>
        <v/>
      </c>
      <c r="D200" s="9" t="str">
        <f>IFERROR([1]!SW[[#This Row],[IMAGEN]],"")</f>
        <v/>
      </c>
      <c r="E200" s="9" t="str">
        <f>IFERROR([1]!SW[[#This Row],[IMAGEN]],"")</f>
        <v/>
      </c>
      <c r="F200" s="9" t="str">
        <f>IFERROR([1]!SW[[#This Row],[IMAGEN]],"")</f>
        <v/>
      </c>
      <c r="G200" s="9" t="str">
        <f>IFERROR([1]!SW[[#This Row],[IMAGEN]],"")</f>
        <v/>
      </c>
      <c r="H200" s="9" t="str">
        <f>IFERROR([1]!SW[[#This Row],[IMAGEN]],"")</f>
        <v/>
      </c>
      <c r="I200" s="9" t="str">
        <f>IFERROR([1]!SW[[#This Row],[IMAGEN]],"")</f>
        <v/>
      </c>
      <c r="J200" s="9" t="str">
        <f>IFERROR([1]!SW[[#This Row],[IMAGEN]],"")</f>
        <v/>
      </c>
      <c r="K200" s="9" t="str">
        <f>IFERROR([1]!SW[[#This Row],[IMAGEN]],"")</f>
        <v/>
      </c>
      <c r="L200" s="9" t="str">
        <f>IFERROR([1]!SW[[#This Row],[IMAGEN]],"")</f>
        <v/>
      </c>
    </row>
    <row r="201" spans="1:12" x14ac:dyDescent="0.25">
      <c r="A201" s="11" t="str">
        <f>IFERROR([1]!SW[[#This Row],[NOMRE DEL PRODUCTO]],"")</f>
        <v/>
      </c>
      <c r="B201" s="9">
        <f t="shared" si="4"/>
        <v>200</v>
      </c>
      <c r="C201" s="9" t="str">
        <f>IFERROR([1]!SW[[#This Row],[IMAGEN]],"")</f>
        <v/>
      </c>
      <c r="D201" s="9" t="str">
        <f>IFERROR([1]!SW[[#This Row],[IMAGEN]],"")</f>
        <v/>
      </c>
      <c r="E201" s="9" t="str">
        <f>IFERROR([1]!SW[[#This Row],[IMAGEN]],"")</f>
        <v/>
      </c>
      <c r="F201" s="9" t="str">
        <f>IFERROR([1]!SW[[#This Row],[IMAGEN]],"")</f>
        <v/>
      </c>
      <c r="G201" s="9" t="str">
        <f>IFERROR([1]!SW[[#This Row],[IMAGEN]],"")</f>
        <v/>
      </c>
      <c r="H201" s="9" t="str">
        <f>IFERROR([1]!SW[[#This Row],[IMAGEN]],"")</f>
        <v/>
      </c>
      <c r="I201" s="9" t="str">
        <f>IFERROR([1]!SW[[#This Row],[IMAGEN]],"")</f>
        <v/>
      </c>
      <c r="J201" s="9" t="str">
        <f>IFERROR([1]!SW[[#This Row],[IMAGEN]],"")</f>
        <v/>
      </c>
      <c r="K201" s="9" t="str">
        <f>IFERROR([1]!SW[[#This Row],[IMAGEN]],"")</f>
        <v/>
      </c>
      <c r="L201" s="9" t="str">
        <f>IFERROR([1]!SW[[#This Row],[IMAGEN]],"")</f>
        <v/>
      </c>
    </row>
    <row r="202" spans="1:12" x14ac:dyDescent="0.25">
      <c r="A202" s="11" t="str">
        <f>IFERROR([1]!SW[[#This Row],[NOMRE DEL PRODUCTO]],"")</f>
        <v/>
      </c>
      <c r="B202" s="9">
        <f t="shared" si="4"/>
        <v>201</v>
      </c>
      <c r="C202" s="9" t="str">
        <f>IFERROR([1]!SW[[#This Row],[IMAGEN]],"")</f>
        <v/>
      </c>
      <c r="D202" s="9" t="str">
        <f>IFERROR([1]!SW[[#This Row],[IMAGEN]],"")</f>
        <v/>
      </c>
      <c r="E202" s="9" t="str">
        <f>IFERROR([1]!SW[[#This Row],[IMAGEN]],"")</f>
        <v/>
      </c>
      <c r="F202" s="9" t="str">
        <f>IFERROR([1]!SW[[#This Row],[IMAGEN]],"")</f>
        <v/>
      </c>
      <c r="G202" s="9" t="str">
        <f>IFERROR([1]!SW[[#This Row],[IMAGEN]],"")</f>
        <v/>
      </c>
      <c r="H202" s="9" t="str">
        <f>IFERROR([1]!SW[[#This Row],[IMAGEN]],"")</f>
        <v/>
      </c>
      <c r="I202" s="9" t="str">
        <f>IFERROR([1]!SW[[#This Row],[IMAGEN]],"")</f>
        <v/>
      </c>
      <c r="J202" s="9" t="str">
        <f>IFERROR([1]!SW[[#This Row],[IMAGEN]],"")</f>
        <v/>
      </c>
      <c r="K202" s="9" t="str">
        <f>IFERROR([1]!SW[[#This Row],[IMAGEN]],"")</f>
        <v/>
      </c>
      <c r="L202" s="9" t="str">
        <f>IFERROR([1]!SW[[#This Row],[IMAGEN]],"")</f>
        <v/>
      </c>
    </row>
    <row r="203" spans="1:12" x14ac:dyDescent="0.25">
      <c r="A203" s="11" t="str">
        <f>IFERROR([1]!SW[[#This Row],[NOMRE DEL PRODUCTO]],"")</f>
        <v/>
      </c>
      <c r="B203" s="9">
        <f t="shared" si="4"/>
        <v>202</v>
      </c>
      <c r="C203" s="9" t="str">
        <f>IFERROR([1]!SW[[#This Row],[IMAGEN]],"")</f>
        <v/>
      </c>
      <c r="D203" s="9" t="str">
        <f>IFERROR([1]!SW[[#This Row],[IMAGEN]],"")</f>
        <v/>
      </c>
      <c r="E203" s="9" t="str">
        <f>IFERROR([1]!SW[[#This Row],[IMAGEN]],"")</f>
        <v/>
      </c>
      <c r="F203" s="9" t="str">
        <f>IFERROR([1]!SW[[#This Row],[IMAGEN]],"")</f>
        <v/>
      </c>
      <c r="G203" s="9" t="str">
        <f>IFERROR([1]!SW[[#This Row],[IMAGEN]],"")</f>
        <v/>
      </c>
      <c r="H203" s="9" t="str">
        <f>IFERROR([1]!SW[[#This Row],[IMAGEN]],"")</f>
        <v/>
      </c>
      <c r="I203" s="9" t="str">
        <f>IFERROR([1]!SW[[#This Row],[IMAGEN]],"")</f>
        <v/>
      </c>
      <c r="J203" s="9" t="str">
        <f>IFERROR([1]!SW[[#This Row],[IMAGEN]],"")</f>
        <v/>
      </c>
      <c r="K203" s="9" t="str">
        <f>IFERROR([1]!SW[[#This Row],[IMAGEN]],"")</f>
        <v/>
      </c>
      <c r="L203" s="9" t="str">
        <f>IFERROR([1]!SW[[#This Row],[IMAGEN]],"")</f>
        <v/>
      </c>
    </row>
    <row r="204" spans="1:12" x14ac:dyDescent="0.25">
      <c r="A204" s="11" t="str">
        <f>IFERROR([1]!SW[[#This Row],[NOMRE DEL PRODUCTO]],"")</f>
        <v/>
      </c>
      <c r="B204" s="9">
        <f t="shared" si="4"/>
        <v>203</v>
      </c>
      <c r="C204" s="9" t="str">
        <f>IFERROR([1]!SW[[#This Row],[IMAGEN]],"")</f>
        <v/>
      </c>
      <c r="D204" s="9" t="str">
        <f>IFERROR([1]!SW[[#This Row],[IMAGEN]],"")</f>
        <v/>
      </c>
      <c r="E204" s="9" t="str">
        <f>IFERROR([1]!SW[[#This Row],[IMAGEN]],"")</f>
        <v/>
      </c>
      <c r="F204" s="9" t="str">
        <f>IFERROR([1]!SW[[#This Row],[IMAGEN]],"")</f>
        <v/>
      </c>
      <c r="G204" s="9" t="str">
        <f>IFERROR([1]!SW[[#This Row],[IMAGEN]],"")</f>
        <v/>
      </c>
      <c r="H204" s="9" t="str">
        <f>IFERROR([1]!SW[[#This Row],[IMAGEN]],"")</f>
        <v/>
      </c>
      <c r="I204" s="9" t="str">
        <f>IFERROR([1]!SW[[#This Row],[IMAGEN]],"")</f>
        <v/>
      </c>
      <c r="J204" s="9" t="str">
        <f>IFERROR([1]!SW[[#This Row],[IMAGEN]],"")</f>
        <v/>
      </c>
      <c r="K204" s="9" t="str">
        <f>IFERROR([1]!SW[[#This Row],[IMAGEN]],"")</f>
        <v/>
      </c>
      <c r="L204" s="9" t="str">
        <f>IFERROR([1]!SW[[#This Row],[IMAGEN]],"")</f>
        <v/>
      </c>
    </row>
    <row r="205" spans="1:12" x14ac:dyDescent="0.25">
      <c r="A205" s="11" t="str">
        <f>IFERROR([1]!SW[[#This Row],[NOMRE DEL PRODUCTO]],"")</f>
        <v/>
      </c>
      <c r="B205" s="9">
        <f t="shared" si="4"/>
        <v>204</v>
      </c>
      <c r="C205" s="9" t="str">
        <f>IFERROR([1]!SW[[#This Row],[IMAGEN]],"")</f>
        <v/>
      </c>
      <c r="D205" s="9" t="str">
        <f>IFERROR([1]!SW[[#This Row],[IMAGEN]],"")</f>
        <v/>
      </c>
      <c r="E205" s="9" t="str">
        <f>IFERROR([1]!SW[[#This Row],[IMAGEN]],"")</f>
        <v/>
      </c>
      <c r="F205" s="9" t="str">
        <f>IFERROR([1]!SW[[#This Row],[IMAGEN]],"")</f>
        <v/>
      </c>
      <c r="G205" s="9" t="str">
        <f>IFERROR([1]!SW[[#This Row],[IMAGEN]],"")</f>
        <v/>
      </c>
      <c r="H205" s="9" t="str">
        <f>IFERROR([1]!SW[[#This Row],[IMAGEN]],"")</f>
        <v/>
      </c>
      <c r="I205" s="9" t="str">
        <f>IFERROR([1]!SW[[#This Row],[IMAGEN]],"")</f>
        <v/>
      </c>
      <c r="J205" s="9" t="str">
        <f>IFERROR([1]!SW[[#This Row],[IMAGEN]],"")</f>
        <v/>
      </c>
      <c r="K205" s="9" t="str">
        <f>IFERROR([1]!SW[[#This Row],[IMAGEN]],"")</f>
        <v/>
      </c>
      <c r="L205" s="9" t="str">
        <f>IFERROR([1]!SW[[#This Row],[IMAGEN]],"")</f>
        <v/>
      </c>
    </row>
    <row r="206" spans="1:12" x14ac:dyDescent="0.25">
      <c r="A206" s="11" t="str">
        <f>IFERROR([1]!SW[[#This Row],[NOMRE DEL PRODUCTO]],"")</f>
        <v/>
      </c>
      <c r="B206" s="9">
        <f t="shared" si="4"/>
        <v>205</v>
      </c>
      <c r="C206" s="9" t="str">
        <f>IFERROR([1]!SW[[#This Row],[IMAGEN]],"")</f>
        <v/>
      </c>
      <c r="D206" s="9" t="str">
        <f>IFERROR([1]!SW[[#This Row],[IMAGEN]],"")</f>
        <v/>
      </c>
      <c r="E206" s="9" t="str">
        <f>IFERROR([1]!SW[[#This Row],[IMAGEN]],"")</f>
        <v/>
      </c>
      <c r="F206" s="9" t="str">
        <f>IFERROR([1]!SW[[#This Row],[IMAGEN]],"")</f>
        <v/>
      </c>
      <c r="G206" s="9" t="str">
        <f>IFERROR([1]!SW[[#This Row],[IMAGEN]],"")</f>
        <v/>
      </c>
      <c r="H206" s="9" t="str">
        <f>IFERROR([1]!SW[[#This Row],[IMAGEN]],"")</f>
        <v/>
      </c>
      <c r="I206" s="9" t="str">
        <f>IFERROR([1]!SW[[#This Row],[IMAGEN]],"")</f>
        <v/>
      </c>
      <c r="J206" s="9" t="str">
        <f>IFERROR([1]!SW[[#This Row],[IMAGEN]],"")</f>
        <v/>
      </c>
      <c r="K206" s="9" t="str">
        <f>IFERROR([1]!SW[[#This Row],[IMAGEN]],"")</f>
        <v/>
      </c>
      <c r="L206" s="9" t="str">
        <f>IFERROR([1]!SW[[#This Row],[IMAGEN]],"")</f>
        <v/>
      </c>
    </row>
    <row r="207" spans="1:12" x14ac:dyDescent="0.25">
      <c r="A207" s="11" t="str">
        <f>IFERROR([1]!SW[[#This Row],[NOMRE DEL PRODUCTO]],"")</f>
        <v/>
      </c>
      <c r="B207" s="9">
        <f t="shared" si="4"/>
        <v>206</v>
      </c>
      <c r="C207" s="9" t="str">
        <f>IFERROR([1]!SW[[#This Row],[IMAGEN]],"")</f>
        <v/>
      </c>
      <c r="D207" s="9" t="str">
        <f>IFERROR([1]!SW[[#This Row],[IMAGEN]],"")</f>
        <v/>
      </c>
      <c r="E207" s="9" t="str">
        <f>IFERROR([1]!SW[[#This Row],[IMAGEN]],"")</f>
        <v/>
      </c>
      <c r="F207" s="9" t="str">
        <f>IFERROR([1]!SW[[#This Row],[IMAGEN]],"")</f>
        <v/>
      </c>
      <c r="G207" s="9" t="str">
        <f>IFERROR([1]!SW[[#This Row],[IMAGEN]],"")</f>
        <v/>
      </c>
      <c r="H207" s="9" t="str">
        <f>IFERROR([1]!SW[[#This Row],[IMAGEN]],"")</f>
        <v/>
      </c>
      <c r="I207" s="9" t="str">
        <f>IFERROR([1]!SW[[#This Row],[IMAGEN]],"")</f>
        <v/>
      </c>
      <c r="J207" s="9" t="str">
        <f>IFERROR([1]!SW[[#This Row],[IMAGEN]],"")</f>
        <v/>
      </c>
      <c r="K207" s="9" t="str">
        <f>IFERROR([1]!SW[[#This Row],[IMAGEN]],"")</f>
        <v/>
      </c>
      <c r="L207" s="9" t="str">
        <f>IFERROR([1]!SW[[#This Row],[IMAGEN]],"")</f>
        <v/>
      </c>
    </row>
    <row r="208" spans="1:12" x14ac:dyDescent="0.25">
      <c r="A208" s="11" t="str">
        <f>IFERROR([1]!SW[[#This Row],[NOMRE DEL PRODUCTO]],"")</f>
        <v/>
      </c>
      <c r="B208" s="9">
        <f t="shared" si="4"/>
        <v>207</v>
      </c>
      <c r="C208" s="9" t="str">
        <f>IFERROR([1]!SW[[#This Row],[IMAGEN]],"")</f>
        <v/>
      </c>
      <c r="D208" s="9" t="str">
        <f>IFERROR([1]!SW[[#This Row],[IMAGEN]],"")</f>
        <v/>
      </c>
      <c r="E208" s="9" t="str">
        <f>IFERROR([1]!SW[[#This Row],[IMAGEN]],"")</f>
        <v/>
      </c>
      <c r="F208" s="9" t="str">
        <f>IFERROR([1]!SW[[#This Row],[IMAGEN]],"")</f>
        <v/>
      </c>
      <c r="G208" s="9" t="str">
        <f>IFERROR([1]!SW[[#This Row],[IMAGEN]],"")</f>
        <v/>
      </c>
      <c r="H208" s="9" t="str">
        <f>IFERROR([1]!SW[[#This Row],[IMAGEN]],"")</f>
        <v/>
      </c>
      <c r="I208" s="9" t="str">
        <f>IFERROR([1]!SW[[#This Row],[IMAGEN]],"")</f>
        <v/>
      </c>
      <c r="J208" s="9" t="str">
        <f>IFERROR([1]!SW[[#This Row],[IMAGEN]],"")</f>
        <v/>
      </c>
      <c r="K208" s="9" t="str">
        <f>IFERROR([1]!SW[[#This Row],[IMAGEN]],"")</f>
        <v/>
      </c>
      <c r="L208" s="9" t="str">
        <f>IFERROR([1]!SW[[#This Row],[IMAGEN]],"")</f>
        <v/>
      </c>
    </row>
    <row r="209" spans="1:12" x14ac:dyDescent="0.25">
      <c r="A209" s="11" t="str">
        <f>IFERROR([1]!SW[[#This Row],[NOMRE DEL PRODUCTO]],"")</f>
        <v/>
      </c>
      <c r="B209" s="9">
        <f t="shared" si="4"/>
        <v>208</v>
      </c>
      <c r="C209" s="9" t="str">
        <f>IFERROR([1]!SW[[#This Row],[IMAGEN]],"")</f>
        <v/>
      </c>
      <c r="D209" s="9" t="str">
        <f>IFERROR([1]!SW[[#This Row],[IMAGEN]],"")</f>
        <v/>
      </c>
      <c r="E209" s="9" t="str">
        <f>IFERROR([1]!SW[[#This Row],[IMAGEN]],"")</f>
        <v/>
      </c>
      <c r="F209" s="9" t="str">
        <f>IFERROR([1]!SW[[#This Row],[IMAGEN]],"")</f>
        <v/>
      </c>
      <c r="G209" s="9" t="str">
        <f>IFERROR([1]!SW[[#This Row],[IMAGEN]],"")</f>
        <v/>
      </c>
      <c r="H209" s="9" t="str">
        <f>IFERROR([1]!SW[[#This Row],[IMAGEN]],"")</f>
        <v/>
      </c>
      <c r="I209" s="9" t="str">
        <f>IFERROR([1]!SW[[#This Row],[IMAGEN]],"")</f>
        <v/>
      </c>
      <c r="J209" s="9" t="str">
        <f>IFERROR([1]!SW[[#This Row],[IMAGEN]],"")</f>
        <v/>
      </c>
      <c r="K209" s="9" t="str">
        <f>IFERROR([1]!SW[[#This Row],[IMAGEN]],"")</f>
        <v/>
      </c>
      <c r="L209" s="9" t="str">
        <f>IFERROR([1]!SW[[#This Row],[IMAGEN]],"")</f>
        <v/>
      </c>
    </row>
    <row r="210" spans="1:12" x14ac:dyDescent="0.25">
      <c r="A210" s="11" t="str">
        <f>IFERROR([1]!SW[[#This Row],[NOMRE DEL PRODUCTO]],"")</f>
        <v/>
      </c>
      <c r="B210" s="9">
        <f t="shared" si="4"/>
        <v>209</v>
      </c>
      <c r="C210" s="9" t="str">
        <f>IFERROR([1]!SW[[#This Row],[IMAGEN]],"")</f>
        <v/>
      </c>
      <c r="D210" s="9" t="str">
        <f>IFERROR([1]!SW[[#This Row],[IMAGEN]],"")</f>
        <v/>
      </c>
      <c r="E210" s="9" t="str">
        <f>IFERROR([1]!SW[[#This Row],[IMAGEN]],"")</f>
        <v/>
      </c>
      <c r="F210" s="9" t="str">
        <f>IFERROR([1]!SW[[#This Row],[IMAGEN]],"")</f>
        <v/>
      </c>
      <c r="G210" s="9" t="str">
        <f>IFERROR([1]!SW[[#This Row],[IMAGEN]],"")</f>
        <v/>
      </c>
      <c r="H210" s="9" t="str">
        <f>IFERROR([1]!SW[[#This Row],[IMAGEN]],"")</f>
        <v/>
      </c>
      <c r="I210" s="9" t="str">
        <f>IFERROR([1]!SW[[#This Row],[IMAGEN]],"")</f>
        <v/>
      </c>
      <c r="J210" s="9" t="str">
        <f>IFERROR([1]!SW[[#This Row],[IMAGEN]],"")</f>
        <v/>
      </c>
      <c r="K210" s="9" t="str">
        <f>IFERROR([1]!SW[[#This Row],[IMAGEN]],"")</f>
        <v/>
      </c>
      <c r="L210" s="9" t="str">
        <f>IFERROR([1]!SW[[#This Row],[IMAGEN]],"")</f>
        <v/>
      </c>
    </row>
    <row r="211" spans="1:12" x14ac:dyDescent="0.25">
      <c r="A211" s="11" t="str">
        <f>IFERROR([1]!SW[[#This Row],[NOMRE DEL PRODUCTO]],"")</f>
        <v/>
      </c>
      <c r="B211" s="9">
        <f t="shared" si="4"/>
        <v>210</v>
      </c>
      <c r="C211" s="9" t="str">
        <f>IFERROR([1]!SW[[#This Row],[IMAGEN]],"")</f>
        <v/>
      </c>
      <c r="D211" s="9" t="str">
        <f>IFERROR([1]!SW[[#This Row],[IMAGEN]],"")</f>
        <v/>
      </c>
      <c r="E211" s="9" t="str">
        <f>IFERROR([1]!SW[[#This Row],[IMAGEN]],"")</f>
        <v/>
      </c>
      <c r="F211" s="9" t="str">
        <f>IFERROR([1]!SW[[#This Row],[IMAGEN]],"")</f>
        <v/>
      </c>
      <c r="G211" s="9" t="str">
        <f>IFERROR([1]!SW[[#This Row],[IMAGEN]],"")</f>
        <v/>
      </c>
      <c r="H211" s="9" t="str">
        <f>IFERROR([1]!SW[[#This Row],[IMAGEN]],"")</f>
        <v/>
      </c>
      <c r="I211" s="9" t="str">
        <f>IFERROR([1]!SW[[#This Row],[IMAGEN]],"")</f>
        <v/>
      </c>
      <c r="J211" s="9" t="str">
        <f>IFERROR([1]!SW[[#This Row],[IMAGEN]],"")</f>
        <v/>
      </c>
      <c r="K211" s="9" t="str">
        <f>IFERROR([1]!SW[[#This Row],[IMAGEN]],"")</f>
        <v/>
      </c>
      <c r="L211" s="9" t="str">
        <f>IFERROR([1]!SW[[#This Row],[IMAGEN]],"")</f>
        <v/>
      </c>
    </row>
    <row r="212" spans="1:12" x14ac:dyDescent="0.25">
      <c r="A212" s="11" t="str">
        <f>IFERROR([1]!SW[[#This Row],[NOMRE DEL PRODUCTO]],"")</f>
        <v/>
      </c>
      <c r="B212" s="9">
        <f t="shared" si="4"/>
        <v>211</v>
      </c>
      <c r="C212" s="9" t="str">
        <f>IFERROR([1]!SW[[#This Row],[IMAGEN]],"")</f>
        <v/>
      </c>
      <c r="D212" s="9" t="str">
        <f>IFERROR([1]!SW[[#This Row],[IMAGEN]],"")</f>
        <v/>
      </c>
      <c r="E212" s="9" t="str">
        <f>IFERROR([1]!SW[[#This Row],[IMAGEN]],"")</f>
        <v/>
      </c>
      <c r="F212" s="9" t="str">
        <f>IFERROR([1]!SW[[#This Row],[IMAGEN]],"")</f>
        <v/>
      </c>
      <c r="G212" s="9" t="str">
        <f>IFERROR([1]!SW[[#This Row],[IMAGEN]],"")</f>
        <v/>
      </c>
      <c r="H212" s="9" t="str">
        <f>IFERROR([1]!SW[[#This Row],[IMAGEN]],"")</f>
        <v/>
      </c>
      <c r="I212" s="9" t="str">
        <f>IFERROR([1]!SW[[#This Row],[IMAGEN]],"")</f>
        <v/>
      </c>
      <c r="J212" s="9" t="str">
        <f>IFERROR([1]!SW[[#This Row],[IMAGEN]],"")</f>
        <v/>
      </c>
      <c r="K212" s="9" t="str">
        <f>IFERROR([1]!SW[[#This Row],[IMAGEN]],"")</f>
        <v/>
      </c>
      <c r="L212" s="9" t="str">
        <f>IFERROR([1]!SW[[#This Row],[IMAGEN]],"")</f>
        <v/>
      </c>
    </row>
    <row r="213" spans="1:12" x14ac:dyDescent="0.25">
      <c r="A213" s="11" t="str">
        <f>IFERROR([1]!SW[[#This Row],[NOMRE DEL PRODUCTO]],"")</f>
        <v/>
      </c>
      <c r="B213" s="9">
        <f t="shared" si="4"/>
        <v>212</v>
      </c>
      <c r="C213" s="9" t="str">
        <f>IFERROR([1]!SW[[#This Row],[IMAGEN]],"")</f>
        <v/>
      </c>
      <c r="D213" s="9" t="str">
        <f>IFERROR([1]!SW[[#This Row],[IMAGEN]],"")</f>
        <v/>
      </c>
      <c r="E213" s="9" t="str">
        <f>IFERROR([1]!SW[[#This Row],[IMAGEN]],"")</f>
        <v/>
      </c>
      <c r="F213" s="9" t="str">
        <f>IFERROR([1]!SW[[#This Row],[IMAGEN]],"")</f>
        <v/>
      </c>
      <c r="G213" s="9" t="str">
        <f>IFERROR([1]!SW[[#This Row],[IMAGEN]],"")</f>
        <v/>
      </c>
      <c r="H213" s="9" t="str">
        <f>IFERROR([1]!SW[[#This Row],[IMAGEN]],"")</f>
        <v/>
      </c>
      <c r="I213" s="9" t="str">
        <f>IFERROR([1]!SW[[#This Row],[IMAGEN]],"")</f>
        <v/>
      </c>
      <c r="J213" s="9" t="str">
        <f>IFERROR([1]!SW[[#This Row],[IMAGEN]],"")</f>
        <v/>
      </c>
      <c r="K213" s="9" t="str">
        <f>IFERROR([1]!SW[[#This Row],[IMAGEN]],"")</f>
        <v/>
      </c>
      <c r="L213" s="9" t="str">
        <f>IFERROR([1]!SW[[#This Row],[IMAGEN]],"")</f>
        <v/>
      </c>
    </row>
    <row r="214" spans="1:12" x14ac:dyDescent="0.25">
      <c r="A214" s="11" t="str">
        <f>IFERROR([1]!SW[[#This Row],[NOMRE DEL PRODUCTO]],"")</f>
        <v/>
      </c>
      <c r="B214" s="9">
        <f t="shared" si="4"/>
        <v>213</v>
      </c>
      <c r="C214" s="9" t="str">
        <f>IFERROR([1]!SW[[#This Row],[IMAGEN]],"")</f>
        <v/>
      </c>
      <c r="D214" s="9" t="str">
        <f>IFERROR([1]!SW[[#This Row],[IMAGEN]],"")</f>
        <v/>
      </c>
      <c r="E214" s="9" t="str">
        <f>IFERROR([1]!SW[[#This Row],[IMAGEN]],"")</f>
        <v/>
      </c>
      <c r="F214" s="9" t="str">
        <f>IFERROR([1]!SW[[#This Row],[IMAGEN]],"")</f>
        <v/>
      </c>
      <c r="G214" s="9" t="str">
        <f>IFERROR([1]!SW[[#This Row],[IMAGEN]],"")</f>
        <v/>
      </c>
      <c r="H214" s="9" t="str">
        <f>IFERROR([1]!SW[[#This Row],[IMAGEN]],"")</f>
        <v/>
      </c>
      <c r="I214" s="9" t="str">
        <f>IFERROR([1]!SW[[#This Row],[IMAGEN]],"")</f>
        <v/>
      </c>
      <c r="J214" s="9" t="str">
        <f>IFERROR([1]!SW[[#This Row],[IMAGEN]],"")</f>
        <v/>
      </c>
      <c r="K214" s="9" t="str">
        <f>IFERROR([1]!SW[[#This Row],[IMAGEN]],"")</f>
        <v/>
      </c>
      <c r="L214" s="9" t="str">
        <f>IFERROR([1]!SW[[#This Row],[IMAGEN]],"")</f>
        <v/>
      </c>
    </row>
    <row r="215" spans="1:12" x14ac:dyDescent="0.25">
      <c r="A215" s="11" t="str">
        <f>IFERROR([1]!SW[[#This Row],[NOMRE DEL PRODUCTO]],"")</f>
        <v/>
      </c>
      <c r="B215" s="9">
        <f t="shared" si="4"/>
        <v>214</v>
      </c>
      <c r="C215" s="9" t="str">
        <f>IFERROR([1]!SW[[#This Row],[IMAGEN]],"")</f>
        <v/>
      </c>
      <c r="D215" s="9" t="str">
        <f>IFERROR([1]!SW[[#This Row],[IMAGEN]],"")</f>
        <v/>
      </c>
      <c r="E215" s="9" t="str">
        <f>IFERROR([1]!SW[[#This Row],[IMAGEN]],"")</f>
        <v/>
      </c>
      <c r="F215" s="9" t="str">
        <f>IFERROR([1]!SW[[#This Row],[IMAGEN]],"")</f>
        <v/>
      </c>
      <c r="G215" s="9" t="str">
        <f>IFERROR([1]!SW[[#This Row],[IMAGEN]],"")</f>
        <v/>
      </c>
      <c r="H215" s="9" t="str">
        <f>IFERROR([1]!SW[[#This Row],[IMAGEN]],"")</f>
        <v/>
      </c>
      <c r="I215" s="9" t="str">
        <f>IFERROR([1]!SW[[#This Row],[IMAGEN]],"")</f>
        <v/>
      </c>
      <c r="J215" s="9" t="str">
        <f>IFERROR([1]!SW[[#This Row],[IMAGEN]],"")</f>
        <v/>
      </c>
      <c r="K215" s="9" t="str">
        <f>IFERROR([1]!SW[[#This Row],[IMAGEN]],"")</f>
        <v/>
      </c>
      <c r="L215" s="9" t="str">
        <f>IFERROR([1]!SW[[#This Row],[IMAGEN]],"")</f>
        <v/>
      </c>
    </row>
    <row r="216" spans="1:12" x14ac:dyDescent="0.25">
      <c r="A216" s="11" t="str">
        <f>IFERROR([1]!SW[[#This Row],[NOMRE DEL PRODUCTO]],"")</f>
        <v/>
      </c>
      <c r="B216" s="9">
        <f t="shared" si="4"/>
        <v>215</v>
      </c>
      <c r="C216" s="9" t="str">
        <f>IFERROR([1]!SW[[#This Row],[IMAGEN]],"")</f>
        <v/>
      </c>
      <c r="D216" s="9" t="str">
        <f>IFERROR([1]!SW[[#This Row],[IMAGEN]],"")</f>
        <v/>
      </c>
      <c r="E216" s="9" t="str">
        <f>IFERROR([1]!SW[[#This Row],[IMAGEN]],"")</f>
        <v/>
      </c>
      <c r="F216" s="9" t="str">
        <f>IFERROR([1]!SW[[#This Row],[IMAGEN]],"")</f>
        <v/>
      </c>
      <c r="G216" s="9" t="str">
        <f>IFERROR([1]!SW[[#This Row],[IMAGEN]],"")</f>
        <v/>
      </c>
      <c r="H216" s="9" t="str">
        <f>IFERROR([1]!SW[[#This Row],[IMAGEN]],"")</f>
        <v/>
      </c>
      <c r="I216" s="9" t="str">
        <f>IFERROR([1]!SW[[#This Row],[IMAGEN]],"")</f>
        <v/>
      </c>
      <c r="J216" s="9" t="str">
        <f>IFERROR([1]!SW[[#This Row],[IMAGEN]],"")</f>
        <v/>
      </c>
      <c r="K216" s="9" t="str">
        <f>IFERROR([1]!SW[[#This Row],[IMAGEN]],"")</f>
        <v/>
      </c>
      <c r="L216" s="9" t="str">
        <f>IFERROR([1]!SW[[#This Row],[IMAGEN]],"")</f>
        <v/>
      </c>
    </row>
    <row r="217" spans="1:12" x14ac:dyDescent="0.25">
      <c r="A217" s="11" t="str">
        <f>IFERROR([1]!SW[[#This Row],[NOMRE DEL PRODUCTO]],"")</f>
        <v/>
      </c>
      <c r="B217" s="9">
        <f t="shared" si="4"/>
        <v>216</v>
      </c>
      <c r="C217" s="9" t="str">
        <f>IFERROR([1]!SW[[#This Row],[IMAGEN]],"")</f>
        <v/>
      </c>
      <c r="D217" s="9" t="str">
        <f>IFERROR([1]!SW[[#This Row],[IMAGEN]],"")</f>
        <v/>
      </c>
      <c r="E217" s="9" t="str">
        <f>IFERROR([1]!SW[[#This Row],[IMAGEN]],"")</f>
        <v/>
      </c>
      <c r="F217" s="9" t="str">
        <f>IFERROR([1]!SW[[#This Row],[IMAGEN]],"")</f>
        <v/>
      </c>
      <c r="G217" s="9" t="str">
        <f>IFERROR([1]!SW[[#This Row],[IMAGEN]],"")</f>
        <v/>
      </c>
      <c r="H217" s="9" t="str">
        <f>IFERROR([1]!SW[[#This Row],[IMAGEN]],"")</f>
        <v/>
      </c>
      <c r="I217" s="9" t="str">
        <f>IFERROR([1]!SW[[#This Row],[IMAGEN]],"")</f>
        <v/>
      </c>
      <c r="J217" s="9" t="str">
        <f>IFERROR([1]!SW[[#This Row],[IMAGEN]],"")</f>
        <v/>
      </c>
      <c r="K217" s="9" t="str">
        <f>IFERROR([1]!SW[[#This Row],[IMAGEN]],"")</f>
        <v/>
      </c>
      <c r="L217" s="9" t="str">
        <f>IFERROR([1]!SW[[#This Row],[IMAGEN]],"")</f>
        <v/>
      </c>
    </row>
    <row r="218" spans="1:12" x14ac:dyDescent="0.25">
      <c r="A218" s="11" t="str">
        <f>IFERROR([1]!SW[[#This Row],[NOMRE DEL PRODUCTO]],"")</f>
        <v/>
      </c>
      <c r="B218" s="9">
        <f t="shared" si="4"/>
        <v>217</v>
      </c>
      <c r="C218" s="9" t="str">
        <f>IFERROR([1]!SW[[#This Row],[IMAGEN]],"")</f>
        <v/>
      </c>
      <c r="D218" s="9" t="str">
        <f>IFERROR([1]!SW[[#This Row],[IMAGEN]],"")</f>
        <v/>
      </c>
      <c r="E218" s="9" t="str">
        <f>IFERROR([1]!SW[[#This Row],[IMAGEN]],"")</f>
        <v/>
      </c>
      <c r="F218" s="9" t="str">
        <f>IFERROR([1]!SW[[#This Row],[IMAGEN]],"")</f>
        <v/>
      </c>
      <c r="G218" s="9" t="str">
        <f>IFERROR([1]!SW[[#This Row],[IMAGEN]],"")</f>
        <v/>
      </c>
      <c r="H218" s="9" t="str">
        <f>IFERROR([1]!SW[[#This Row],[IMAGEN]],"")</f>
        <v/>
      </c>
      <c r="I218" s="9" t="str">
        <f>IFERROR([1]!SW[[#This Row],[IMAGEN]],"")</f>
        <v/>
      </c>
      <c r="J218" s="9" t="str">
        <f>IFERROR([1]!SW[[#This Row],[IMAGEN]],"")</f>
        <v/>
      </c>
      <c r="K218" s="9" t="str">
        <f>IFERROR([1]!SW[[#This Row],[IMAGEN]],"")</f>
        <v/>
      </c>
      <c r="L218" s="9" t="str">
        <f>IFERROR([1]!SW[[#This Row],[IMAGEN]],"")</f>
        <v/>
      </c>
    </row>
    <row r="219" spans="1:12" x14ac:dyDescent="0.25">
      <c r="A219" s="11" t="str">
        <f>IFERROR([1]!SW[[#This Row],[NOMRE DEL PRODUCTO]],"")</f>
        <v/>
      </c>
      <c r="B219" s="9">
        <f t="shared" si="4"/>
        <v>218</v>
      </c>
      <c r="C219" s="9" t="str">
        <f>IFERROR([1]!SW[[#This Row],[IMAGEN]],"")</f>
        <v/>
      </c>
      <c r="D219" s="9" t="str">
        <f>IFERROR([1]!SW[[#This Row],[IMAGEN]],"")</f>
        <v/>
      </c>
      <c r="E219" s="9" t="str">
        <f>IFERROR([1]!SW[[#This Row],[IMAGEN]],"")</f>
        <v/>
      </c>
      <c r="F219" s="9" t="str">
        <f>IFERROR([1]!SW[[#This Row],[IMAGEN]],"")</f>
        <v/>
      </c>
      <c r="G219" s="9" t="str">
        <f>IFERROR([1]!SW[[#This Row],[IMAGEN]],"")</f>
        <v/>
      </c>
      <c r="H219" s="9" t="str">
        <f>IFERROR([1]!SW[[#This Row],[IMAGEN]],"")</f>
        <v/>
      </c>
      <c r="I219" s="9" t="str">
        <f>IFERROR([1]!SW[[#This Row],[IMAGEN]],"")</f>
        <v/>
      </c>
      <c r="J219" s="9" t="str">
        <f>IFERROR([1]!SW[[#This Row],[IMAGEN]],"")</f>
        <v/>
      </c>
      <c r="K219" s="9" t="str">
        <f>IFERROR([1]!SW[[#This Row],[IMAGEN]],"")</f>
        <v/>
      </c>
      <c r="L219" s="9" t="str">
        <f>IFERROR([1]!SW[[#This Row],[IMAGEN]],"")</f>
        <v/>
      </c>
    </row>
    <row r="220" spans="1:12" x14ac:dyDescent="0.25">
      <c r="A220" s="11" t="str">
        <f>IFERROR([1]!SW[[#This Row],[NOMRE DEL PRODUCTO]],"")</f>
        <v/>
      </c>
      <c r="B220" s="9">
        <f t="shared" si="4"/>
        <v>219</v>
      </c>
      <c r="C220" s="9" t="str">
        <f>IFERROR([1]!SW[[#This Row],[IMAGEN]],"")</f>
        <v/>
      </c>
      <c r="D220" s="9" t="str">
        <f>IFERROR([1]!SW[[#This Row],[IMAGEN]],"")</f>
        <v/>
      </c>
      <c r="E220" s="9" t="str">
        <f>IFERROR([1]!SW[[#This Row],[IMAGEN]],"")</f>
        <v/>
      </c>
      <c r="F220" s="9" t="str">
        <f>IFERROR([1]!SW[[#This Row],[IMAGEN]],"")</f>
        <v/>
      </c>
      <c r="G220" s="9" t="str">
        <f>IFERROR([1]!SW[[#This Row],[IMAGEN]],"")</f>
        <v/>
      </c>
      <c r="H220" s="9" t="str">
        <f>IFERROR([1]!SW[[#This Row],[IMAGEN]],"")</f>
        <v/>
      </c>
      <c r="I220" s="9" t="str">
        <f>IFERROR([1]!SW[[#This Row],[IMAGEN]],"")</f>
        <v/>
      </c>
      <c r="J220" s="9" t="str">
        <f>IFERROR([1]!SW[[#This Row],[IMAGEN]],"")</f>
        <v/>
      </c>
      <c r="K220" s="9" t="str">
        <f>IFERROR([1]!SW[[#This Row],[IMAGEN]],"")</f>
        <v/>
      </c>
      <c r="L220" s="9" t="str">
        <f>IFERROR([1]!SW[[#This Row],[IMAGEN]],"")</f>
        <v/>
      </c>
    </row>
    <row r="221" spans="1:12" x14ac:dyDescent="0.25">
      <c r="A221" s="11" t="str">
        <f>IFERROR([1]!SW[[#This Row],[NOMRE DEL PRODUCTO]],"")</f>
        <v/>
      </c>
      <c r="B221" s="9">
        <f t="shared" si="4"/>
        <v>220</v>
      </c>
      <c r="C221" s="9" t="str">
        <f>IFERROR([1]!SW[[#This Row],[IMAGEN]],"")</f>
        <v/>
      </c>
      <c r="D221" s="9" t="str">
        <f>IFERROR([1]!SW[[#This Row],[IMAGEN]],"")</f>
        <v/>
      </c>
      <c r="E221" s="9" t="str">
        <f>IFERROR([1]!SW[[#This Row],[IMAGEN]],"")</f>
        <v/>
      </c>
      <c r="F221" s="9" t="str">
        <f>IFERROR([1]!SW[[#This Row],[IMAGEN]],"")</f>
        <v/>
      </c>
      <c r="G221" s="9" t="str">
        <f>IFERROR([1]!SW[[#This Row],[IMAGEN]],"")</f>
        <v/>
      </c>
      <c r="H221" s="9" t="str">
        <f>IFERROR([1]!SW[[#This Row],[IMAGEN]],"")</f>
        <v/>
      </c>
      <c r="I221" s="9" t="str">
        <f>IFERROR([1]!SW[[#This Row],[IMAGEN]],"")</f>
        <v/>
      </c>
      <c r="J221" s="9" t="str">
        <f>IFERROR([1]!SW[[#This Row],[IMAGEN]],"")</f>
        <v/>
      </c>
      <c r="K221" s="9" t="str">
        <f>IFERROR([1]!SW[[#This Row],[IMAGEN]],"")</f>
        <v/>
      </c>
      <c r="L221" s="9" t="str">
        <f>IFERROR([1]!SW[[#This Row],[IMAGEN]],"")</f>
        <v/>
      </c>
    </row>
    <row r="222" spans="1:12" x14ac:dyDescent="0.25">
      <c r="A222" s="11" t="str">
        <f>IFERROR([1]!SW[[#This Row],[NOMRE DEL PRODUCTO]],"")</f>
        <v/>
      </c>
      <c r="B222" s="9">
        <f t="shared" si="4"/>
        <v>221</v>
      </c>
      <c r="C222" s="9" t="str">
        <f>IFERROR([1]!SW[[#This Row],[IMAGEN]],"")</f>
        <v/>
      </c>
      <c r="D222" s="9" t="str">
        <f>IFERROR([1]!SW[[#This Row],[IMAGEN]],"")</f>
        <v/>
      </c>
      <c r="E222" s="9" t="str">
        <f>IFERROR([1]!SW[[#This Row],[IMAGEN]],"")</f>
        <v/>
      </c>
      <c r="F222" s="9" t="str">
        <f>IFERROR([1]!SW[[#This Row],[IMAGEN]],"")</f>
        <v/>
      </c>
      <c r="G222" s="9" t="str">
        <f>IFERROR([1]!SW[[#This Row],[IMAGEN]],"")</f>
        <v/>
      </c>
      <c r="H222" s="9" t="str">
        <f>IFERROR([1]!SW[[#This Row],[IMAGEN]],"")</f>
        <v/>
      </c>
      <c r="I222" s="9" t="str">
        <f>IFERROR([1]!SW[[#This Row],[IMAGEN]],"")</f>
        <v/>
      </c>
      <c r="J222" s="9" t="str">
        <f>IFERROR([1]!SW[[#This Row],[IMAGEN]],"")</f>
        <v/>
      </c>
      <c r="K222" s="9" t="str">
        <f>IFERROR([1]!SW[[#This Row],[IMAGEN]],"")</f>
        <v/>
      </c>
      <c r="L222" s="9" t="str">
        <f>IFERROR([1]!SW[[#This Row],[IMAGEN]],"")</f>
        <v/>
      </c>
    </row>
    <row r="223" spans="1:12" x14ac:dyDescent="0.25">
      <c r="A223" s="11" t="str">
        <f>IFERROR([1]!SW[[#This Row],[NOMRE DEL PRODUCTO]],"")</f>
        <v/>
      </c>
      <c r="B223" s="9">
        <f t="shared" si="4"/>
        <v>222</v>
      </c>
      <c r="C223" s="9" t="str">
        <f>IFERROR([1]!SW[[#This Row],[IMAGEN]],"")</f>
        <v/>
      </c>
      <c r="D223" s="9" t="str">
        <f>IFERROR([1]!SW[[#This Row],[IMAGEN]],"")</f>
        <v/>
      </c>
      <c r="E223" s="9" t="str">
        <f>IFERROR([1]!SW[[#This Row],[IMAGEN]],"")</f>
        <v/>
      </c>
      <c r="F223" s="9" t="str">
        <f>IFERROR([1]!SW[[#This Row],[IMAGEN]],"")</f>
        <v/>
      </c>
      <c r="G223" s="9" t="str">
        <f>IFERROR([1]!SW[[#This Row],[IMAGEN]],"")</f>
        <v/>
      </c>
      <c r="H223" s="9" t="str">
        <f>IFERROR([1]!SW[[#This Row],[IMAGEN]],"")</f>
        <v/>
      </c>
      <c r="I223" s="9" t="str">
        <f>IFERROR([1]!SW[[#This Row],[IMAGEN]],"")</f>
        <v/>
      </c>
      <c r="J223" s="9" t="str">
        <f>IFERROR([1]!SW[[#This Row],[IMAGEN]],"")</f>
        <v/>
      </c>
      <c r="K223" s="9" t="str">
        <f>IFERROR([1]!SW[[#This Row],[IMAGEN]],"")</f>
        <v/>
      </c>
      <c r="L223" s="9" t="str">
        <f>IFERROR([1]!SW[[#This Row],[IMAGEN]],"")</f>
        <v/>
      </c>
    </row>
    <row r="224" spans="1:12" x14ac:dyDescent="0.25">
      <c r="A224" s="11" t="str">
        <f>IFERROR([1]!SW[[#This Row],[NOMRE DEL PRODUCTO]],"")</f>
        <v/>
      </c>
      <c r="B224" s="9">
        <f t="shared" si="4"/>
        <v>223</v>
      </c>
      <c r="C224" s="9" t="str">
        <f>IFERROR([1]!SW[[#This Row],[IMAGEN]],"")</f>
        <v/>
      </c>
      <c r="D224" s="9" t="str">
        <f>IFERROR([1]!SW[[#This Row],[IMAGEN]],"")</f>
        <v/>
      </c>
      <c r="E224" s="9" t="str">
        <f>IFERROR([1]!SW[[#This Row],[IMAGEN]],"")</f>
        <v/>
      </c>
      <c r="F224" s="9" t="str">
        <f>IFERROR([1]!SW[[#This Row],[IMAGEN]],"")</f>
        <v/>
      </c>
      <c r="G224" s="9" t="str">
        <f>IFERROR([1]!SW[[#This Row],[IMAGEN]],"")</f>
        <v/>
      </c>
      <c r="H224" s="9" t="str">
        <f>IFERROR([1]!SW[[#This Row],[IMAGEN]],"")</f>
        <v/>
      </c>
      <c r="I224" s="9" t="str">
        <f>IFERROR([1]!SW[[#This Row],[IMAGEN]],"")</f>
        <v/>
      </c>
      <c r="J224" s="9" t="str">
        <f>IFERROR([1]!SW[[#This Row],[IMAGEN]],"")</f>
        <v/>
      </c>
      <c r="K224" s="9" t="str">
        <f>IFERROR([1]!SW[[#This Row],[IMAGEN]],"")</f>
        <v/>
      </c>
      <c r="L224" s="9" t="str">
        <f>IFERROR([1]!SW[[#This Row],[IMAGEN]],"")</f>
        <v/>
      </c>
    </row>
    <row r="225" spans="1:12" x14ac:dyDescent="0.25">
      <c r="A225" s="11" t="str">
        <f>IFERROR([1]!SW[[#This Row],[NOMRE DEL PRODUCTO]],"")</f>
        <v/>
      </c>
      <c r="B225" s="9">
        <f t="shared" si="4"/>
        <v>224</v>
      </c>
      <c r="C225" s="9" t="str">
        <f>IFERROR([1]!SW[[#This Row],[IMAGEN]],"")</f>
        <v/>
      </c>
      <c r="D225" s="9" t="str">
        <f>IFERROR([1]!SW[[#This Row],[IMAGEN]],"")</f>
        <v/>
      </c>
      <c r="E225" s="9" t="str">
        <f>IFERROR([1]!SW[[#This Row],[IMAGEN]],"")</f>
        <v/>
      </c>
      <c r="F225" s="9" t="str">
        <f>IFERROR([1]!SW[[#This Row],[IMAGEN]],"")</f>
        <v/>
      </c>
      <c r="G225" s="9" t="str">
        <f>IFERROR([1]!SW[[#This Row],[IMAGEN]],"")</f>
        <v/>
      </c>
      <c r="H225" s="9" t="str">
        <f>IFERROR([1]!SW[[#This Row],[IMAGEN]],"")</f>
        <v/>
      </c>
      <c r="I225" s="9" t="str">
        <f>IFERROR([1]!SW[[#This Row],[IMAGEN]],"")</f>
        <v/>
      </c>
      <c r="J225" s="9" t="str">
        <f>IFERROR([1]!SW[[#This Row],[IMAGEN]],"")</f>
        <v/>
      </c>
      <c r="K225" s="9" t="str">
        <f>IFERROR([1]!SW[[#This Row],[IMAGEN]],"")</f>
        <v/>
      </c>
      <c r="L225" s="9" t="str">
        <f>IFERROR([1]!SW[[#This Row],[IMAGEN]],"")</f>
        <v/>
      </c>
    </row>
    <row r="226" spans="1:12" x14ac:dyDescent="0.25">
      <c r="A226" s="11" t="str">
        <f>IFERROR([1]!SW[[#This Row],[NOMRE DEL PRODUCTO]],"")</f>
        <v/>
      </c>
      <c r="B226" s="9">
        <f t="shared" si="4"/>
        <v>225</v>
      </c>
      <c r="C226" s="9" t="str">
        <f>IFERROR([1]!SW[[#This Row],[IMAGEN]],"")</f>
        <v/>
      </c>
      <c r="D226" s="9" t="str">
        <f>IFERROR([1]!SW[[#This Row],[IMAGEN]],"")</f>
        <v/>
      </c>
      <c r="E226" s="9" t="str">
        <f>IFERROR([1]!SW[[#This Row],[IMAGEN]],"")</f>
        <v/>
      </c>
      <c r="F226" s="9" t="str">
        <f>IFERROR([1]!SW[[#This Row],[IMAGEN]],"")</f>
        <v/>
      </c>
      <c r="G226" s="9" t="str">
        <f>IFERROR([1]!SW[[#This Row],[IMAGEN]],"")</f>
        <v/>
      </c>
      <c r="H226" s="9" t="str">
        <f>IFERROR([1]!SW[[#This Row],[IMAGEN]],"")</f>
        <v/>
      </c>
      <c r="I226" s="9" t="str">
        <f>IFERROR([1]!SW[[#This Row],[IMAGEN]],"")</f>
        <v/>
      </c>
      <c r="J226" s="9" t="str">
        <f>IFERROR([1]!SW[[#This Row],[IMAGEN]],"")</f>
        <v/>
      </c>
      <c r="K226" s="9" t="str">
        <f>IFERROR([1]!SW[[#This Row],[IMAGEN]],"")</f>
        <v/>
      </c>
      <c r="L226" s="9" t="str">
        <f>IFERROR([1]!SW[[#This Row],[IMAGEN]],"")</f>
        <v/>
      </c>
    </row>
    <row r="227" spans="1:12" x14ac:dyDescent="0.25">
      <c r="A227" s="11" t="str">
        <f>IFERROR([1]!SW[[#This Row],[NOMRE DEL PRODUCTO]],"")</f>
        <v/>
      </c>
      <c r="B227" s="9">
        <f t="shared" si="4"/>
        <v>226</v>
      </c>
      <c r="C227" s="9" t="str">
        <f>IFERROR([1]!SW[[#This Row],[IMAGEN]],"")</f>
        <v/>
      </c>
      <c r="D227" s="9" t="str">
        <f>IFERROR([1]!SW[[#This Row],[IMAGEN]],"")</f>
        <v/>
      </c>
      <c r="E227" s="9" t="str">
        <f>IFERROR([1]!SW[[#This Row],[IMAGEN]],"")</f>
        <v/>
      </c>
      <c r="F227" s="9" t="str">
        <f>IFERROR([1]!SW[[#This Row],[IMAGEN]],"")</f>
        <v/>
      </c>
      <c r="G227" s="9" t="str">
        <f>IFERROR([1]!SW[[#This Row],[IMAGEN]],"")</f>
        <v/>
      </c>
      <c r="H227" s="9" t="str">
        <f>IFERROR([1]!SW[[#This Row],[IMAGEN]],"")</f>
        <v/>
      </c>
      <c r="I227" s="9" t="str">
        <f>IFERROR([1]!SW[[#This Row],[IMAGEN]],"")</f>
        <v/>
      </c>
      <c r="J227" s="9" t="str">
        <f>IFERROR([1]!SW[[#This Row],[IMAGEN]],"")</f>
        <v/>
      </c>
      <c r="K227" s="9" t="str">
        <f>IFERROR([1]!SW[[#This Row],[IMAGEN]],"")</f>
        <v/>
      </c>
      <c r="L227" s="9" t="str">
        <f>IFERROR([1]!SW[[#This Row],[IMAGEN]],"")</f>
        <v/>
      </c>
    </row>
    <row r="228" spans="1:12" x14ac:dyDescent="0.25">
      <c r="A228" s="11" t="str">
        <f>IFERROR([1]!SW[[#This Row],[NOMRE DEL PRODUCTO]],"")</f>
        <v/>
      </c>
      <c r="B228" s="9">
        <f t="shared" si="4"/>
        <v>227</v>
      </c>
      <c r="C228" s="9" t="str">
        <f>IFERROR([1]!SW[[#This Row],[IMAGEN]],"")</f>
        <v/>
      </c>
      <c r="D228" s="9" t="str">
        <f>IFERROR([1]!SW[[#This Row],[IMAGEN]],"")</f>
        <v/>
      </c>
      <c r="E228" s="9" t="str">
        <f>IFERROR([1]!SW[[#This Row],[IMAGEN]],"")</f>
        <v/>
      </c>
      <c r="F228" s="9" t="str">
        <f>IFERROR([1]!SW[[#This Row],[IMAGEN]],"")</f>
        <v/>
      </c>
      <c r="G228" s="9" t="str">
        <f>IFERROR([1]!SW[[#This Row],[IMAGEN]],"")</f>
        <v/>
      </c>
      <c r="H228" s="9" t="str">
        <f>IFERROR([1]!SW[[#This Row],[IMAGEN]],"")</f>
        <v/>
      </c>
      <c r="I228" s="9" t="str">
        <f>IFERROR([1]!SW[[#This Row],[IMAGEN]],"")</f>
        <v/>
      </c>
      <c r="J228" s="9" t="str">
        <f>IFERROR([1]!SW[[#This Row],[IMAGEN]],"")</f>
        <v/>
      </c>
      <c r="K228" s="9" t="str">
        <f>IFERROR([1]!SW[[#This Row],[IMAGEN]],"")</f>
        <v/>
      </c>
      <c r="L228" s="9" t="str">
        <f>IFERROR([1]!SW[[#This Row],[IMAGEN]],"")</f>
        <v/>
      </c>
    </row>
    <row r="229" spans="1:12" x14ac:dyDescent="0.25">
      <c r="A229" s="11" t="str">
        <f>IFERROR([1]!SW[[#This Row],[NOMRE DEL PRODUCTO]],"")</f>
        <v/>
      </c>
      <c r="B229" s="9">
        <f t="shared" si="4"/>
        <v>228</v>
      </c>
      <c r="C229" s="9" t="str">
        <f>IFERROR([1]!SW[[#This Row],[IMAGEN]],"")</f>
        <v/>
      </c>
      <c r="D229" s="9" t="str">
        <f>IFERROR([1]!SW[[#This Row],[IMAGEN]],"")</f>
        <v/>
      </c>
      <c r="E229" s="9" t="str">
        <f>IFERROR([1]!SW[[#This Row],[IMAGEN]],"")</f>
        <v/>
      </c>
      <c r="F229" s="9" t="str">
        <f>IFERROR([1]!SW[[#This Row],[IMAGEN]],"")</f>
        <v/>
      </c>
      <c r="G229" s="9" t="str">
        <f>IFERROR([1]!SW[[#This Row],[IMAGEN]],"")</f>
        <v/>
      </c>
      <c r="H229" s="9" t="str">
        <f>IFERROR([1]!SW[[#This Row],[IMAGEN]],"")</f>
        <v/>
      </c>
      <c r="I229" s="9" t="str">
        <f>IFERROR([1]!SW[[#This Row],[IMAGEN]],"")</f>
        <v/>
      </c>
      <c r="J229" s="9" t="str">
        <f>IFERROR([1]!SW[[#This Row],[IMAGEN]],"")</f>
        <v/>
      </c>
      <c r="K229" s="9" t="str">
        <f>IFERROR([1]!SW[[#This Row],[IMAGEN]],"")</f>
        <v/>
      </c>
      <c r="L229" s="9" t="str">
        <f>IFERROR([1]!SW[[#This Row],[IMAGEN]],"")</f>
        <v/>
      </c>
    </row>
    <row r="230" spans="1:12" x14ac:dyDescent="0.25">
      <c r="A230" s="11" t="str">
        <f>IFERROR([1]!SW[[#This Row],[NOMRE DEL PRODUCTO]],"")</f>
        <v/>
      </c>
      <c r="B230" s="9">
        <f t="shared" si="4"/>
        <v>229</v>
      </c>
      <c r="C230" s="9" t="str">
        <f>IFERROR([1]!SW[[#This Row],[IMAGEN]],"")</f>
        <v/>
      </c>
      <c r="D230" s="9" t="str">
        <f>IFERROR([1]!SW[[#This Row],[IMAGEN]],"")</f>
        <v/>
      </c>
      <c r="E230" s="9" t="str">
        <f>IFERROR([1]!SW[[#This Row],[IMAGEN]],"")</f>
        <v/>
      </c>
      <c r="F230" s="9" t="str">
        <f>IFERROR([1]!SW[[#This Row],[IMAGEN]],"")</f>
        <v/>
      </c>
      <c r="G230" s="9" t="str">
        <f>IFERROR([1]!SW[[#This Row],[IMAGEN]],"")</f>
        <v/>
      </c>
      <c r="H230" s="9" t="str">
        <f>IFERROR([1]!SW[[#This Row],[IMAGEN]],"")</f>
        <v/>
      </c>
      <c r="I230" s="9" t="str">
        <f>IFERROR([1]!SW[[#This Row],[IMAGEN]],"")</f>
        <v/>
      </c>
      <c r="J230" s="9" t="str">
        <f>IFERROR([1]!SW[[#This Row],[IMAGEN]],"")</f>
        <v/>
      </c>
      <c r="K230" s="9" t="str">
        <f>IFERROR([1]!SW[[#This Row],[IMAGEN]],"")</f>
        <v/>
      </c>
      <c r="L230" s="9" t="str">
        <f>IFERROR([1]!SW[[#This Row],[IMAGEN]],"")</f>
        <v/>
      </c>
    </row>
    <row r="231" spans="1:12" x14ac:dyDescent="0.25">
      <c r="A231" s="11" t="str">
        <f>IFERROR([1]!SW[[#This Row],[NOMRE DEL PRODUCTO]],"")</f>
        <v/>
      </c>
      <c r="B231" s="9">
        <f t="shared" si="4"/>
        <v>230</v>
      </c>
      <c r="C231" s="9" t="str">
        <f>IFERROR([1]!SW[[#This Row],[IMAGEN]],"")</f>
        <v/>
      </c>
      <c r="D231" s="9" t="str">
        <f>IFERROR([1]!SW[[#This Row],[IMAGEN]],"")</f>
        <v/>
      </c>
      <c r="E231" s="9" t="str">
        <f>IFERROR([1]!SW[[#This Row],[IMAGEN]],"")</f>
        <v/>
      </c>
      <c r="F231" s="9" t="str">
        <f>IFERROR([1]!SW[[#This Row],[IMAGEN]],"")</f>
        <v/>
      </c>
      <c r="G231" s="9" t="str">
        <f>IFERROR([1]!SW[[#This Row],[IMAGEN]],"")</f>
        <v/>
      </c>
      <c r="H231" s="9" t="str">
        <f>IFERROR([1]!SW[[#This Row],[IMAGEN]],"")</f>
        <v/>
      </c>
      <c r="I231" s="9" t="str">
        <f>IFERROR([1]!SW[[#This Row],[IMAGEN]],"")</f>
        <v/>
      </c>
      <c r="J231" s="9" t="str">
        <f>IFERROR([1]!SW[[#This Row],[IMAGEN]],"")</f>
        <v/>
      </c>
      <c r="K231" s="9" t="str">
        <f>IFERROR([1]!SW[[#This Row],[IMAGEN]],"")</f>
        <v/>
      </c>
      <c r="L231" s="9" t="str">
        <f>IFERROR([1]!SW[[#This Row],[IMAGEN]],"")</f>
        <v/>
      </c>
    </row>
    <row r="232" spans="1:12" x14ac:dyDescent="0.25">
      <c r="A232" s="11" t="str">
        <f>IFERROR([1]!SW[[#This Row],[NOMRE DEL PRODUCTO]],"")</f>
        <v/>
      </c>
      <c r="B232" s="9">
        <f t="shared" si="4"/>
        <v>231</v>
      </c>
      <c r="C232" s="9" t="str">
        <f>IFERROR([1]!SW[[#This Row],[IMAGEN]],"")</f>
        <v/>
      </c>
      <c r="D232" s="9" t="str">
        <f>IFERROR([1]!SW[[#This Row],[IMAGEN]],"")</f>
        <v/>
      </c>
      <c r="E232" s="9" t="str">
        <f>IFERROR([1]!SW[[#This Row],[IMAGEN]],"")</f>
        <v/>
      </c>
      <c r="F232" s="9" t="str">
        <f>IFERROR([1]!SW[[#This Row],[IMAGEN]],"")</f>
        <v/>
      </c>
      <c r="G232" s="9" t="str">
        <f>IFERROR([1]!SW[[#This Row],[IMAGEN]],"")</f>
        <v/>
      </c>
      <c r="H232" s="9" t="str">
        <f>IFERROR([1]!SW[[#This Row],[IMAGEN]],"")</f>
        <v/>
      </c>
      <c r="I232" s="9" t="str">
        <f>IFERROR([1]!SW[[#This Row],[IMAGEN]],"")</f>
        <v/>
      </c>
      <c r="J232" s="9" t="str">
        <f>IFERROR([1]!SW[[#This Row],[IMAGEN]],"")</f>
        <v/>
      </c>
      <c r="K232" s="9" t="str">
        <f>IFERROR([1]!SW[[#This Row],[IMAGEN]],"")</f>
        <v/>
      </c>
      <c r="L232" s="9" t="str">
        <f>IFERROR([1]!SW[[#This Row],[IMAGEN]],"")</f>
        <v/>
      </c>
    </row>
    <row r="233" spans="1:12" x14ac:dyDescent="0.25">
      <c r="A233" s="11" t="str">
        <f>IFERROR([1]!SW[[#This Row],[NOMRE DEL PRODUCTO]],"")</f>
        <v/>
      </c>
      <c r="B233" s="9">
        <f t="shared" si="4"/>
        <v>232</v>
      </c>
      <c r="C233" s="9" t="str">
        <f>IFERROR([1]!SW[[#This Row],[IMAGEN]],"")</f>
        <v/>
      </c>
      <c r="D233" s="9" t="str">
        <f>IFERROR([1]!SW[[#This Row],[IMAGEN]],"")</f>
        <v/>
      </c>
      <c r="E233" s="9" t="str">
        <f>IFERROR([1]!SW[[#This Row],[IMAGEN]],"")</f>
        <v/>
      </c>
      <c r="F233" s="9" t="str">
        <f>IFERROR([1]!SW[[#This Row],[IMAGEN]],"")</f>
        <v/>
      </c>
      <c r="G233" s="9" t="str">
        <f>IFERROR([1]!SW[[#This Row],[IMAGEN]],"")</f>
        <v/>
      </c>
      <c r="H233" s="9" t="str">
        <f>IFERROR([1]!SW[[#This Row],[IMAGEN]],"")</f>
        <v/>
      </c>
      <c r="I233" s="9" t="str">
        <f>IFERROR([1]!SW[[#This Row],[IMAGEN]],"")</f>
        <v/>
      </c>
      <c r="J233" s="9" t="str">
        <f>IFERROR([1]!SW[[#This Row],[IMAGEN]],"")</f>
        <v/>
      </c>
      <c r="K233" s="9" t="str">
        <f>IFERROR([1]!SW[[#This Row],[IMAGEN]],"")</f>
        <v/>
      </c>
      <c r="L233" s="9" t="str">
        <f>IFERROR([1]!SW[[#This Row],[IMAGEN]],"")</f>
        <v/>
      </c>
    </row>
    <row r="234" spans="1:12" x14ac:dyDescent="0.25">
      <c r="A234" s="11" t="str">
        <f>IFERROR([1]!SW[[#This Row],[NOMRE DEL PRODUCTO]],"")</f>
        <v/>
      </c>
      <c r="B234" s="9">
        <f t="shared" si="4"/>
        <v>233</v>
      </c>
      <c r="C234" s="9" t="str">
        <f>IFERROR([1]!SW[[#This Row],[IMAGEN]],"")</f>
        <v/>
      </c>
      <c r="D234" s="9" t="str">
        <f>IFERROR([1]!SW[[#This Row],[IMAGEN]],"")</f>
        <v/>
      </c>
      <c r="E234" s="9" t="str">
        <f>IFERROR([1]!SW[[#This Row],[IMAGEN]],"")</f>
        <v/>
      </c>
      <c r="F234" s="9" t="str">
        <f>IFERROR([1]!SW[[#This Row],[IMAGEN]],"")</f>
        <v/>
      </c>
      <c r="G234" s="9" t="str">
        <f>IFERROR([1]!SW[[#This Row],[IMAGEN]],"")</f>
        <v/>
      </c>
      <c r="H234" s="9" t="str">
        <f>IFERROR([1]!SW[[#This Row],[IMAGEN]],"")</f>
        <v/>
      </c>
      <c r="I234" s="9" t="str">
        <f>IFERROR([1]!SW[[#This Row],[IMAGEN]],"")</f>
        <v/>
      </c>
      <c r="J234" s="9" t="str">
        <f>IFERROR([1]!SW[[#This Row],[IMAGEN]],"")</f>
        <v/>
      </c>
      <c r="K234" s="9" t="str">
        <f>IFERROR([1]!SW[[#This Row],[IMAGEN]],"")</f>
        <v/>
      </c>
      <c r="L234" s="9" t="str">
        <f>IFERROR([1]!SW[[#This Row],[IMAGEN]],"")</f>
        <v/>
      </c>
    </row>
    <row r="235" spans="1:12" x14ac:dyDescent="0.25">
      <c r="A235" s="11" t="str">
        <f>IFERROR([1]!SW[[#This Row],[NOMRE DEL PRODUCTO]],"")</f>
        <v/>
      </c>
      <c r="B235" s="9">
        <f t="shared" si="4"/>
        <v>234</v>
      </c>
      <c r="C235" s="9" t="str">
        <f>IFERROR([1]!SW[[#This Row],[IMAGEN]],"")</f>
        <v/>
      </c>
      <c r="D235" s="9" t="str">
        <f>IFERROR([1]!SW[[#This Row],[IMAGEN]],"")</f>
        <v/>
      </c>
      <c r="E235" s="9" t="str">
        <f>IFERROR([1]!SW[[#This Row],[IMAGEN]],"")</f>
        <v/>
      </c>
      <c r="F235" s="9" t="str">
        <f>IFERROR([1]!SW[[#This Row],[IMAGEN]],"")</f>
        <v/>
      </c>
      <c r="G235" s="9" t="str">
        <f>IFERROR([1]!SW[[#This Row],[IMAGEN]],"")</f>
        <v/>
      </c>
      <c r="H235" s="9" t="str">
        <f>IFERROR([1]!SW[[#This Row],[IMAGEN]],"")</f>
        <v/>
      </c>
      <c r="I235" s="9" t="str">
        <f>IFERROR([1]!SW[[#This Row],[IMAGEN]],"")</f>
        <v/>
      </c>
      <c r="J235" s="9" t="str">
        <f>IFERROR([1]!SW[[#This Row],[IMAGEN]],"")</f>
        <v/>
      </c>
      <c r="K235" s="9" t="str">
        <f>IFERROR([1]!SW[[#This Row],[IMAGEN]],"")</f>
        <v/>
      </c>
      <c r="L235" s="9" t="str">
        <f>IFERROR([1]!SW[[#This Row],[IMAGEN]],"")</f>
        <v/>
      </c>
    </row>
    <row r="236" spans="1:12" x14ac:dyDescent="0.25">
      <c r="A236" s="11" t="str">
        <f>IFERROR([1]!SW[[#This Row],[NOMRE DEL PRODUCTO]],"")</f>
        <v/>
      </c>
      <c r="B236" s="9">
        <f t="shared" si="4"/>
        <v>235</v>
      </c>
      <c r="C236" s="9" t="str">
        <f>IFERROR([1]!SW[[#This Row],[IMAGEN]],"")</f>
        <v/>
      </c>
      <c r="D236" s="9" t="str">
        <f>IFERROR([1]!SW[[#This Row],[IMAGEN]],"")</f>
        <v/>
      </c>
      <c r="E236" s="9" t="str">
        <f>IFERROR([1]!SW[[#This Row],[IMAGEN]],"")</f>
        <v/>
      </c>
      <c r="F236" s="9" t="str">
        <f>IFERROR([1]!SW[[#This Row],[IMAGEN]],"")</f>
        <v/>
      </c>
      <c r="G236" s="9" t="str">
        <f>IFERROR([1]!SW[[#This Row],[IMAGEN]],"")</f>
        <v/>
      </c>
      <c r="H236" s="9" t="str">
        <f>IFERROR([1]!SW[[#This Row],[IMAGEN]],"")</f>
        <v/>
      </c>
      <c r="I236" s="9" t="str">
        <f>IFERROR([1]!SW[[#This Row],[IMAGEN]],"")</f>
        <v/>
      </c>
      <c r="J236" s="9" t="str">
        <f>IFERROR([1]!SW[[#This Row],[IMAGEN]],"")</f>
        <v/>
      </c>
      <c r="K236" s="9" t="str">
        <f>IFERROR([1]!SW[[#This Row],[IMAGEN]],"")</f>
        <v/>
      </c>
      <c r="L236" s="9" t="str">
        <f>IFERROR([1]!SW[[#This Row],[IMAGEN]],"")</f>
        <v/>
      </c>
    </row>
    <row r="237" spans="1:12" x14ac:dyDescent="0.25">
      <c r="A237" s="11" t="str">
        <f>IFERROR([1]!SW[[#This Row],[NOMRE DEL PRODUCTO]],"")</f>
        <v/>
      </c>
      <c r="B237" s="9">
        <f t="shared" si="4"/>
        <v>236</v>
      </c>
      <c r="C237" s="9" t="str">
        <f>IFERROR([1]!SW[[#This Row],[IMAGEN]],"")</f>
        <v/>
      </c>
      <c r="D237" s="9" t="str">
        <f>IFERROR([1]!SW[[#This Row],[IMAGEN]],"")</f>
        <v/>
      </c>
      <c r="E237" s="9" t="str">
        <f>IFERROR([1]!SW[[#This Row],[IMAGEN]],"")</f>
        <v/>
      </c>
      <c r="F237" s="9" t="str">
        <f>IFERROR([1]!SW[[#This Row],[IMAGEN]],"")</f>
        <v/>
      </c>
      <c r="G237" s="9" t="str">
        <f>IFERROR([1]!SW[[#This Row],[IMAGEN]],"")</f>
        <v/>
      </c>
      <c r="H237" s="9" t="str">
        <f>IFERROR([1]!SW[[#This Row],[IMAGEN]],"")</f>
        <v/>
      </c>
      <c r="I237" s="9" t="str">
        <f>IFERROR([1]!SW[[#This Row],[IMAGEN]],"")</f>
        <v/>
      </c>
      <c r="J237" s="9" t="str">
        <f>IFERROR([1]!SW[[#This Row],[IMAGEN]],"")</f>
        <v/>
      </c>
      <c r="K237" s="9" t="str">
        <f>IFERROR([1]!SW[[#This Row],[IMAGEN]],"")</f>
        <v/>
      </c>
      <c r="L237" s="9" t="str">
        <f>IFERROR([1]!SW[[#This Row],[IMAGEN]],"")</f>
        <v/>
      </c>
    </row>
    <row r="238" spans="1:12" x14ac:dyDescent="0.25">
      <c r="A238" s="11" t="str">
        <f>IFERROR([1]!SW[[#This Row],[NOMRE DEL PRODUCTO]],"")</f>
        <v/>
      </c>
      <c r="B238" s="9">
        <f t="shared" si="4"/>
        <v>237</v>
      </c>
      <c r="C238" s="9" t="str">
        <f>IFERROR([1]!SW[[#This Row],[IMAGEN]],"")</f>
        <v/>
      </c>
      <c r="D238" s="9" t="str">
        <f>IFERROR([1]!SW[[#This Row],[IMAGEN]],"")</f>
        <v/>
      </c>
      <c r="E238" s="9" t="str">
        <f>IFERROR([1]!SW[[#This Row],[IMAGEN]],"")</f>
        <v/>
      </c>
      <c r="F238" s="9" t="str">
        <f>IFERROR([1]!SW[[#This Row],[IMAGEN]],"")</f>
        <v/>
      </c>
      <c r="G238" s="9" t="str">
        <f>IFERROR([1]!SW[[#This Row],[IMAGEN]],"")</f>
        <v/>
      </c>
      <c r="H238" s="9" t="str">
        <f>IFERROR([1]!SW[[#This Row],[IMAGEN]],"")</f>
        <v/>
      </c>
      <c r="I238" s="9" t="str">
        <f>IFERROR([1]!SW[[#This Row],[IMAGEN]],"")</f>
        <v/>
      </c>
      <c r="J238" s="9" t="str">
        <f>IFERROR([1]!SW[[#This Row],[IMAGEN]],"")</f>
        <v/>
      </c>
      <c r="K238" s="9" t="str">
        <f>IFERROR([1]!SW[[#This Row],[IMAGEN]],"")</f>
        <v/>
      </c>
      <c r="L238" s="9" t="str">
        <f>IFERROR([1]!SW[[#This Row],[IMAGEN]],"")</f>
        <v/>
      </c>
    </row>
    <row r="239" spans="1:12" x14ac:dyDescent="0.25">
      <c r="A239" s="11" t="str">
        <f>IFERROR([1]!SW[[#This Row],[NOMRE DEL PRODUCTO]],"")</f>
        <v/>
      </c>
      <c r="B239" s="9">
        <f t="shared" si="4"/>
        <v>238</v>
      </c>
      <c r="C239" s="9" t="str">
        <f>IFERROR([1]!SW[[#This Row],[IMAGEN]],"")</f>
        <v/>
      </c>
      <c r="D239" s="9" t="str">
        <f>IFERROR([1]!SW[[#This Row],[IMAGEN]],"")</f>
        <v/>
      </c>
      <c r="E239" s="9" t="str">
        <f>IFERROR([1]!SW[[#This Row],[IMAGEN]],"")</f>
        <v/>
      </c>
      <c r="F239" s="9" t="str">
        <f>IFERROR([1]!SW[[#This Row],[IMAGEN]],"")</f>
        <v/>
      </c>
      <c r="G239" s="9" t="str">
        <f>IFERROR([1]!SW[[#This Row],[IMAGEN]],"")</f>
        <v/>
      </c>
      <c r="H239" s="9" t="str">
        <f>IFERROR([1]!SW[[#This Row],[IMAGEN]],"")</f>
        <v/>
      </c>
      <c r="I239" s="9" t="str">
        <f>IFERROR([1]!SW[[#This Row],[IMAGEN]],"")</f>
        <v/>
      </c>
      <c r="J239" s="9" t="str">
        <f>IFERROR([1]!SW[[#This Row],[IMAGEN]],"")</f>
        <v/>
      </c>
      <c r="K239" s="9" t="str">
        <f>IFERROR([1]!SW[[#This Row],[IMAGEN]],"")</f>
        <v/>
      </c>
      <c r="L239" s="9" t="str">
        <f>IFERROR([1]!SW[[#This Row],[IMAGEN]],"")</f>
        <v/>
      </c>
    </row>
    <row r="240" spans="1:12" x14ac:dyDescent="0.25">
      <c r="A240" s="11" t="str">
        <f>IFERROR([1]!SW[[#This Row],[NOMRE DEL PRODUCTO]],"")</f>
        <v/>
      </c>
      <c r="B240" s="9">
        <f t="shared" si="4"/>
        <v>239</v>
      </c>
      <c r="C240" s="9" t="str">
        <f>IFERROR([1]!SW[[#This Row],[IMAGEN]],"")</f>
        <v/>
      </c>
      <c r="D240" s="9" t="str">
        <f>IFERROR([1]!SW[[#This Row],[IMAGEN]],"")</f>
        <v/>
      </c>
      <c r="E240" s="9" t="str">
        <f>IFERROR([1]!SW[[#This Row],[IMAGEN]],"")</f>
        <v/>
      </c>
      <c r="F240" s="9" t="str">
        <f>IFERROR([1]!SW[[#This Row],[IMAGEN]],"")</f>
        <v/>
      </c>
      <c r="G240" s="9" t="str">
        <f>IFERROR([1]!SW[[#This Row],[IMAGEN]],"")</f>
        <v/>
      </c>
      <c r="H240" s="9" t="str">
        <f>IFERROR([1]!SW[[#This Row],[IMAGEN]],"")</f>
        <v/>
      </c>
      <c r="I240" s="9" t="str">
        <f>IFERROR([1]!SW[[#This Row],[IMAGEN]],"")</f>
        <v/>
      </c>
      <c r="J240" s="9" t="str">
        <f>IFERROR([1]!SW[[#This Row],[IMAGEN]],"")</f>
        <v/>
      </c>
      <c r="K240" s="9" t="str">
        <f>IFERROR([1]!SW[[#This Row],[IMAGEN]],"")</f>
        <v/>
      </c>
      <c r="L240" s="9" t="str">
        <f>IFERROR([1]!SW[[#This Row],[IMAGEN]],"")</f>
        <v/>
      </c>
    </row>
    <row r="241" spans="1:12" x14ac:dyDescent="0.25">
      <c r="A241" s="11" t="str">
        <f>IFERROR([1]!SW[[#This Row],[NOMRE DEL PRODUCTO]],"")</f>
        <v/>
      </c>
      <c r="B241" s="9">
        <f t="shared" si="4"/>
        <v>240</v>
      </c>
      <c r="C241" s="9" t="str">
        <f>IFERROR([1]!SW[[#This Row],[IMAGEN]],"")</f>
        <v/>
      </c>
      <c r="D241" s="9" t="str">
        <f>IFERROR([1]!SW[[#This Row],[IMAGEN]],"")</f>
        <v/>
      </c>
      <c r="E241" s="9" t="str">
        <f>IFERROR([1]!SW[[#This Row],[IMAGEN]],"")</f>
        <v/>
      </c>
      <c r="F241" s="9" t="str">
        <f>IFERROR([1]!SW[[#This Row],[IMAGEN]],"")</f>
        <v/>
      </c>
      <c r="G241" s="9" t="str">
        <f>IFERROR([1]!SW[[#This Row],[IMAGEN]],"")</f>
        <v/>
      </c>
      <c r="H241" s="9" t="str">
        <f>IFERROR([1]!SW[[#This Row],[IMAGEN]],"")</f>
        <v/>
      </c>
      <c r="I241" s="9" t="str">
        <f>IFERROR([1]!SW[[#This Row],[IMAGEN]],"")</f>
        <v/>
      </c>
      <c r="J241" s="9" t="str">
        <f>IFERROR([1]!SW[[#This Row],[IMAGEN]],"")</f>
        <v/>
      </c>
      <c r="K241" s="9" t="str">
        <f>IFERROR([1]!SW[[#This Row],[IMAGEN]],"")</f>
        <v/>
      </c>
      <c r="L241" s="9" t="str">
        <f>IFERROR([1]!SW[[#This Row],[IMAGEN]],"")</f>
        <v/>
      </c>
    </row>
    <row r="242" spans="1:12" x14ac:dyDescent="0.25">
      <c r="A242" s="11" t="str">
        <f>IFERROR([1]!SW[[#This Row],[NOMRE DEL PRODUCTO]],"")</f>
        <v/>
      </c>
      <c r="B242" s="9">
        <f t="shared" si="4"/>
        <v>241</v>
      </c>
      <c r="C242" s="9" t="str">
        <f>IFERROR([1]!SW[[#This Row],[IMAGEN]],"")</f>
        <v/>
      </c>
      <c r="D242" s="9" t="str">
        <f>IFERROR([1]!SW[[#This Row],[IMAGEN]],"")</f>
        <v/>
      </c>
      <c r="E242" s="9" t="str">
        <f>IFERROR([1]!SW[[#This Row],[IMAGEN]],"")</f>
        <v/>
      </c>
      <c r="F242" s="9" t="str">
        <f>IFERROR([1]!SW[[#This Row],[IMAGEN]],"")</f>
        <v/>
      </c>
      <c r="G242" s="9" t="str">
        <f>IFERROR([1]!SW[[#This Row],[IMAGEN]],"")</f>
        <v/>
      </c>
      <c r="H242" s="9" t="str">
        <f>IFERROR([1]!SW[[#This Row],[IMAGEN]],"")</f>
        <v/>
      </c>
      <c r="I242" s="9" t="str">
        <f>IFERROR([1]!SW[[#This Row],[IMAGEN]],"")</f>
        <v/>
      </c>
      <c r="J242" s="9" t="str">
        <f>IFERROR([1]!SW[[#This Row],[IMAGEN]],"")</f>
        <v/>
      </c>
      <c r="K242" s="9" t="str">
        <f>IFERROR([1]!SW[[#This Row],[IMAGEN]],"")</f>
        <v/>
      </c>
      <c r="L242" s="9" t="str">
        <f>IFERROR([1]!SW[[#This Row],[IMAGEN]],"")</f>
        <v/>
      </c>
    </row>
    <row r="243" spans="1:12" x14ac:dyDescent="0.25">
      <c r="A243" s="11" t="str">
        <f>IFERROR([1]!SW[[#This Row],[NOMRE DEL PRODUCTO]],"")</f>
        <v/>
      </c>
      <c r="B243" s="9">
        <f t="shared" si="4"/>
        <v>242</v>
      </c>
      <c r="C243" s="9" t="str">
        <f>IFERROR([1]!SW[[#This Row],[IMAGEN]],"")</f>
        <v/>
      </c>
      <c r="D243" s="9" t="str">
        <f>IFERROR([1]!SW[[#This Row],[IMAGEN]],"")</f>
        <v/>
      </c>
      <c r="E243" s="9" t="str">
        <f>IFERROR([1]!SW[[#This Row],[IMAGEN]],"")</f>
        <v/>
      </c>
      <c r="F243" s="9" t="str">
        <f>IFERROR([1]!SW[[#This Row],[IMAGEN]],"")</f>
        <v/>
      </c>
      <c r="G243" s="9" t="str">
        <f>IFERROR([1]!SW[[#This Row],[IMAGEN]],"")</f>
        <v/>
      </c>
      <c r="H243" s="9" t="str">
        <f>IFERROR([1]!SW[[#This Row],[IMAGEN]],"")</f>
        <v/>
      </c>
      <c r="I243" s="9" t="str">
        <f>IFERROR([1]!SW[[#This Row],[IMAGEN]],"")</f>
        <v/>
      </c>
      <c r="J243" s="9" t="str">
        <f>IFERROR([1]!SW[[#This Row],[IMAGEN]],"")</f>
        <v/>
      </c>
      <c r="K243" s="9" t="str">
        <f>IFERROR([1]!SW[[#This Row],[IMAGEN]],"")</f>
        <v/>
      </c>
      <c r="L243" s="9" t="str">
        <f>IFERROR([1]!SW[[#This Row],[IMAGEN]],"")</f>
        <v/>
      </c>
    </row>
    <row r="244" spans="1:12" x14ac:dyDescent="0.25">
      <c r="A244" s="11" t="str">
        <f>IFERROR([1]!SW[[#This Row],[NOMRE DEL PRODUCTO]],"")</f>
        <v/>
      </c>
      <c r="B244" s="9">
        <f t="shared" si="4"/>
        <v>243</v>
      </c>
      <c r="C244" s="9" t="str">
        <f>IFERROR([1]!SW[[#This Row],[IMAGEN]],"")</f>
        <v/>
      </c>
      <c r="D244" s="9" t="str">
        <f>IFERROR([1]!SW[[#This Row],[IMAGEN]],"")</f>
        <v/>
      </c>
      <c r="E244" s="9" t="str">
        <f>IFERROR([1]!SW[[#This Row],[IMAGEN]],"")</f>
        <v/>
      </c>
      <c r="F244" s="9" t="str">
        <f>IFERROR([1]!SW[[#This Row],[IMAGEN]],"")</f>
        <v/>
      </c>
      <c r="G244" s="9" t="str">
        <f>IFERROR([1]!SW[[#This Row],[IMAGEN]],"")</f>
        <v/>
      </c>
      <c r="H244" s="9" t="str">
        <f>IFERROR([1]!SW[[#This Row],[IMAGEN]],"")</f>
        <v/>
      </c>
      <c r="I244" s="9" t="str">
        <f>IFERROR([1]!SW[[#This Row],[IMAGEN]],"")</f>
        <v/>
      </c>
      <c r="J244" s="9" t="str">
        <f>IFERROR([1]!SW[[#This Row],[IMAGEN]],"")</f>
        <v/>
      </c>
      <c r="K244" s="9" t="str">
        <f>IFERROR([1]!SW[[#This Row],[IMAGEN]],"")</f>
        <v/>
      </c>
      <c r="L244" s="9" t="str">
        <f>IFERROR([1]!SW[[#This Row],[IMAGEN]],"")</f>
        <v/>
      </c>
    </row>
    <row r="245" spans="1:12" x14ac:dyDescent="0.25">
      <c r="A245" s="11" t="str">
        <f>IFERROR([1]!SW[[#This Row],[NOMRE DEL PRODUCTO]],"")</f>
        <v/>
      </c>
      <c r="B245" s="9">
        <f t="shared" si="4"/>
        <v>244</v>
      </c>
      <c r="C245" s="9" t="str">
        <f>IFERROR([1]!SW[[#This Row],[IMAGEN]],"")</f>
        <v/>
      </c>
      <c r="D245" s="9" t="str">
        <f>IFERROR([1]!SW[[#This Row],[IMAGEN]],"")</f>
        <v/>
      </c>
      <c r="E245" s="9" t="str">
        <f>IFERROR([1]!SW[[#This Row],[IMAGEN]],"")</f>
        <v/>
      </c>
      <c r="F245" s="9" t="str">
        <f>IFERROR([1]!SW[[#This Row],[IMAGEN]],"")</f>
        <v/>
      </c>
      <c r="G245" s="9" t="str">
        <f>IFERROR([1]!SW[[#This Row],[IMAGEN]],"")</f>
        <v/>
      </c>
      <c r="H245" s="9" t="str">
        <f>IFERROR([1]!SW[[#This Row],[IMAGEN]],"")</f>
        <v/>
      </c>
      <c r="I245" s="9" t="str">
        <f>IFERROR([1]!SW[[#This Row],[IMAGEN]],"")</f>
        <v/>
      </c>
      <c r="J245" s="9" t="str">
        <f>IFERROR([1]!SW[[#This Row],[IMAGEN]],"")</f>
        <v/>
      </c>
      <c r="K245" s="9" t="str">
        <f>IFERROR([1]!SW[[#This Row],[IMAGEN]],"")</f>
        <v/>
      </c>
      <c r="L245" s="9" t="str">
        <f>IFERROR([1]!SW[[#This Row],[IMAGEN]],"")</f>
        <v/>
      </c>
    </row>
    <row r="246" spans="1:12" x14ac:dyDescent="0.25">
      <c r="A246" s="11" t="str">
        <f>IFERROR([1]!SW[[#This Row],[NOMRE DEL PRODUCTO]],"")</f>
        <v/>
      </c>
      <c r="B246" s="9">
        <f t="shared" si="4"/>
        <v>245</v>
      </c>
      <c r="C246" s="9" t="str">
        <f>IFERROR([1]!SW[[#This Row],[IMAGEN]],"")</f>
        <v/>
      </c>
      <c r="D246" s="9" t="str">
        <f>IFERROR([1]!SW[[#This Row],[IMAGEN]],"")</f>
        <v/>
      </c>
      <c r="E246" s="9" t="str">
        <f>IFERROR([1]!SW[[#This Row],[IMAGEN]],"")</f>
        <v/>
      </c>
      <c r="F246" s="9" t="str">
        <f>IFERROR([1]!SW[[#This Row],[IMAGEN]],"")</f>
        <v/>
      </c>
      <c r="G246" s="9" t="str">
        <f>IFERROR([1]!SW[[#This Row],[IMAGEN]],"")</f>
        <v/>
      </c>
      <c r="H246" s="9" t="str">
        <f>IFERROR([1]!SW[[#This Row],[IMAGEN]],"")</f>
        <v/>
      </c>
      <c r="I246" s="9" t="str">
        <f>IFERROR([1]!SW[[#This Row],[IMAGEN]],"")</f>
        <v/>
      </c>
      <c r="J246" s="9" t="str">
        <f>IFERROR([1]!SW[[#This Row],[IMAGEN]],"")</f>
        <v/>
      </c>
      <c r="K246" s="9" t="str">
        <f>IFERROR([1]!SW[[#This Row],[IMAGEN]],"")</f>
        <v/>
      </c>
      <c r="L246" s="9" t="str">
        <f>IFERROR([1]!SW[[#This Row],[IMAGEN]],"")</f>
        <v/>
      </c>
    </row>
    <row r="247" spans="1:12" x14ac:dyDescent="0.25">
      <c r="A247" s="11" t="str">
        <f>IFERROR([1]!SW[[#This Row],[NOMRE DEL PRODUCTO]],"")</f>
        <v/>
      </c>
      <c r="B247" s="9">
        <f t="shared" si="4"/>
        <v>246</v>
      </c>
      <c r="C247" s="9" t="str">
        <f>IFERROR([1]!SW[[#This Row],[IMAGEN]],"")</f>
        <v/>
      </c>
      <c r="D247" s="9" t="str">
        <f>IFERROR([1]!SW[[#This Row],[IMAGEN]],"")</f>
        <v/>
      </c>
      <c r="E247" s="9" t="str">
        <f>IFERROR([1]!SW[[#This Row],[IMAGEN]],"")</f>
        <v/>
      </c>
      <c r="F247" s="9" t="str">
        <f>IFERROR([1]!SW[[#This Row],[IMAGEN]],"")</f>
        <v/>
      </c>
      <c r="G247" s="9" t="str">
        <f>IFERROR([1]!SW[[#This Row],[IMAGEN]],"")</f>
        <v/>
      </c>
      <c r="H247" s="9" t="str">
        <f>IFERROR([1]!SW[[#This Row],[IMAGEN]],"")</f>
        <v/>
      </c>
      <c r="I247" s="9" t="str">
        <f>IFERROR([1]!SW[[#This Row],[IMAGEN]],"")</f>
        <v/>
      </c>
      <c r="J247" s="9" t="str">
        <f>IFERROR([1]!SW[[#This Row],[IMAGEN]],"")</f>
        <v/>
      </c>
      <c r="K247" s="9" t="str">
        <f>IFERROR([1]!SW[[#This Row],[IMAGEN]],"")</f>
        <v/>
      </c>
      <c r="L247" s="9" t="str">
        <f>IFERROR([1]!SW[[#This Row],[IMAGEN]],"")</f>
        <v/>
      </c>
    </row>
    <row r="248" spans="1:12" x14ac:dyDescent="0.25">
      <c r="A248" s="11" t="str">
        <f>IFERROR([1]!SW[[#This Row],[NOMRE DEL PRODUCTO]],"")</f>
        <v/>
      </c>
      <c r="B248" s="9">
        <f t="shared" si="4"/>
        <v>247</v>
      </c>
      <c r="C248" s="9" t="str">
        <f>IFERROR([1]!SW[[#This Row],[IMAGEN]],"")</f>
        <v/>
      </c>
      <c r="D248" s="9" t="str">
        <f>IFERROR([1]!SW[[#This Row],[IMAGEN]],"")</f>
        <v/>
      </c>
      <c r="E248" s="9" t="str">
        <f>IFERROR([1]!SW[[#This Row],[IMAGEN]],"")</f>
        <v/>
      </c>
      <c r="F248" s="9" t="str">
        <f>IFERROR([1]!SW[[#This Row],[IMAGEN]],"")</f>
        <v/>
      </c>
      <c r="G248" s="9" t="str">
        <f>IFERROR([1]!SW[[#This Row],[IMAGEN]],"")</f>
        <v/>
      </c>
      <c r="H248" s="9" t="str">
        <f>IFERROR([1]!SW[[#This Row],[IMAGEN]],"")</f>
        <v/>
      </c>
      <c r="I248" s="9" t="str">
        <f>IFERROR([1]!SW[[#This Row],[IMAGEN]],"")</f>
        <v/>
      </c>
      <c r="J248" s="9" t="str">
        <f>IFERROR([1]!SW[[#This Row],[IMAGEN]],"")</f>
        <v/>
      </c>
      <c r="K248" s="9" t="str">
        <f>IFERROR([1]!SW[[#This Row],[IMAGEN]],"")</f>
        <v/>
      </c>
      <c r="L248" s="9" t="str">
        <f>IFERROR([1]!SW[[#This Row],[IMAGEN]],"")</f>
        <v/>
      </c>
    </row>
    <row r="249" spans="1:12" x14ac:dyDescent="0.25">
      <c r="A249" s="11" t="str">
        <f>IFERROR([1]!SW[[#This Row],[NOMRE DEL PRODUCTO]],"")</f>
        <v/>
      </c>
      <c r="B249" s="9">
        <f t="shared" si="4"/>
        <v>248</v>
      </c>
      <c r="C249" s="9" t="str">
        <f>IFERROR([1]!SW[[#This Row],[IMAGEN]],"")</f>
        <v/>
      </c>
      <c r="D249" s="9" t="str">
        <f>IFERROR([1]!SW[[#This Row],[IMAGEN]],"")</f>
        <v/>
      </c>
      <c r="E249" s="9" t="str">
        <f>IFERROR([1]!SW[[#This Row],[IMAGEN]],"")</f>
        <v/>
      </c>
      <c r="F249" s="9" t="str">
        <f>IFERROR([1]!SW[[#This Row],[IMAGEN]],"")</f>
        <v/>
      </c>
      <c r="G249" s="9" t="str">
        <f>IFERROR([1]!SW[[#This Row],[IMAGEN]],"")</f>
        <v/>
      </c>
      <c r="H249" s="9" t="str">
        <f>IFERROR([1]!SW[[#This Row],[IMAGEN]],"")</f>
        <v/>
      </c>
      <c r="I249" s="9" t="str">
        <f>IFERROR([1]!SW[[#This Row],[IMAGEN]],"")</f>
        <v/>
      </c>
      <c r="J249" s="9" t="str">
        <f>IFERROR([1]!SW[[#This Row],[IMAGEN]],"")</f>
        <v/>
      </c>
      <c r="K249" s="9" t="str">
        <f>IFERROR([1]!SW[[#This Row],[IMAGEN]],"")</f>
        <v/>
      </c>
      <c r="L249" s="9" t="str">
        <f>IFERROR([1]!SW[[#This Row],[IMAGEN]],"")</f>
        <v/>
      </c>
    </row>
    <row r="250" spans="1:12" x14ac:dyDescent="0.25">
      <c r="A250" s="12" t="str">
        <f>IFERROR([1]!SW[[#This Row],[NOMRE DEL PRODUCTO]],"")</f>
        <v/>
      </c>
      <c r="B250" s="10">
        <f t="shared" si="4"/>
        <v>249</v>
      </c>
      <c r="C250" s="10" t="str">
        <f>IFERROR([1]!SW[[#This Row],[IMAGEN]],"")</f>
        <v/>
      </c>
      <c r="D250" s="10" t="str">
        <f>IFERROR([1]!SW[[#This Row],[IMAGEN]],"")</f>
        <v/>
      </c>
      <c r="E250" s="10" t="str">
        <f>IFERROR([1]!SW[[#This Row],[IMAGEN]],"")</f>
        <v/>
      </c>
      <c r="F250" s="10" t="str">
        <f>IFERROR([1]!SW[[#This Row],[IMAGEN]],"")</f>
        <v/>
      </c>
      <c r="G250" s="10" t="str">
        <f>IFERROR([1]!SW[[#This Row],[IMAGEN]],"")</f>
        <v/>
      </c>
      <c r="H250" s="10" t="str">
        <f>IFERROR([1]!SW[[#This Row],[IMAGEN]],"")</f>
        <v/>
      </c>
      <c r="I250" s="10" t="str">
        <f>IFERROR([1]!SW[[#This Row],[IMAGEN]],"")</f>
        <v/>
      </c>
      <c r="J250" s="10" t="str">
        <f>IFERROR([1]!SW[[#This Row],[IMAGEN]],"")</f>
        <v/>
      </c>
      <c r="K250" s="10" t="str">
        <f>IFERROR([1]!SW[[#This Row],[IMAGEN]],"")</f>
        <v/>
      </c>
      <c r="L250" s="10" t="str">
        <f>IFERROR([1]!SW[[#This Row],[IMAGEN]],"")</f>
        <v/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BASE</vt:lpstr>
      <vt:lpstr>HOJA DE COTIZACION</vt:lpstr>
      <vt:lpstr>LISTA_DE_PRODUCTOS</vt:lpstr>
      <vt:lpstr>VENDEDORES</vt:lpstr>
      <vt:lpstr>FORMAS DE PAGO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monted</dc:creator>
  <cp:lastModifiedBy>OFICINA</cp:lastModifiedBy>
  <cp:lastPrinted>2022-07-19T15:08:48Z</cp:lastPrinted>
  <dcterms:created xsi:type="dcterms:W3CDTF">2022-05-20T13:30:38Z</dcterms:created>
  <dcterms:modified xsi:type="dcterms:W3CDTF">2023-01-13T23:59:38Z</dcterms:modified>
</cp:coreProperties>
</file>